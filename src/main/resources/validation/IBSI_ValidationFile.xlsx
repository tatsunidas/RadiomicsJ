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05" windowWidth="26025" windowHeight="15300" tabRatio="600" firstSheet="0" activeTab="0" autoFilterDateGrouping="1"/>
  </bookViews>
  <sheets>
    <sheet xmlns:r="http://schemas.openxmlformats.org/officeDocument/2006/relationships" name="digital phantom" sheetId="1" state="visible" r:id="rId1"/>
    <sheet xmlns:r="http://schemas.openxmlformats.org/officeDocument/2006/relationships" name="config A" sheetId="2" state="visible" r:id="rId2"/>
    <sheet xmlns:r="http://schemas.openxmlformats.org/officeDocument/2006/relationships" name="config B" sheetId="3" state="visible" r:id="rId3"/>
    <sheet xmlns:r="http://schemas.openxmlformats.org/officeDocument/2006/relationships" name="config C" sheetId="4" state="visible" r:id="rId4"/>
    <sheet xmlns:r="http://schemas.openxmlformats.org/officeDocument/2006/relationships" name="config D" sheetId="5" state="visible" r:id="rId5"/>
    <sheet xmlns:r="http://schemas.openxmlformats.org/officeDocument/2006/relationships" name="config 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ＭＳ Ｐゴシック"/>
      <charset val="128"/>
      <family val="3"/>
      <sz val="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pivotButton="0" quotePrefix="0" xfId="0"/>
    <xf numFmtId="11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11" fontId="3" fillId="0" borderId="0" applyAlignment="1" pivotButton="0" quotePrefix="0" xfId="0">
      <alignment horizontal="right"/>
    </xf>
    <xf numFmtId="0" fontId="4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2">
    <cellStyle name="標準" xfId="0" builtinId="0"/>
    <cellStyle name="Standard 2" xfId="1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88"/>
  <sheetViews>
    <sheetView tabSelected="1" zoomScaleNormal="100" workbookViewId="0">
      <selection activeCell="D1" sqref="D1"/>
    </sheetView>
  </sheetViews>
  <sheetFormatPr baseColWidth="8" defaultColWidth="14.42578125" defaultRowHeight="15.75" customHeight="1"/>
  <cols>
    <col width="43" customWidth="1" style="10" min="2" max="2"/>
    <col width="50.140625" customWidth="1" style="10" min="3" max="4"/>
    <col width="30.42578125" customWidth="1" style="10" min="11" max="11"/>
  </cols>
  <sheetData>
    <row r="1" ht="15" customHeight="1" s="10">
      <c r="A1" s="1" t="inlineStr">
        <is>
          <t>data_set</t>
        </is>
      </c>
      <c r="B1" s="1" t="inlineStr">
        <is>
          <t>family</t>
        </is>
      </c>
      <c r="C1" s="1" t="inlineStr">
        <is>
          <t>image_biomarker</t>
        </is>
      </c>
      <c r="D1" s="1" t="inlineStr">
        <is>
          <t>RadiomicsJ_NAME</t>
        </is>
      </c>
      <c r="E1" s="1" t="inlineStr">
        <is>
          <t>consensus</t>
        </is>
      </c>
      <c r="F1" s="1" t="inlineStr">
        <is>
          <t>benchmark_value</t>
        </is>
      </c>
      <c r="G1" s="2" t="inlineStr">
        <is>
          <t>tolerance</t>
        </is>
      </c>
      <c r="H1" s="1" t="inlineStr">
        <is>
          <t>your_result</t>
        </is>
      </c>
      <c r="I1" s="1" t="inlineStr">
        <is>
          <t>difference</t>
        </is>
      </c>
      <c r="J1" s="1" t="inlineStr">
        <is>
          <t>check</t>
        </is>
      </c>
      <c r="K1" s="1" t="inlineStr">
        <is>
          <t>tag</t>
        </is>
      </c>
      <c r="L1" t="inlineStr">
        <is>
          <t>reference_status</t>
        </is>
      </c>
    </row>
    <row r="2" ht="15" customHeight="1" s="10">
      <c r="A2" t="inlineStr">
        <is>
          <t>digital phantom</t>
        </is>
      </c>
      <c r="B2" t="inlineStr">
        <is>
          <t>Morphology</t>
        </is>
      </c>
      <c r="C2" t="inlineStr">
        <is>
          <t>Volume (mesh-based)</t>
        </is>
      </c>
      <c r="D2" t="inlineStr">
        <is>
          <t>VolumeMesh</t>
        </is>
      </c>
      <c r="E2" t="inlineStr">
        <is>
          <t>6-9</t>
        </is>
      </c>
      <c r="F2" t="n">
        <v>556</v>
      </c>
      <c r="G2" t="n">
        <v>4</v>
      </c>
      <c r="H2" s="4" t="n">
        <v>556</v>
      </c>
      <c r="I2" s="4">
        <f>IFERROR(IF(NOT(H2=""),ABS(ROUNDDOWN(F2-H2, 3 - (1+INT(LOG10(ABS(F2)))))),""),IF(AND(F2=0,NOT(F2="")),ABS(ROUNDDOWN(F2-H2,0)),""))</f>
        <v/>
      </c>
      <c r="J2" s="4">
        <f>IF(NOT(I2=""),IF(I2&lt;=G2,"match",IF(I2&lt;3*G2,"partial match","no match")),"")</f>
        <v/>
      </c>
      <c r="K2" t="inlineStr">
        <is>
          <t>morph_volume</t>
        </is>
      </c>
    </row>
    <row r="3" ht="15" customHeight="1" s="10">
      <c r="A3" t="inlineStr">
        <is>
          <t>digital phantom</t>
        </is>
      </c>
      <c r="B3" t="inlineStr">
        <is>
          <t>Morphology</t>
        </is>
      </c>
      <c r="C3" t="inlineStr">
        <is>
          <t>Volume (counting)</t>
        </is>
      </c>
      <c r="D3" t="inlineStr">
        <is>
          <t>VolumeVoxelCounting</t>
        </is>
      </c>
      <c r="E3" t="inlineStr">
        <is>
          <t>≥ 10</t>
        </is>
      </c>
      <c r="F3" t="n">
        <v>592</v>
      </c>
      <c r="G3" t="n">
        <v>4</v>
      </c>
      <c r="H3" s="4" t="n">
        <v>592</v>
      </c>
      <c r="I3" s="4">
        <f>IFERROR(IF(NOT(H3=""),ABS(ROUNDDOWN(F3-H3, 3 - (1+INT(LOG10(ABS(F3)))))),""),IF(AND(F3=0,NOT(F3="")),ABS(ROUNDDOWN(F3-H3,0)),""))</f>
        <v/>
      </c>
      <c r="J3" s="4">
        <f>IF(NOT(I3=""),IF(I3&lt;=G3,"match",IF(I3&lt;3*G3,"partial match","no match")),"")</f>
        <v/>
      </c>
      <c r="K3" t="inlineStr">
        <is>
          <t>morph_vol_approx</t>
        </is>
      </c>
    </row>
    <row r="4" ht="15" customHeight="1" s="10">
      <c r="A4" t="inlineStr">
        <is>
          <t>digital phantom</t>
        </is>
      </c>
      <c r="B4" t="inlineStr">
        <is>
          <t>Morphology</t>
        </is>
      </c>
      <c r="C4" t="inlineStr">
        <is>
          <t>Surface area</t>
        </is>
      </c>
      <c r="D4" t="inlineStr">
        <is>
          <t>SurfaceAreaMesh</t>
        </is>
      </c>
      <c r="E4" t="inlineStr">
        <is>
          <t>≥ 10</t>
        </is>
      </c>
      <c r="F4" t="n">
        <v>388</v>
      </c>
      <c r="G4" t="n">
        <v>3</v>
      </c>
      <c r="H4" s="4" t="n">
        <v>388</v>
      </c>
      <c r="I4" s="4">
        <f>IFERROR(IF(NOT(H4=""),ABS(ROUNDDOWN(F4-H4, 3 - (1+INT(LOG10(ABS(F4)))))),""),IF(AND(F4=0,NOT(F4="")),ABS(ROUNDDOWN(F4-H4,0)),""))</f>
        <v/>
      </c>
      <c r="J4" s="4">
        <f>IF(NOT(I4=""),IF(I4&lt;=G4,"match",IF(I4&lt;3*G4,"partial match","no match")),"")</f>
        <v/>
      </c>
      <c r="K4" t="inlineStr">
        <is>
          <t>morph_area_mesh</t>
        </is>
      </c>
    </row>
    <row r="5" ht="15" customHeight="1" s="10">
      <c r="A5" t="inlineStr">
        <is>
          <t>digital phantom</t>
        </is>
      </c>
      <c r="B5" t="inlineStr">
        <is>
          <t>Morphology</t>
        </is>
      </c>
      <c r="C5" t="inlineStr">
        <is>
          <t>Surface to volume ratio</t>
        </is>
      </c>
      <c r="D5" t="inlineStr">
        <is>
          <t>SurfaceToVolumeRatio</t>
        </is>
      </c>
      <c r="E5" t="inlineStr">
        <is>
          <t>6-9</t>
        </is>
      </c>
      <c r="F5" t="n">
        <v>0.698</v>
      </c>
      <c r="G5" t="n">
        <v>0.004</v>
      </c>
      <c r="H5" s="4" t="n">
        <v>0.6975</v>
      </c>
      <c r="I5" s="4">
        <f>IFERROR(IF(NOT(H5=""),ABS(ROUNDDOWN(F5-H5, 3 - (1+INT(LOG10(ABS(F5)))))),""),IF(AND(F5=0,NOT(F5="")),ABS(ROUNDDOWN(F5-H5,0)),""))</f>
        <v/>
      </c>
      <c r="J5" s="4">
        <f>IF(NOT(I5=""),IF(I5&lt;=G5,"match",IF(I5&lt;3*G5,"partial match","no match")),"")</f>
        <v/>
      </c>
      <c r="K5" t="inlineStr">
        <is>
          <t>morph_av</t>
        </is>
      </c>
    </row>
    <row r="6" ht="15" customHeight="1" s="10">
      <c r="A6" t="inlineStr">
        <is>
          <t>digital phantom</t>
        </is>
      </c>
      <c r="B6" t="inlineStr">
        <is>
          <t>Morphology</t>
        </is>
      </c>
      <c r="C6" t="inlineStr">
        <is>
          <t>Compactness 1</t>
        </is>
      </c>
      <c r="D6" t="inlineStr">
        <is>
          <t>Compactness1</t>
        </is>
      </c>
      <c r="E6" t="inlineStr">
        <is>
          <t>6-9</t>
        </is>
      </c>
      <c r="F6" t="n">
        <v>0.0411</v>
      </c>
      <c r="G6" t="n">
        <v>0.0003</v>
      </c>
      <c r="H6" s="4" t="n">
        <v>0.041057</v>
      </c>
      <c r="I6" s="4">
        <f>IFERROR(IF(NOT(H6=""),ABS(ROUNDDOWN(F6-H6, 3 - (1+INT(LOG10(ABS(F6)))))),""),IF(AND(F6=0,NOT(F6="")),ABS(ROUNDDOWN(F6-H6,0)),""))</f>
        <v/>
      </c>
      <c r="J6" s="4">
        <f>IF(NOT(I6=""),IF(I6&lt;=G6,"match",IF(I6&lt;3*G6,"partial match","no match")),"")</f>
        <v/>
      </c>
      <c r="K6" t="inlineStr">
        <is>
          <t>morph_comp_1</t>
        </is>
      </c>
    </row>
    <row r="7" ht="15" customHeight="1" s="10">
      <c r="A7" t="inlineStr">
        <is>
          <t>digital phantom</t>
        </is>
      </c>
      <c r="B7" t="inlineStr">
        <is>
          <t>Morphology</t>
        </is>
      </c>
      <c r="C7" t="inlineStr">
        <is>
          <t>Compactness 2</t>
        </is>
      </c>
      <c r="D7" t="inlineStr">
        <is>
          <t>Compactness2</t>
        </is>
      </c>
      <c r="E7" t="inlineStr">
        <is>
          <t>6-9</t>
        </is>
      </c>
      <c r="F7" t="n">
        <v>0.599</v>
      </c>
      <c r="G7" t="n">
        <v>0.004</v>
      </c>
      <c r="H7" s="4" t="n">
        <v>0.59894</v>
      </c>
      <c r="I7" s="4">
        <f>IFERROR(IF(NOT(H7=""),ABS(ROUNDDOWN(F7-H7, 3 - (1+INT(LOG10(ABS(F7)))))),""),IF(AND(F7=0,NOT(F7="")),ABS(ROUNDDOWN(F7-H7,0)),""))</f>
        <v/>
      </c>
      <c r="J7" s="4">
        <f>IF(NOT(I7=""),IF(I7&lt;=G7,"match",IF(I7&lt;3*G7,"partial match","no match")),"")</f>
        <v/>
      </c>
      <c r="K7" t="inlineStr">
        <is>
          <t>morph_comp_2</t>
        </is>
      </c>
    </row>
    <row r="8" ht="15" customHeight="1" s="10">
      <c r="A8" t="inlineStr">
        <is>
          <t>digital phantom</t>
        </is>
      </c>
      <c r="B8" t="inlineStr">
        <is>
          <t>Morphology</t>
        </is>
      </c>
      <c r="C8" t="inlineStr">
        <is>
          <t>Spherical disproportion</t>
        </is>
      </c>
      <c r="D8" t="inlineStr">
        <is>
          <t>SphericalDisproportion</t>
        </is>
      </c>
      <c r="E8" t="inlineStr">
        <is>
          <t>6-9</t>
        </is>
      </c>
      <c r="F8" t="n">
        <v>1.19</v>
      </c>
      <c r="G8" t="n">
        <v>0.01</v>
      </c>
      <c r="H8" s="4" t="n">
        <v>1.186323</v>
      </c>
      <c r="I8" s="4">
        <f>IFERROR(IF(NOT(H8=""),ABS(ROUNDDOWN(F8-H8, 3 - (1+INT(LOG10(ABS(F8)))))),""),IF(AND(F8=0,NOT(F8="")),ABS(ROUNDDOWN(F8-H8,0)),""))</f>
        <v/>
      </c>
      <c r="J8" s="4">
        <f>IF(NOT(I8=""),IF(I8&lt;=G8,"match",IF(I8&lt;3*G8,"partial match","no match")),"")</f>
        <v/>
      </c>
      <c r="K8" t="inlineStr">
        <is>
          <t>morph_sph_dispr</t>
        </is>
      </c>
    </row>
    <row r="9" ht="15" customHeight="1" s="10">
      <c r="A9" t="inlineStr">
        <is>
          <t>digital phantom</t>
        </is>
      </c>
      <c r="B9" t="inlineStr">
        <is>
          <t>Morphology</t>
        </is>
      </c>
      <c r="C9" t="inlineStr">
        <is>
          <t>Sphericity</t>
        </is>
      </c>
      <c r="D9" t="inlineStr">
        <is>
          <t>Sphericity</t>
        </is>
      </c>
      <c r="E9" t="inlineStr">
        <is>
          <t>6-9</t>
        </is>
      </c>
      <c r="F9" t="n">
        <v>0.843</v>
      </c>
      <c r="G9" t="n">
        <v>0.005</v>
      </c>
      <c r="H9" s="4" t="n">
        <v>0.84294</v>
      </c>
      <c r="I9" s="4">
        <f>IFERROR(IF(NOT(H9=""),ABS(ROUNDDOWN(F9-H9, 3 - (1+INT(LOG10(ABS(F9)))))),""),IF(AND(F9=0,NOT(F9="")),ABS(ROUNDDOWN(F9-H9,0)),""))</f>
        <v/>
      </c>
      <c r="J9" s="4">
        <f>IF(NOT(I9=""),IF(I9&lt;=G9,"match",IF(I9&lt;3*G9,"partial match","no match")),"")</f>
        <v/>
      </c>
      <c r="K9" t="inlineStr">
        <is>
          <t>morph_sphericity</t>
        </is>
      </c>
    </row>
    <row r="10" ht="15" customHeight="1" s="10">
      <c r="A10" t="inlineStr">
        <is>
          <t>digital phantom</t>
        </is>
      </c>
      <c r="B10" t="inlineStr">
        <is>
          <t>Morphology</t>
        </is>
      </c>
      <c r="C10" t="inlineStr">
        <is>
          <t>Asphericity</t>
        </is>
      </c>
      <c r="D10" t="inlineStr">
        <is>
          <t>Asphericity</t>
        </is>
      </c>
      <c r="E10" t="inlineStr">
        <is>
          <t>6-9</t>
        </is>
      </c>
      <c r="F10" t="n">
        <v>0.186</v>
      </c>
      <c r="G10" t="n">
        <v>0.001</v>
      </c>
      <c r="H10" s="4" t="n">
        <v>0.18632387</v>
      </c>
      <c r="I10" s="4">
        <f>IFERROR(IF(NOT(H10=""),ABS(ROUNDDOWN(F10-H10, 3 - (1+INT(LOG10(ABS(F10)))))),""),IF(AND(F10=0,NOT(F10="")),ABS(ROUNDDOWN(F10-H10,0)),""))</f>
        <v/>
      </c>
      <c r="J10" s="4">
        <f>IF(NOT(I10=""),IF(I10&lt;=G10,"match",IF(I10&lt;3*G10,"partial match","no match")),"")</f>
        <v/>
      </c>
      <c r="K10" t="inlineStr">
        <is>
          <t>morph_asphericity</t>
        </is>
      </c>
    </row>
    <row r="11" ht="15" customHeight="1" s="10">
      <c r="A11" t="inlineStr">
        <is>
          <t>digital phantom</t>
        </is>
      </c>
      <c r="B11" t="inlineStr">
        <is>
          <t>Morphology</t>
        </is>
      </c>
      <c r="C11" t="inlineStr">
        <is>
          <t>Centre of mass shift</t>
        </is>
      </c>
      <c r="D11" t="inlineStr">
        <is>
          <t>CentreOfMassShift</t>
        </is>
      </c>
      <c r="E11" t="inlineStr">
        <is>
          <t>≥ 10</t>
        </is>
      </c>
      <c r="F11" t="n">
        <v>0.672</v>
      </c>
      <c r="G11" t="n">
        <v>0.004</v>
      </c>
      <c r="H11" s="4" t="n">
        <v>0.67154492</v>
      </c>
      <c r="I11" s="4">
        <f>IFERROR(IF(NOT(H11=""),ABS(ROUNDDOWN(F11-H11, 3 - (1+INT(LOG10(ABS(F11)))))),""),IF(AND(F11=0,NOT(F11="")),ABS(ROUNDDOWN(F11-H11,0)),""))</f>
        <v/>
      </c>
      <c r="J11" s="4">
        <f>IF(NOT(I11=""),IF(I11&lt;=G11,"match",IF(I11&lt;3*G11,"partial match","no match")),"")</f>
        <v/>
      </c>
      <c r="K11" t="inlineStr">
        <is>
          <t>morph_com</t>
        </is>
      </c>
    </row>
    <row r="12" ht="15" customHeight="1" s="10">
      <c r="A12" t="inlineStr">
        <is>
          <t>digital phantom</t>
        </is>
      </c>
      <c r="B12" s="11" t="inlineStr">
        <is>
          <t>Morphology</t>
        </is>
      </c>
      <c r="C12" t="inlineStr">
        <is>
          <t>Maximum 3D diameter</t>
        </is>
      </c>
      <c r="D12" t="inlineStr">
        <is>
          <t>Maximum3DDiameter</t>
        </is>
      </c>
      <c r="E12" t="inlineStr">
        <is>
          <t>6-9</t>
        </is>
      </c>
      <c r="F12" t="n">
        <v>13.1</v>
      </c>
      <c r="G12" t="n">
        <v>0.1</v>
      </c>
      <c r="H12" s="4" t="n">
        <v>13.1148767</v>
      </c>
      <c r="I12" s="4">
        <f>IFERROR(IF(NOT(H12=""),ABS(ROUNDDOWN(F12-H12, 3 - (1+INT(LOG10(ABS(F12)))))),""),IF(AND(F12=0,NOT(F12="")),ABS(ROUNDDOWN(F12-H12,0)),""))</f>
        <v/>
      </c>
      <c r="J12" s="4">
        <f>IF(NOT(I12=""),IF(I12&lt;=G12,"match",IF(I12&lt;3*G12,"partial match","no match")),"")</f>
        <v/>
      </c>
      <c r="K12" t="inlineStr">
        <is>
          <t>morph_diam</t>
        </is>
      </c>
    </row>
    <row r="13" ht="15" customHeight="1" s="10">
      <c r="A13" t="inlineStr">
        <is>
          <t>digital phantom</t>
        </is>
      </c>
      <c r="B13" t="inlineStr">
        <is>
          <t>Morphology</t>
        </is>
      </c>
      <c r="C13" t="inlineStr">
        <is>
          <t>Major axis length</t>
        </is>
      </c>
      <c r="D13" t="inlineStr">
        <is>
          <t>MajorAxisLength</t>
        </is>
      </c>
      <c r="E13" t="inlineStr">
        <is>
          <t>≥ 10</t>
        </is>
      </c>
      <c r="F13" t="n">
        <v>11.4</v>
      </c>
      <c r="G13" t="n">
        <v>0.1</v>
      </c>
      <c r="H13" s="4" t="n">
        <v>11.4023</v>
      </c>
      <c r="I13" s="4">
        <f>IFERROR(IF(NOT(H13=""),ABS(ROUNDDOWN(F13-H13, 3 - (1+INT(LOG10(ABS(F13)))))),""),IF(AND(F13=0,NOT(F13="")),ABS(ROUNDDOWN(F13-H13,0)),""))</f>
        <v/>
      </c>
      <c r="J13" s="4">
        <f>IF(NOT(I13=""),IF(I13&lt;=G13,"match",IF(I13&lt;3*G13,"partial match","no match")),"")</f>
        <v/>
      </c>
      <c r="K13" t="inlineStr">
        <is>
          <t>morph_pca_maj_axis</t>
        </is>
      </c>
    </row>
    <row r="14" ht="15" customHeight="1" s="10">
      <c r="A14" t="inlineStr">
        <is>
          <t>digital phantom</t>
        </is>
      </c>
      <c r="B14" t="inlineStr">
        <is>
          <t>Morphology</t>
        </is>
      </c>
      <c r="C14" t="inlineStr">
        <is>
          <t>Minor axis length</t>
        </is>
      </c>
      <c r="D14" t="inlineStr">
        <is>
          <t>MinorAxisLength</t>
        </is>
      </c>
      <c r="E14" t="inlineStr">
        <is>
          <t>≥ 10</t>
        </is>
      </c>
      <c r="F14" t="n">
        <v>9.31</v>
      </c>
      <c r="G14" t="n">
        <v>0.06</v>
      </c>
      <c r="H14" s="4" t="n">
        <v>9.308010769999999</v>
      </c>
      <c r="I14" s="4">
        <f>IFERROR(IF(NOT(H14=""),ABS(ROUNDDOWN(F14-H14, 3 - (1+INT(LOG10(ABS(F14)))))),""),IF(AND(F14=0,NOT(F14="")),ABS(ROUNDDOWN(F14-H14,0)),""))</f>
        <v/>
      </c>
      <c r="J14" s="4">
        <f>IF(NOT(I14=""),IF(I14&lt;=G14,"match",IF(I14&lt;3*G14,"partial match","no match")),"")</f>
        <v/>
      </c>
      <c r="K14" t="inlineStr">
        <is>
          <t>morph_pca_min_axis</t>
        </is>
      </c>
    </row>
    <row r="15" ht="15" customHeight="1" s="10">
      <c r="A15" t="inlineStr">
        <is>
          <t>digital phantom</t>
        </is>
      </c>
      <c r="B15" t="inlineStr">
        <is>
          <t>Morphology</t>
        </is>
      </c>
      <c r="C15" t="inlineStr">
        <is>
          <t>Least axis length</t>
        </is>
      </c>
      <c r="D15" t="inlineStr">
        <is>
          <t>LeastAxisLength</t>
        </is>
      </c>
      <c r="E15" t="inlineStr">
        <is>
          <t>≥ 10</t>
        </is>
      </c>
      <c r="F15" t="n">
        <v>8.539999999999999</v>
      </c>
      <c r="G15" t="n">
        <v>0.05</v>
      </c>
      <c r="H15" s="4" t="n">
        <v>8.535981209999999</v>
      </c>
      <c r="I15" s="4">
        <f>IFERROR(IF(NOT(H15=""),ABS(ROUNDDOWN(F15-H15, 3 - (1+INT(LOG10(ABS(F15)))))),""),IF(AND(F15=0,NOT(F15="")),ABS(ROUNDDOWN(F15-H15,0)),""))</f>
        <v/>
      </c>
      <c r="J15" s="4">
        <f>IF(NOT(I15=""),IF(I15&lt;=G15,"match",IF(I15&lt;3*G15,"partial match","no match")),"")</f>
        <v/>
      </c>
      <c r="K15" t="inlineStr">
        <is>
          <t>morph_pca_least_axis</t>
        </is>
      </c>
    </row>
    <row r="16" ht="15" customHeight="1" s="10">
      <c r="A16" t="inlineStr">
        <is>
          <t>digital phantom</t>
        </is>
      </c>
      <c r="B16" t="inlineStr">
        <is>
          <t>Morphology</t>
        </is>
      </c>
      <c r="C16" t="inlineStr">
        <is>
          <t>Elongation</t>
        </is>
      </c>
      <c r="D16" t="inlineStr">
        <is>
          <t>Elongation</t>
        </is>
      </c>
      <c r="E16" t="inlineStr">
        <is>
          <t>≥ 10</t>
        </is>
      </c>
      <c r="F16" t="n">
        <v>0.8159999999999999</v>
      </c>
      <c r="G16" t="n">
        <v>0.005</v>
      </c>
      <c r="H16" s="4" t="n">
        <v>0.8163212</v>
      </c>
      <c r="I16" s="4">
        <f>IFERROR(IF(NOT(H16=""),ABS(ROUNDDOWN(F16-H16, 3 - (1+INT(LOG10(ABS(F16)))))),""),IF(AND(F16=0,NOT(F16="")),ABS(ROUNDDOWN(F16-H16,0)),""))</f>
        <v/>
      </c>
      <c r="J16" s="4">
        <f>IF(NOT(I16=""),IF(I16&lt;=G16,"match",IF(I16&lt;3*G16,"partial match","no match")),"")</f>
        <v/>
      </c>
      <c r="K16" t="inlineStr">
        <is>
          <t>morph_pca_elongation</t>
        </is>
      </c>
    </row>
    <row r="17" ht="15" customHeight="1" s="10">
      <c r="A17" t="inlineStr">
        <is>
          <t>digital phantom</t>
        </is>
      </c>
      <c r="B17" t="inlineStr">
        <is>
          <t>Morphology</t>
        </is>
      </c>
      <c r="C17" t="inlineStr">
        <is>
          <t>Flatness</t>
        </is>
      </c>
      <c r="D17" t="inlineStr">
        <is>
          <t>Flatness</t>
        </is>
      </c>
      <c r="E17" t="inlineStr">
        <is>
          <t>≥ 10</t>
        </is>
      </c>
      <c r="F17" t="n">
        <v>0.749</v>
      </c>
      <c r="G17" t="n">
        <v>0.005</v>
      </c>
      <c r="H17" s="4" t="n">
        <v>0.74861</v>
      </c>
      <c r="I17" s="4">
        <f>IFERROR(IF(NOT(H17=""),ABS(ROUNDDOWN(F17-H17, 3 - (1+INT(LOG10(ABS(F17)))))),""),IF(AND(F17=0,NOT(F17="")),ABS(ROUNDDOWN(F17-H17,0)),""))</f>
        <v/>
      </c>
      <c r="J17" s="4">
        <f>IF(NOT(I17=""),IF(I17&lt;=G17,"match",IF(I17&lt;3*G17,"partial match","no match")),"")</f>
        <v/>
      </c>
      <c r="K17" t="inlineStr">
        <is>
          <t>morph_pca_flatness</t>
        </is>
      </c>
    </row>
    <row r="18" ht="15" customHeight="1" s="10">
      <c r="A18" t="inlineStr">
        <is>
          <t>digital phantom</t>
        </is>
      </c>
      <c r="B18" t="inlineStr">
        <is>
          <t>Morphology</t>
        </is>
      </c>
      <c r="C18" t="inlineStr">
        <is>
          <t>Volume density (AABB)</t>
        </is>
      </c>
      <c r="D18" t="inlineStr">
        <is>
          <t>VolumeDensity_AxisAlignedBoundingBox</t>
        </is>
      </c>
      <c r="E18" t="inlineStr">
        <is>
          <t>6-9</t>
        </is>
      </c>
      <c r="F18" t="n">
        <v>0.869</v>
      </c>
      <c r="G18" t="n">
        <v>0.005</v>
      </c>
      <c r="H18" s="4" t="n">
        <v>0.8692708</v>
      </c>
      <c r="I18" s="4">
        <f>IFERROR(IF(NOT(H18=""),ABS(ROUNDDOWN(F18-H18, 3 - (1+INT(LOG10(ABS(F18)))))),""),IF(AND(F18=0,NOT(F18="")),ABS(ROUNDDOWN(F18-H18,0)),""))</f>
        <v/>
      </c>
      <c r="J18" s="4">
        <f>IF(NOT(I18=""),IF(I18&lt;=G18,"match",IF(I18&lt;3*G18,"partial match","no match")),"")</f>
        <v/>
      </c>
      <c r="K18" t="inlineStr">
        <is>
          <t>morph_vol_dens_aabb</t>
        </is>
      </c>
    </row>
    <row r="19" ht="15" customHeight="1" s="10">
      <c r="A19" t="inlineStr">
        <is>
          <t>digital phantom</t>
        </is>
      </c>
      <c r="B19" t="inlineStr">
        <is>
          <t>Morphology</t>
        </is>
      </c>
      <c r="C19" t="inlineStr">
        <is>
          <t>Area density (AABB)</t>
        </is>
      </c>
      <c r="D19" t="inlineStr">
        <is>
          <t>AreaDensity_AxisAlignedBoundingBox</t>
        </is>
      </c>
      <c r="E19" t="inlineStr">
        <is>
          <t>6-9</t>
        </is>
      </c>
      <c r="F19" t="n">
        <v>0.866</v>
      </c>
      <c r="G19" t="n">
        <v>0.005</v>
      </c>
      <c r="H19" s="4" t="n">
        <v>0.86622907</v>
      </c>
      <c r="I19" s="4">
        <f>IFERROR(IF(NOT(H19=""),ABS(ROUNDDOWN(F19-H19, 3 - (1+INT(LOG10(ABS(F19)))))),""),IF(AND(F19=0,NOT(F19="")),ABS(ROUNDDOWN(F19-H19,0)),""))</f>
        <v/>
      </c>
      <c r="J19" s="4">
        <f>IF(NOT(I19=""),IF(I19&lt;=G19,"match",IF(I19&lt;3*G19,"partial match","no match")),"")</f>
        <v/>
      </c>
      <c r="K19" t="inlineStr">
        <is>
          <t>morph_area_dens_aabb</t>
        </is>
      </c>
    </row>
    <row r="20" ht="15" customHeight="1" s="10">
      <c r="A20" t="inlineStr">
        <is>
          <t>digital phantom</t>
        </is>
      </c>
      <c r="B20" t="inlineStr">
        <is>
          <t>Morphology</t>
        </is>
      </c>
      <c r="C20" t="inlineStr">
        <is>
          <t>Volume density (OMBB)</t>
        </is>
      </c>
      <c r="D20" t="inlineStr">
        <is>
          <t>VolumeDensity_OrientedMinimumBoundingBox</t>
        </is>
      </c>
      <c r="E20" t="inlineStr">
        <is>
          <t>3-5</t>
        </is>
      </c>
      <c r="F20" t="n">
        <v>0.869</v>
      </c>
      <c r="G20" t="n">
        <v>0.005</v>
      </c>
      <c r="H20" s="4" t="n"/>
      <c r="I20" s="4">
        <f>IFERROR(IF(NOT(H20=""),ABS(ROUNDDOWN(F20-H20, 3 - (1+INT(LOG10(ABS(F20)))))),""),IF(AND(F20=0,NOT(F20="")),ABS(ROUNDDOWN(F20-H20,0)),""))</f>
        <v/>
      </c>
      <c r="J20" s="4">
        <f>IF(NOT(I20=""),IF(I20&lt;=G20,"match",IF(I20&lt;3*G20,"partial match","no match")),"")</f>
        <v/>
      </c>
      <c r="K20" t="inlineStr">
        <is>
          <t>morph_vol_dens_ombb</t>
        </is>
      </c>
      <c r="L20" t="inlineStr">
        <is>
          <t>not-in-ibsi1-manual</t>
        </is>
      </c>
    </row>
    <row r="21" ht="15" customHeight="1" s="10">
      <c r="A21" t="inlineStr">
        <is>
          <t>digital phantom</t>
        </is>
      </c>
      <c r="B21" t="inlineStr">
        <is>
          <t>Morphology</t>
        </is>
      </c>
      <c r="C21" t="inlineStr">
        <is>
          <t>Area density (OMBB)</t>
        </is>
      </c>
      <c r="D21" t="inlineStr">
        <is>
          <t>AreaDensity_OrientedMinimumBoundingBox</t>
        </is>
      </c>
      <c r="E21" t="inlineStr">
        <is>
          <t>3-5</t>
        </is>
      </c>
      <c r="F21" t="n">
        <v>0.866</v>
      </c>
      <c r="G21" t="n">
        <v>0.005</v>
      </c>
      <c r="H21" s="4" t="n"/>
      <c r="I21" s="4">
        <f>IFERROR(IF(NOT(H21=""),ABS(ROUNDDOWN(F21-H21, 3 - (1+INT(LOG10(ABS(F21)))))),""),IF(AND(F21=0,NOT(F21="")),ABS(ROUNDDOWN(F21-H21,0)),""))</f>
        <v/>
      </c>
      <c r="J21" s="4">
        <f>IF(NOT(I21=""),IF(I21&lt;=G21,"match",IF(I21&lt;3*G21,"partial match","no match")),"")</f>
        <v/>
      </c>
      <c r="K21" t="inlineStr">
        <is>
          <t>morph_area_dens_ombb</t>
        </is>
      </c>
      <c r="L21" t="inlineStr">
        <is>
          <t>not-in-ibsi1-manual</t>
        </is>
      </c>
    </row>
    <row r="22" ht="15" customHeight="1" s="10">
      <c r="A22" t="inlineStr">
        <is>
          <t>digital phantom</t>
        </is>
      </c>
      <c r="B22" t="inlineStr">
        <is>
          <t>Morphology</t>
        </is>
      </c>
      <c r="C22" t="inlineStr">
        <is>
          <t>Volume density (AEE)</t>
        </is>
      </c>
      <c r="D22" t="inlineStr">
        <is>
          <t>VolumeDensity_ApproximateEnclosingEllipsoid</t>
        </is>
      </c>
      <c r="E22" t="inlineStr">
        <is>
          <t>6-9</t>
        </is>
      </c>
      <c r="F22" t="n">
        <v>1.17</v>
      </c>
      <c r="G22" t="n">
        <v>0.01</v>
      </c>
      <c r="H22" s="4" t="n">
        <v>1.17281</v>
      </c>
      <c r="I22" s="4">
        <f>IFERROR(IF(NOT(H22=""),ABS(ROUNDDOWN(F22-H22, 3 - (1+INT(LOG10(ABS(F22)))))),""),IF(AND(F22=0,NOT(F22="")),ABS(ROUNDDOWN(F22-H22,0)),""))</f>
        <v/>
      </c>
      <c r="J22" s="4">
        <f>IF(NOT(I22=""),IF(I22&lt;=G22,"match",IF(I22&lt;3*G22,"partial match","no match")),"")</f>
        <v/>
      </c>
      <c r="K22" t="inlineStr">
        <is>
          <t>morph_vol_dens_aee</t>
        </is>
      </c>
    </row>
    <row r="23" ht="15" customHeight="1" s="10">
      <c r="A23" t="inlineStr">
        <is>
          <t>digital phantom</t>
        </is>
      </c>
      <c r="B23" t="inlineStr">
        <is>
          <t>Morphology</t>
        </is>
      </c>
      <c r="C23" t="inlineStr">
        <is>
          <t>Area density (AEE)</t>
        </is>
      </c>
      <c r="D23" t="inlineStr">
        <is>
          <t>AreaDensity_ApproximateEnclosingEllipsoid</t>
        </is>
      </c>
      <c r="E23" t="inlineStr">
        <is>
          <t>3-5</t>
        </is>
      </c>
      <c r="F23" t="n">
        <v>1.36</v>
      </c>
      <c r="G23" t="n">
        <v>0.01</v>
      </c>
      <c r="H23" s="4" t="n">
        <v>1.355128</v>
      </c>
      <c r="I23" s="4">
        <f>IFERROR(IF(NOT(H23=""),ABS(ROUNDDOWN(F23-H23, 3 - (1+INT(LOG10(ABS(F23)))))),""),IF(AND(F23=0,NOT(F23="")),ABS(ROUNDDOWN(F23-H23,0)),""))</f>
        <v/>
      </c>
      <c r="J23" s="4">
        <f>IF(NOT(I23=""),IF(I23&lt;=G23,"match",IF(I23&lt;3*G23,"partial match","no match")),"")</f>
        <v/>
      </c>
      <c r="K23" t="inlineStr">
        <is>
          <t>morph_area_dens_aee</t>
        </is>
      </c>
    </row>
    <row r="24" ht="15" customHeight="1" s="10">
      <c r="A24" t="inlineStr">
        <is>
          <t>digital phantom</t>
        </is>
      </c>
      <c r="B24" t="inlineStr">
        <is>
          <t>Morphology</t>
        </is>
      </c>
      <c r="C24" t="inlineStr">
        <is>
          <t>Volume density (MVEE)</t>
        </is>
      </c>
      <c r="D24" t="inlineStr">
        <is>
          <t>VolumeDensity_MinimumVolumeEnclosingEllipsoid</t>
        </is>
      </c>
      <c r="E24" t="inlineStr">
        <is>
          <t>&lt; 3</t>
        </is>
      </c>
      <c r="H24" s="4" t="n"/>
      <c r="I24" s="4">
        <f>IFERROR(IF(NOT(H24=""),ABS(ROUNDDOWN(F24-H24, 3 - (1+INT(LOG10(ABS(F24)))))),""),IF(AND(F24=0,NOT(F24="")),ABS(ROUNDDOWN(F24-H24,0)),""))</f>
        <v/>
      </c>
      <c r="J24" s="4">
        <f>IF(NOT(I24=""),IF(I24&lt;=G24,"match",IF(I24&lt;3*G24,"partial match","no match")),"")</f>
        <v/>
      </c>
      <c r="K24" t="inlineStr">
        <is>
          <t>morph_vol_dens_mvee</t>
        </is>
      </c>
    </row>
    <row r="25" ht="15" customHeight="1" s="10">
      <c r="A25" t="inlineStr">
        <is>
          <t>digital phantom</t>
        </is>
      </c>
      <c r="B25" t="inlineStr">
        <is>
          <t>Morphology</t>
        </is>
      </c>
      <c r="C25" t="inlineStr">
        <is>
          <t>Area density (MVEE)</t>
        </is>
      </c>
      <c r="D25" t="inlineStr">
        <is>
          <t>AreaDensity_MinimumVolumeEnclosingEllipsoid</t>
        </is>
      </c>
      <c r="E25" t="inlineStr">
        <is>
          <t>&lt; 3</t>
        </is>
      </c>
      <c r="H25" s="4" t="n"/>
      <c r="I25" s="4">
        <f>IFERROR(IF(NOT(H25=""),ABS(ROUNDDOWN(F25-H25, 3 - (1+INT(LOG10(ABS(F25)))))),""),IF(AND(F25=0,NOT(F25="")),ABS(ROUNDDOWN(F25-H25,0)),""))</f>
        <v/>
      </c>
      <c r="J25" s="4">
        <f>IF(NOT(I25=""),IF(I25&lt;=G25,"match",IF(I25&lt;3*G25,"partial match","no match")),"")</f>
        <v/>
      </c>
      <c r="K25" t="inlineStr">
        <is>
          <t>morph_area_dens_mvee</t>
        </is>
      </c>
    </row>
    <row r="26" ht="15" customHeight="1" s="10">
      <c r="A26" t="inlineStr">
        <is>
          <t>digital phantom</t>
        </is>
      </c>
      <c r="B26" t="inlineStr">
        <is>
          <t>Morphology</t>
        </is>
      </c>
      <c r="C26" t="inlineStr">
        <is>
          <t>Volume density (convex hull)</t>
        </is>
      </c>
      <c r="D26" t="inlineStr">
        <is>
          <t>VolumeDensity_ConvexHull</t>
        </is>
      </c>
      <c r="E26" t="inlineStr">
        <is>
          <t>6-9</t>
        </is>
      </c>
      <c r="F26" t="n">
        <v>0.961</v>
      </c>
      <c r="G26" t="n">
        <v>0.006</v>
      </c>
      <c r="H26" s="4" t="n">
        <v>0.9070652</v>
      </c>
      <c r="I26" s="4">
        <f>IFERROR(IF(NOT(H26=""),ABS(ROUNDDOWN(F26-H26, 3 - (1+INT(LOG10(ABS(F26)))))),""),IF(AND(F26=0,NOT(F26="")),ABS(ROUNDDOWN(F26-H26,0)),""))</f>
        <v/>
      </c>
      <c r="J26" s="4">
        <f>IF(NOT(I26=""),IF(I26&lt;=G26,"match",IF(I26&lt;3*G26,"partial match","no match")),"")</f>
        <v/>
      </c>
      <c r="K26" t="inlineStr">
        <is>
          <t>morph_vol_dens_conv_hull</t>
        </is>
      </c>
    </row>
    <row r="27" ht="15" customHeight="1" s="10">
      <c r="A27" t="inlineStr">
        <is>
          <t>digital phantom</t>
        </is>
      </c>
      <c r="B27" t="inlineStr">
        <is>
          <t>Morphology</t>
        </is>
      </c>
      <c r="C27" t="inlineStr">
        <is>
          <t>Area density (convex hull)</t>
        </is>
      </c>
      <c r="D27" t="inlineStr">
        <is>
          <t>AreaDensity_ConvexHull</t>
        </is>
      </c>
      <c r="E27" t="inlineStr">
        <is>
          <t>6-9</t>
        </is>
      </c>
      <c r="F27" t="n">
        <v>1.03</v>
      </c>
      <c r="G27" t="n">
        <v>0.01</v>
      </c>
      <c r="H27" s="4" t="n">
        <v>1.07836</v>
      </c>
      <c r="I27" s="4">
        <f>IFERROR(IF(NOT(H27=""),ABS(ROUNDDOWN(F27-H27, 3 - (1+INT(LOG10(ABS(F27)))))),""),IF(AND(F27=0,NOT(F27="")),ABS(ROUNDDOWN(F27-H27,0)),""))</f>
        <v/>
      </c>
      <c r="J27" s="4">
        <f>IF(NOT(I27=""),IF(I27&lt;=G27,"match",IF(I27&lt;3*G27,"partial match","no match")),"")</f>
        <v/>
      </c>
      <c r="K27" t="inlineStr">
        <is>
          <t>morph_area_dens_conv_hull</t>
        </is>
      </c>
    </row>
    <row r="28" ht="15" customHeight="1" s="10">
      <c r="A28" t="inlineStr">
        <is>
          <t>digital phantom</t>
        </is>
      </c>
      <c r="B28" t="inlineStr">
        <is>
          <t>Morphology</t>
        </is>
      </c>
      <c r="C28" t="inlineStr">
        <is>
          <t>Integrated intensity</t>
        </is>
      </c>
      <c r="D28" t="inlineStr">
        <is>
          <t>IntegratedIntensity</t>
        </is>
      </c>
      <c r="E28" t="inlineStr">
        <is>
          <t>3-5</t>
        </is>
      </c>
      <c r="F28" t="n">
        <v>1200</v>
      </c>
      <c r="G28" t="n">
        <v>10</v>
      </c>
      <c r="H28" s="4" t="n">
        <v>1195.36482</v>
      </c>
      <c r="I28" s="4">
        <f>IFERROR(IF(NOT(H28=""),ABS(ROUNDDOWN(F28-H28, 3 - (1+INT(LOG10(ABS(F28)))))),""),IF(AND(F28=0,NOT(F28="")),ABS(ROUNDDOWN(F28-H28,0)),""))</f>
        <v/>
      </c>
      <c r="J28" s="4">
        <f>IF(NOT(I28=""),IF(I28&lt;=G28,"match",IF(I28&lt;3*G28,"partial match","no match")),"")</f>
        <v/>
      </c>
      <c r="K28" t="inlineStr">
        <is>
          <t>morph_integ_int</t>
        </is>
      </c>
    </row>
    <row r="29" ht="15" customHeight="1" s="10">
      <c r="A29" t="inlineStr">
        <is>
          <t>digital phantom</t>
        </is>
      </c>
      <c r="B29" t="inlineStr">
        <is>
          <t>Morphology</t>
        </is>
      </c>
      <c r="C29" t="inlineStr">
        <is>
          <t>Moran's I index</t>
        </is>
      </c>
      <c r="D29" t="inlineStr">
        <is>
          <t>MoransIIndex</t>
        </is>
      </c>
      <c r="E29" t="inlineStr">
        <is>
          <t>6-9</t>
        </is>
      </c>
      <c r="F29" t="n">
        <v>0.0397</v>
      </c>
      <c r="G29" t="n">
        <v>0.0003</v>
      </c>
      <c r="H29" s="4" t="n">
        <v>0.0397035</v>
      </c>
      <c r="I29" s="4">
        <f>IFERROR(IF(NOT(H29=""),ABS(ROUNDDOWN(F29-H29, 3 - (1+INT(LOG10(ABS(F29)))))),""),IF(AND(F29=0,NOT(F29="")),ABS(ROUNDDOWN(F29-H29,0)),""))</f>
        <v/>
      </c>
      <c r="J29" s="4">
        <f>IF(NOT(I29=""),IF(I29&lt;=G29,"match",IF(I29&lt;3*G29,"partial match","no match")),"")</f>
        <v/>
      </c>
      <c r="K29" t="inlineStr">
        <is>
          <t>morph_moran_i</t>
        </is>
      </c>
    </row>
    <row r="30" ht="15" customHeight="1" s="10">
      <c r="A30" t="inlineStr">
        <is>
          <t>digital phantom</t>
        </is>
      </c>
      <c r="B30" t="inlineStr">
        <is>
          <t>Morphology</t>
        </is>
      </c>
      <c r="C30" t="inlineStr">
        <is>
          <t>Geary's C measure</t>
        </is>
      </c>
      <c r="D30" t="inlineStr">
        <is>
          <t>GearysCMeasure</t>
        </is>
      </c>
      <c r="E30" t="inlineStr">
        <is>
          <t>6-9</t>
        </is>
      </c>
      <c r="F30" t="n">
        <v>0.974</v>
      </c>
      <c r="G30" t="n">
        <v>0.006</v>
      </c>
      <c r="H30" s="4" t="n">
        <v>0.974046</v>
      </c>
      <c r="I30" s="4">
        <f>IFERROR(IF(NOT(H30=""),ABS(ROUNDDOWN(F30-H30, 3 - (1+INT(LOG10(ABS(F30)))))),""),IF(AND(F30=0,NOT(F30="")),ABS(ROUNDDOWN(F30-H30,0)),""))</f>
        <v/>
      </c>
      <c r="J30" s="4">
        <f>IF(NOT(I30=""),IF(I30&lt;=G30,"match",IF(I30&lt;3*G30,"partial match","no match")),"")</f>
        <v/>
      </c>
      <c r="K30" t="inlineStr">
        <is>
          <t>morph_geary_c</t>
        </is>
      </c>
    </row>
    <row r="31" ht="15" customHeight="1" s="10">
      <c r="A31" t="inlineStr">
        <is>
          <t>digital phantom</t>
        </is>
      </c>
      <c r="B31" t="inlineStr">
        <is>
          <t>Local intensity</t>
        </is>
      </c>
      <c r="C31" t="inlineStr">
        <is>
          <t>Local intensity peak</t>
        </is>
      </c>
      <c r="D31" t="inlineStr">
        <is>
          <t>LocalIntensityPeak</t>
        </is>
      </c>
      <c r="E31" t="inlineStr">
        <is>
          <t>6-9</t>
        </is>
      </c>
      <c r="F31" t="n">
        <v>2.6</v>
      </c>
      <c r="G31" t="n">
        <v>0</v>
      </c>
      <c r="H31" s="4" t="n">
        <v>2.6</v>
      </c>
      <c r="I31" s="4">
        <f>IFERROR(IF(NOT(H31=""),ABS(ROUNDDOWN(F31-H31, 3 - (1+INT(LOG10(ABS(F31)))))),""),IF(AND(F31=0,NOT(F31="")),ABS(ROUNDDOWN(F31-H31,0)),""))</f>
        <v/>
      </c>
      <c r="J31" s="4">
        <f>IF(NOT(I31=""),IF(I31&lt;=G31,"match",IF(I31&lt;3*G31,"partial match","no match")),"")</f>
        <v/>
      </c>
      <c r="K31" t="inlineStr">
        <is>
          <t>loc_peak_loc</t>
        </is>
      </c>
    </row>
    <row r="32" ht="15" customHeight="1" s="10">
      <c r="A32" t="inlineStr">
        <is>
          <t>digital phantom</t>
        </is>
      </c>
      <c r="B32" t="inlineStr">
        <is>
          <t>Local intensity</t>
        </is>
      </c>
      <c r="C32" t="inlineStr">
        <is>
          <t>Global intensity peak</t>
        </is>
      </c>
      <c r="D32" s="11" t="inlineStr">
        <is>
          <t>GlobalIntensityPeak</t>
        </is>
      </c>
      <c r="E32" t="inlineStr">
        <is>
          <t>6-9</t>
        </is>
      </c>
      <c r="F32" t="n">
        <v>3.1</v>
      </c>
      <c r="G32" t="n">
        <v>0</v>
      </c>
      <c r="H32" s="4" t="n">
        <v>3.103448</v>
      </c>
      <c r="I32" s="4">
        <f>IFERROR(IF(NOT(H32=""),ABS(ROUNDDOWN(F32-H32, 3 - (1+INT(LOG10(ABS(F32)))))),""),IF(AND(F32=0,NOT(F32="")),ABS(ROUNDDOWN(F32-H32,0)),""))</f>
        <v/>
      </c>
      <c r="J32" s="4">
        <f>IF(NOT(I32=""),IF(I32&lt;=G32,"match",IF(I32&lt;3*G32,"partial match","no match")),"")</f>
        <v/>
      </c>
      <c r="K32" t="inlineStr">
        <is>
          <t>loc_peak_glob</t>
        </is>
      </c>
    </row>
    <row r="33" ht="15" customHeight="1" s="10">
      <c r="A33" t="inlineStr">
        <is>
          <t>digital phantom</t>
        </is>
      </c>
      <c r="B33" s="11" t="inlineStr">
        <is>
          <t>Statistics</t>
        </is>
      </c>
      <c r="C33" t="inlineStr">
        <is>
          <t>Mean</t>
        </is>
      </c>
      <c r="D33" t="inlineStr">
        <is>
          <t>Mean</t>
        </is>
      </c>
      <c r="E33" t="inlineStr">
        <is>
          <t>≥ 10</t>
        </is>
      </c>
      <c r="F33" t="n">
        <v>2.15</v>
      </c>
      <c r="G33" t="n">
        <v>0</v>
      </c>
      <c r="H33" s="4" t="n">
        <v>2.1486</v>
      </c>
      <c r="I33" s="4">
        <f>IFERROR(IF(NOT(H33=""),ABS(ROUNDDOWN(F33-H33, 3 - (1+INT(LOG10(ABS(F33)))))),""),IF(AND(F33=0,NOT(F33="")),ABS(ROUNDDOWN(F33-H33,0)),""))</f>
        <v/>
      </c>
      <c r="J33" s="4">
        <f>IF(NOT(I33=""),IF(I33&lt;=G33,"match",IF(I33&lt;3*G33,"partial match","no match")),"")</f>
        <v/>
      </c>
      <c r="K33" t="inlineStr">
        <is>
          <t>stat_mean</t>
        </is>
      </c>
    </row>
    <row r="34" ht="15" customHeight="1" s="10">
      <c r="A34" t="inlineStr">
        <is>
          <t>digital phantom</t>
        </is>
      </c>
      <c r="B34" t="inlineStr">
        <is>
          <t>Statistics</t>
        </is>
      </c>
      <c r="C34" t="inlineStr">
        <is>
          <t>Variance</t>
        </is>
      </c>
      <c r="D34" t="inlineStr">
        <is>
          <t>Variance</t>
        </is>
      </c>
      <c r="E34" t="inlineStr">
        <is>
          <t>≥ 10</t>
        </is>
      </c>
      <c r="F34" t="n">
        <v>3.05</v>
      </c>
      <c r="G34" t="n">
        <v>0</v>
      </c>
      <c r="H34" s="4" t="n">
        <v>3.04547</v>
      </c>
      <c r="I34" s="4">
        <f>IFERROR(IF(NOT(H34=""),ABS(ROUNDDOWN(F34-H34, 3 - (1+INT(LOG10(ABS(F34)))))),""),IF(AND(F34=0,NOT(F34="")),ABS(ROUNDDOWN(F34-H34,0)),""))</f>
        <v/>
      </c>
      <c r="J34" s="4">
        <f>IF(NOT(I34=""),IF(I34&lt;=G34,"match",IF(I34&lt;3*G34,"partial match","no match")),"")</f>
        <v/>
      </c>
      <c r="K34" t="inlineStr">
        <is>
          <t>stat_var</t>
        </is>
      </c>
    </row>
    <row r="35" ht="15" customHeight="1" s="10">
      <c r="A35" t="inlineStr">
        <is>
          <t>digital phantom</t>
        </is>
      </c>
      <c r="B35" t="inlineStr">
        <is>
          <t>Statistics</t>
        </is>
      </c>
      <c r="C35" t="inlineStr">
        <is>
          <t>Skewness</t>
        </is>
      </c>
      <c r="D35" t="inlineStr">
        <is>
          <t>Skewness</t>
        </is>
      </c>
      <c r="E35" t="inlineStr">
        <is>
          <t>≥ 10</t>
        </is>
      </c>
      <c r="F35" t="n">
        <v>1.08</v>
      </c>
      <c r="G35" t="n">
        <v>0</v>
      </c>
      <c r="H35" s="4" t="n">
        <v>1.08382</v>
      </c>
      <c r="I35" s="4">
        <f>IFERROR(IF(NOT(H35=""),ABS(ROUNDDOWN(F35-H35, 3 - (1+INT(LOG10(ABS(F35)))))),""),IF(AND(F35=0,NOT(F35="")),ABS(ROUNDDOWN(F35-H35,0)),""))</f>
        <v/>
      </c>
      <c r="J35" s="4">
        <f>IF(NOT(I35=""),IF(I35&lt;=G35,"match",IF(I35&lt;3*G35,"partial match","no match")),"")</f>
        <v/>
      </c>
      <c r="K35" t="inlineStr">
        <is>
          <t>stat_skew</t>
        </is>
      </c>
    </row>
    <row r="36" ht="15" customHeight="1" s="10">
      <c r="A36" t="inlineStr">
        <is>
          <t>digital phantom</t>
        </is>
      </c>
      <c r="B36" t="inlineStr">
        <is>
          <t>Statistics</t>
        </is>
      </c>
      <c r="C36" t="inlineStr">
        <is>
          <t>(Excess) kurtosis</t>
        </is>
      </c>
      <c r="D36" t="inlineStr">
        <is>
          <t>Kurtosis</t>
        </is>
      </c>
      <c r="E36" t="inlineStr">
        <is>
          <t>≥ 10</t>
        </is>
      </c>
      <c r="F36" t="n">
        <v>-0.355</v>
      </c>
      <c r="G36" t="n">
        <v>0</v>
      </c>
      <c r="H36" s="4">
        <f>2.645379-3</f>
        <v/>
      </c>
      <c r="I36" s="4">
        <f>IFERROR(IF(NOT(H36=""),ABS(ROUNDDOWN(F36-H36, 3 - (1+INT(LOG10(ABS(F36)))))),""),IF(AND(F36=0,NOT(F36="")),ABS(ROUNDDOWN(F36-H36,0)),""))</f>
        <v/>
      </c>
      <c r="J36" s="4">
        <f>IF(NOT(I36=""),IF(I36&lt;=G36,"match",IF(I36&lt;3*G36,"partial match","no match")),"")</f>
        <v/>
      </c>
      <c r="K36" t="inlineStr">
        <is>
          <t>stat_kurt</t>
        </is>
      </c>
    </row>
    <row r="37" ht="15" customHeight="1" s="10">
      <c r="A37" t="inlineStr">
        <is>
          <t>digital phantom</t>
        </is>
      </c>
      <c r="B37" t="inlineStr">
        <is>
          <t>Statistics</t>
        </is>
      </c>
      <c r="C37" t="inlineStr">
        <is>
          <t>Median</t>
        </is>
      </c>
      <c r="D37" t="inlineStr">
        <is>
          <t>Median</t>
        </is>
      </c>
      <c r="E37" t="inlineStr">
        <is>
          <t>≥ 10</t>
        </is>
      </c>
      <c r="F37" t="n">
        <v>1</v>
      </c>
      <c r="G37" t="n">
        <v>0</v>
      </c>
      <c r="H37" s="4" t="n">
        <v>1</v>
      </c>
      <c r="I37" s="4">
        <f>IFERROR(IF(NOT(H37=""),ABS(ROUNDDOWN(F37-H37, 3 - (1+INT(LOG10(ABS(F37)))))),""),IF(AND(F37=0,NOT(F37="")),ABS(ROUNDDOWN(F37-H37,0)),""))</f>
        <v/>
      </c>
      <c r="J37" s="4">
        <f>IF(NOT(I37=""),IF(I37&lt;=G37,"match",IF(I37&lt;3*G37,"partial match","no match")),"")</f>
        <v/>
      </c>
      <c r="K37" t="inlineStr">
        <is>
          <t>stat_median</t>
        </is>
      </c>
    </row>
    <row r="38" ht="15" customHeight="1" s="10">
      <c r="A38" t="inlineStr">
        <is>
          <t>digital phantom</t>
        </is>
      </c>
      <c r="B38" t="inlineStr">
        <is>
          <t>Statistics</t>
        </is>
      </c>
      <c r="C38" t="inlineStr">
        <is>
          <t>Minimum</t>
        </is>
      </c>
      <c r="D38" t="inlineStr">
        <is>
          <t>Minimum</t>
        </is>
      </c>
      <c r="E38" t="inlineStr">
        <is>
          <t>≥ 10</t>
        </is>
      </c>
      <c r="F38" t="n">
        <v>1</v>
      </c>
      <c r="G38" t="n">
        <v>0</v>
      </c>
      <c r="H38" s="4" t="n">
        <v>1</v>
      </c>
      <c r="I38" s="4">
        <f>IFERROR(IF(NOT(H38=""),ABS(ROUNDDOWN(F38-H38, 3 - (1+INT(LOG10(ABS(F38)))))),""),IF(AND(F38=0,NOT(F38="")),ABS(ROUNDDOWN(F38-H38,0)),""))</f>
        <v/>
      </c>
      <c r="J38" s="4">
        <f>IF(NOT(I38=""),IF(I38&lt;=G38,"match",IF(I38&lt;3*G38,"partial match","no match")),"")</f>
        <v/>
      </c>
      <c r="K38" t="inlineStr">
        <is>
          <t>stat_min</t>
        </is>
      </c>
    </row>
    <row r="39" ht="15" customHeight="1" s="10">
      <c r="A39" t="inlineStr">
        <is>
          <t>digital phantom</t>
        </is>
      </c>
      <c r="B39" t="inlineStr">
        <is>
          <t>Statistics</t>
        </is>
      </c>
      <c r="C39" t="inlineStr">
        <is>
          <t>10th percentile</t>
        </is>
      </c>
      <c r="D39" t="inlineStr">
        <is>
          <t>Percentile10</t>
        </is>
      </c>
      <c r="E39" t="inlineStr">
        <is>
          <t>≥ 10</t>
        </is>
      </c>
      <c r="F39" t="n">
        <v>1</v>
      </c>
      <c r="G39" t="n">
        <v>0</v>
      </c>
      <c r="H39" s="4" t="n">
        <v>1</v>
      </c>
      <c r="I39" s="4">
        <f>IFERROR(IF(NOT(H39=""),ABS(ROUNDDOWN(F39-H39, 3 - (1+INT(LOG10(ABS(F39)))))),""),IF(AND(F39=0,NOT(F39="")),ABS(ROUNDDOWN(F39-H39,0)),""))</f>
        <v/>
      </c>
      <c r="J39" s="4">
        <f>IF(NOT(I39=""),IF(I39&lt;=G39,"match",IF(I39&lt;3*G39,"partial match","no match")),"")</f>
        <v/>
      </c>
      <c r="K39" t="inlineStr">
        <is>
          <t>stat_p10</t>
        </is>
      </c>
    </row>
    <row r="40" ht="15" customHeight="1" s="10">
      <c r="A40" t="inlineStr">
        <is>
          <t>digital phantom</t>
        </is>
      </c>
      <c r="B40" t="inlineStr">
        <is>
          <t>Statistics</t>
        </is>
      </c>
      <c r="C40" t="inlineStr">
        <is>
          <t>90th percentile</t>
        </is>
      </c>
      <c r="D40" t="inlineStr">
        <is>
          <t>Percentile90</t>
        </is>
      </c>
      <c r="E40" t="inlineStr">
        <is>
          <t>≥ 10</t>
        </is>
      </c>
      <c r="F40" t="n">
        <v>4</v>
      </c>
      <c r="G40" t="n">
        <v>0</v>
      </c>
      <c r="H40" s="4" t="n">
        <v>4</v>
      </c>
      <c r="I40" s="4">
        <f>IFERROR(IF(NOT(H40=""),ABS(ROUNDDOWN(F40-H40, 3 - (1+INT(LOG10(ABS(F40)))))),""),IF(AND(F40=0,NOT(F40="")),ABS(ROUNDDOWN(F40-H40,0)),""))</f>
        <v/>
      </c>
      <c r="J40" s="4">
        <f>IF(NOT(I40=""),IF(I40&lt;=G40,"match",IF(I40&lt;3*G40,"partial match","no match")),"")</f>
        <v/>
      </c>
      <c r="K40" t="inlineStr">
        <is>
          <t>stat_p90</t>
        </is>
      </c>
    </row>
    <row r="41" ht="15" customHeight="1" s="10">
      <c r="A41" t="inlineStr">
        <is>
          <t>digital phantom</t>
        </is>
      </c>
      <c r="B41" t="inlineStr">
        <is>
          <t>Statistics</t>
        </is>
      </c>
      <c r="C41" t="inlineStr">
        <is>
          <t>Maximum</t>
        </is>
      </c>
      <c r="D41" t="inlineStr">
        <is>
          <t>Maximum</t>
        </is>
      </c>
      <c r="E41" t="inlineStr">
        <is>
          <t>≥ 10</t>
        </is>
      </c>
      <c r="F41" t="n">
        <v>6</v>
      </c>
      <c r="G41" t="n">
        <v>0</v>
      </c>
      <c r="H41" s="4" t="n">
        <v>6</v>
      </c>
      <c r="I41" s="4">
        <f>IFERROR(IF(NOT(H41=""),ABS(ROUNDDOWN(F41-H41, 3 - (1+INT(LOG10(ABS(F41)))))),""),IF(AND(F41=0,NOT(F41="")),ABS(ROUNDDOWN(F41-H41,0)),""))</f>
        <v/>
      </c>
      <c r="J41" s="4">
        <f>IF(NOT(I41=""),IF(I41&lt;=G41,"match",IF(I41&lt;3*G41,"partial match","no match")),"")</f>
        <v/>
      </c>
      <c r="K41" t="inlineStr">
        <is>
          <t>stat_max</t>
        </is>
      </c>
    </row>
    <row r="42" ht="15" customHeight="1" s="10">
      <c r="A42" t="inlineStr">
        <is>
          <t>digital phantom</t>
        </is>
      </c>
      <c r="B42" t="inlineStr">
        <is>
          <t>Statistics</t>
        </is>
      </c>
      <c r="C42" t="inlineStr">
        <is>
          <t>Interquartile range</t>
        </is>
      </c>
      <c r="D42" t="inlineStr">
        <is>
          <t>Interquartile</t>
        </is>
      </c>
      <c r="E42" t="inlineStr">
        <is>
          <t>≥ 10</t>
        </is>
      </c>
      <c r="F42" t="n">
        <v>3</v>
      </c>
      <c r="G42" t="n">
        <v>0</v>
      </c>
      <c r="H42" s="4" t="n">
        <v>3</v>
      </c>
      <c r="I42" s="4">
        <f>IFERROR(IF(NOT(H42=""),ABS(ROUNDDOWN(F42-H42, 3 - (1+INT(LOG10(ABS(F42)))))),""),IF(AND(F42=0,NOT(F42="")),ABS(ROUNDDOWN(F42-H42,0)),""))</f>
        <v/>
      </c>
      <c r="J42" s="4">
        <f>IF(NOT(I42=""),IF(I42&lt;=G42,"match",IF(I42&lt;3*G42,"partial match","no match")),"")</f>
        <v/>
      </c>
      <c r="K42" t="inlineStr">
        <is>
          <t>stat_iqr</t>
        </is>
      </c>
    </row>
    <row r="43" ht="15" customHeight="1" s="10">
      <c r="A43" t="inlineStr">
        <is>
          <t>digital phantom</t>
        </is>
      </c>
      <c r="B43" t="inlineStr">
        <is>
          <t>Statistics</t>
        </is>
      </c>
      <c r="C43" t="inlineStr">
        <is>
          <t>Range</t>
        </is>
      </c>
      <c r="D43" t="inlineStr">
        <is>
          <t>Range</t>
        </is>
      </c>
      <c r="E43" t="inlineStr">
        <is>
          <t>≥ 10</t>
        </is>
      </c>
      <c r="F43" t="n">
        <v>5</v>
      </c>
      <c r="G43" t="n">
        <v>0</v>
      </c>
      <c r="H43" s="4" t="n">
        <v>5</v>
      </c>
      <c r="I43" s="4">
        <f>IFERROR(IF(NOT(H43=""),ABS(ROUNDDOWN(F43-H43, 3 - (1+INT(LOG10(ABS(F43)))))),""),IF(AND(F43=0,NOT(F43="")),ABS(ROUNDDOWN(F43-H43,0)),""))</f>
        <v/>
      </c>
      <c r="J43" s="4">
        <f>IF(NOT(I43=""),IF(I43&lt;=G43,"match",IF(I43&lt;3*G43,"partial match","no match")),"")</f>
        <v/>
      </c>
      <c r="K43" t="inlineStr">
        <is>
          <t>stat_range</t>
        </is>
      </c>
    </row>
    <row r="44" ht="15" customHeight="1" s="10">
      <c r="A44" t="inlineStr">
        <is>
          <t>digital phantom</t>
        </is>
      </c>
      <c r="B44" t="inlineStr">
        <is>
          <t>Statistics</t>
        </is>
      </c>
      <c r="C44" t="inlineStr">
        <is>
          <t>Mean absolute deviation</t>
        </is>
      </c>
      <c r="D44" t="inlineStr">
        <is>
          <t>MeanAbsoluteDeviation</t>
        </is>
      </c>
      <c r="E44" t="inlineStr">
        <is>
          <t>≥ 10</t>
        </is>
      </c>
      <c r="F44" t="n">
        <v>1.55</v>
      </c>
      <c r="G44" t="n">
        <v>0</v>
      </c>
      <c r="H44" s="4" t="n">
        <v>1.552227</v>
      </c>
      <c r="I44" s="4">
        <f>IFERROR(IF(NOT(H44=""),ABS(ROUNDDOWN(F44-H44, 3 - (1+INT(LOG10(ABS(F44)))))),""),IF(AND(F44=0,NOT(F44="")),ABS(ROUNDDOWN(F44-H44,0)),""))</f>
        <v/>
      </c>
      <c r="J44" s="4">
        <f>IF(NOT(I44=""),IF(I44&lt;=G44,"match",IF(I44&lt;3*G44,"partial match","no match")),"")</f>
        <v/>
      </c>
      <c r="K44" t="inlineStr">
        <is>
          <t>stat_mad</t>
        </is>
      </c>
    </row>
    <row r="45" ht="15" customHeight="1" s="10">
      <c r="A45" t="inlineStr">
        <is>
          <t>digital phantom</t>
        </is>
      </c>
      <c r="B45" t="inlineStr">
        <is>
          <t>Statistics</t>
        </is>
      </c>
      <c r="C45" t="inlineStr">
        <is>
          <t>Robust mean absolute deviation</t>
        </is>
      </c>
      <c r="D45" t="inlineStr">
        <is>
          <t>RobustMeanAbsoluteDeviation</t>
        </is>
      </c>
      <c r="E45" t="inlineStr">
        <is>
          <t>≥ 10</t>
        </is>
      </c>
      <c r="F45" t="n">
        <v>1.11</v>
      </c>
      <c r="G45" t="n">
        <v>0</v>
      </c>
      <c r="H45" s="4" t="n">
        <v>1.1138338</v>
      </c>
      <c r="I45" s="4">
        <f>IFERROR(IF(NOT(H45=""),ABS(ROUNDDOWN(F45-H45, 3 - (1+INT(LOG10(ABS(F45)))))),""),IF(AND(F45=0,NOT(F45="")),ABS(ROUNDDOWN(F45-H45,0)),""))</f>
        <v/>
      </c>
      <c r="J45" s="4">
        <f>IF(NOT(I45=""),IF(I45&lt;=G45,"match",IF(I45&lt;3*G45,"partial match","no match")),"")</f>
        <v/>
      </c>
      <c r="K45" t="inlineStr">
        <is>
          <t>stat_rmad</t>
        </is>
      </c>
    </row>
    <row r="46" ht="15" customHeight="1" s="10">
      <c r="A46" t="inlineStr">
        <is>
          <t>digital phantom</t>
        </is>
      </c>
      <c r="B46" t="inlineStr">
        <is>
          <t>Statistics</t>
        </is>
      </c>
      <c r="C46" t="inlineStr">
        <is>
          <t>Median absolute deviation</t>
        </is>
      </c>
      <c r="D46" t="inlineStr">
        <is>
          <t>MedianAbsoluteDeviation</t>
        </is>
      </c>
      <c r="E46" t="inlineStr">
        <is>
          <t>≥ 10</t>
        </is>
      </c>
      <c r="F46" t="n">
        <v>1.15</v>
      </c>
      <c r="G46" t="n">
        <v>0</v>
      </c>
      <c r="H46" s="4" t="n">
        <v>1.14864</v>
      </c>
      <c r="I46" s="4">
        <f>IFERROR(IF(NOT(H46=""),ABS(ROUNDDOWN(F46-H46, 3 - (1+INT(LOG10(ABS(F46)))))),""),IF(AND(F46=0,NOT(F46="")),ABS(ROUNDDOWN(F46-H46,0)),""))</f>
        <v/>
      </c>
      <c r="J46" s="4">
        <f>IF(NOT(I46=""),IF(I46&lt;=G46,"match",IF(I46&lt;3*G46,"partial match","no match")),"")</f>
        <v/>
      </c>
      <c r="K46" t="inlineStr">
        <is>
          <t>stat_medad</t>
        </is>
      </c>
    </row>
    <row r="47" ht="15" customHeight="1" s="10">
      <c r="A47" t="inlineStr">
        <is>
          <t>digital phantom</t>
        </is>
      </c>
      <c r="B47" t="inlineStr">
        <is>
          <t>Statistics</t>
        </is>
      </c>
      <c r="C47" t="inlineStr">
        <is>
          <t>Coefficient of variation</t>
        </is>
      </c>
      <c r="D47" t="inlineStr">
        <is>
          <t>CoefficientOfVariation</t>
        </is>
      </c>
      <c r="E47" t="inlineStr">
        <is>
          <t>≥ 10</t>
        </is>
      </c>
      <c r="F47" t="n">
        <v>0.8120000000000001</v>
      </c>
      <c r="G47" t="n">
        <v>0</v>
      </c>
      <c r="H47" s="4" t="n">
        <v>0.8121969999999999</v>
      </c>
      <c r="I47" s="4">
        <f>IFERROR(IF(NOT(H47=""),ABS(ROUNDDOWN(F47-H47, 3 - (1+INT(LOG10(ABS(F47)))))),""),IF(AND(F47=0,NOT(F47="")),ABS(ROUNDDOWN(F47-H47,0)),""))</f>
        <v/>
      </c>
      <c r="J47" s="4">
        <f>IF(NOT(I47=""),IF(I47&lt;=G47,"match",IF(I47&lt;3*G47,"partial match","no match")),"")</f>
        <v/>
      </c>
      <c r="K47" t="inlineStr">
        <is>
          <t>stat_cov</t>
        </is>
      </c>
    </row>
    <row r="48" ht="15" customHeight="1" s="10">
      <c r="A48" t="inlineStr">
        <is>
          <t>digital phantom</t>
        </is>
      </c>
      <c r="B48" t="inlineStr">
        <is>
          <t>Statistics</t>
        </is>
      </c>
      <c r="C48" t="inlineStr">
        <is>
          <t>Quartile coefficient of dispersion</t>
        </is>
      </c>
      <c r="D48" t="inlineStr">
        <is>
          <t>QuartileCoefficientOfDispersion</t>
        </is>
      </c>
      <c r="E48" t="inlineStr">
        <is>
          <t>≥ 10</t>
        </is>
      </c>
      <c r="F48" t="n">
        <v>0.6</v>
      </c>
      <c r="G48" t="n">
        <v>0</v>
      </c>
      <c r="H48" s="4" t="n">
        <v>0.6</v>
      </c>
      <c r="I48" s="4">
        <f>IFERROR(IF(NOT(H48=""),ABS(ROUNDDOWN(F48-H48, 3 - (1+INT(LOG10(ABS(F48)))))),""),IF(AND(F48=0,NOT(F48="")),ABS(ROUNDDOWN(F48-H48,0)),""))</f>
        <v/>
      </c>
      <c r="J48" s="4">
        <f>IF(NOT(I48=""),IF(I48&lt;=G48,"match",IF(I48&lt;3*G48,"partial match","no match")),"")</f>
        <v/>
      </c>
      <c r="K48" t="inlineStr">
        <is>
          <t>stat_qcod</t>
        </is>
      </c>
    </row>
    <row r="49" ht="15" customHeight="1" s="10">
      <c r="A49" t="inlineStr">
        <is>
          <t>digital phantom</t>
        </is>
      </c>
      <c r="B49" t="inlineStr">
        <is>
          <t>Statistics</t>
        </is>
      </c>
      <c r="C49" t="inlineStr">
        <is>
          <t>Energy</t>
        </is>
      </c>
      <c r="D49" t="inlineStr">
        <is>
          <t>Energy</t>
        </is>
      </c>
      <c r="E49" t="inlineStr">
        <is>
          <t>≥ 10</t>
        </is>
      </c>
      <c r="F49" t="n">
        <v>567</v>
      </c>
      <c r="G49" t="n">
        <v>0</v>
      </c>
      <c r="H49" s="4" t="n">
        <v>567</v>
      </c>
      <c r="I49" s="4">
        <f>IFERROR(IF(NOT(H49=""),ABS(ROUNDDOWN(F49-H49, 3 - (1+INT(LOG10(ABS(F49)))))),""),IF(AND(F49=0,NOT(F49="")),ABS(ROUNDDOWN(F49-H49,0)),""))</f>
        <v/>
      </c>
      <c r="J49" s="4">
        <f>IF(NOT(I49=""),IF(I49&lt;=G49,"match",IF(I49&lt;3*G49,"partial match","no match")),"")</f>
        <v/>
      </c>
      <c r="K49" t="inlineStr">
        <is>
          <t>stat_energy</t>
        </is>
      </c>
    </row>
    <row r="50" ht="15" customHeight="1" s="10">
      <c r="A50" t="inlineStr">
        <is>
          <t>digital phantom</t>
        </is>
      </c>
      <c r="B50" t="inlineStr">
        <is>
          <t>Statistics</t>
        </is>
      </c>
      <c r="C50" t="inlineStr">
        <is>
          <t>Root mean square</t>
        </is>
      </c>
      <c r="D50" t="inlineStr">
        <is>
          <t>RootMeanSquared</t>
        </is>
      </c>
      <c r="E50" t="inlineStr">
        <is>
          <t>≥ 10</t>
        </is>
      </c>
      <c r="F50" t="n">
        <v>2.77</v>
      </c>
      <c r="G50" t="n">
        <v>0</v>
      </c>
      <c r="H50" s="4" t="n">
        <v>2.76806</v>
      </c>
      <c r="I50" s="4">
        <f>IFERROR(IF(NOT(H50=""),ABS(ROUNDDOWN(F50-H50, 3 - (1+INT(LOG10(ABS(F50)))))),""),IF(AND(F50=0,NOT(F50="")),ABS(ROUNDDOWN(F50-H50,0)),""))</f>
        <v/>
      </c>
      <c r="J50" s="4">
        <f>IF(NOT(I50=""),IF(I50&lt;=G50,"match",IF(I50&lt;3*G50,"partial match","no match")),"")</f>
        <v/>
      </c>
      <c r="K50" t="inlineStr">
        <is>
          <t>stat_rms</t>
        </is>
      </c>
    </row>
    <row r="51" ht="15" customHeight="1" s="10">
      <c r="A51" t="inlineStr">
        <is>
          <t>digital phantom</t>
        </is>
      </c>
      <c r="B51" s="11" t="inlineStr">
        <is>
          <t>Intensity histogram</t>
        </is>
      </c>
      <c r="C51" t="inlineStr">
        <is>
          <t>Mean</t>
        </is>
      </c>
      <c r="D51" t="inlineStr">
        <is>
          <t>MeanDiscretisedIntensity</t>
        </is>
      </c>
      <c r="E51" t="inlineStr">
        <is>
          <t>≥ 10</t>
        </is>
      </c>
      <c r="F51" t="n">
        <v>2.15</v>
      </c>
      <c r="G51" t="n">
        <v>0</v>
      </c>
      <c r="H51" s="4" t="n">
        <v>2.148</v>
      </c>
      <c r="I51" s="4">
        <f>IFERROR(IF(NOT(H51=""),ABS(ROUNDDOWN(F51-H51, 3 - (1+INT(LOG10(ABS(F51)))))),""),IF(AND(F51=0,NOT(F51="")),ABS(ROUNDDOWN(F51-H51,0)),""))</f>
        <v/>
      </c>
      <c r="J51" s="4">
        <f>IF(NOT(I51=""),IF(I51&lt;=G51,"match",IF(I51&lt;3*G51,"partial match","no match")),"")</f>
        <v/>
      </c>
      <c r="K51" t="inlineStr">
        <is>
          <t>ih_mean</t>
        </is>
      </c>
    </row>
    <row r="52" ht="15" customHeight="1" s="10">
      <c r="A52" t="inlineStr">
        <is>
          <t>digital phantom</t>
        </is>
      </c>
      <c r="B52" t="inlineStr">
        <is>
          <t>Intensity histogram</t>
        </is>
      </c>
      <c r="C52" t="inlineStr">
        <is>
          <t>Variance</t>
        </is>
      </c>
      <c r="D52" t="inlineStr">
        <is>
          <t>Variance</t>
        </is>
      </c>
      <c r="E52" t="inlineStr">
        <is>
          <t>6-9</t>
        </is>
      </c>
      <c r="F52" t="n">
        <v>3.05</v>
      </c>
      <c r="G52" t="n">
        <v>0</v>
      </c>
      <c r="H52" s="4" t="n">
        <v>3.0454</v>
      </c>
      <c r="I52" s="4">
        <f>IFERROR(IF(NOT(H52=""),ABS(ROUNDDOWN(F52-H52, 3 - (1+INT(LOG10(ABS(F52)))))),""),IF(AND(F52=0,NOT(F52="")),ABS(ROUNDDOWN(F52-H52,0)),""))</f>
        <v/>
      </c>
      <c r="J52" s="4">
        <f>IF(NOT(I52=""),IF(I52&lt;=G52,"match",IF(I52&lt;3*G52,"partial match","no match")),"")</f>
        <v/>
      </c>
      <c r="K52" t="inlineStr">
        <is>
          <t>ih_var</t>
        </is>
      </c>
    </row>
    <row r="53" ht="15" customHeight="1" s="10">
      <c r="A53" t="inlineStr">
        <is>
          <t>digital phantom</t>
        </is>
      </c>
      <c r="B53" s="11" t="inlineStr">
        <is>
          <t>Intensity histogram</t>
        </is>
      </c>
      <c r="C53" t="inlineStr">
        <is>
          <t>Skewness</t>
        </is>
      </c>
      <c r="D53" t="inlineStr">
        <is>
          <t>Skewness</t>
        </is>
      </c>
      <c r="E53" t="inlineStr">
        <is>
          <t>≥ 10</t>
        </is>
      </c>
      <c r="F53" t="n">
        <v>1.08</v>
      </c>
      <c r="G53" t="n">
        <v>0</v>
      </c>
      <c r="H53" s="4" t="n">
        <v>1.08382</v>
      </c>
      <c r="I53" s="4">
        <f>IFERROR(IF(NOT(H53=""),ABS(ROUNDDOWN(F53-H53, 3 - (1+INT(LOG10(ABS(F53)))))),""),IF(AND(F53=0,NOT(F53="")),ABS(ROUNDDOWN(F53-H53,0)),""))</f>
        <v/>
      </c>
      <c r="J53" s="4">
        <f>IF(NOT(I53=""),IF(I53&lt;=G53,"match",IF(I53&lt;3*G53,"partial match","no match")),"")</f>
        <v/>
      </c>
      <c r="K53" t="inlineStr">
        <is>
          <t>ih_skew</t>
        </is>
      </c>
    </row>
    <row r="54" ht="15" customHeight="1" s="10">
      <c r="A54" t="inlineStr">
        <is>
          <t>digital phantom</t>
        </is>
      </c>
      <c r="B54" t="inlineStr">
        <is>
          <t>Intensity histogram</t>
        </is>
      </c>
      <c r="C54" t="inlineStr">
        <is>
          <t>Kurtosis</t>
        </is>
      </c>
      <c r="D54" t="inlineStr">
        <is>
          <t>Kurtosis</t>
        </is>
      </c>
      <c r="E54" t="inlineStr">
        <is>
          <t>≥ 10</t>
        </is>
      </c>
      <c r="F54" t="n">
        <v>-0.355</v>
      </c>
      <c r="G54" t="n">
        <v>0</v>
      </c>
      <c r="H54" s="4">
        <f>2.645379-3</f>
        <v/>
      </c>
      <c r="I54" s="4">
        <f>IFERROR(IF(NOT(H54=""),ABS(ROUNDDOWN(F54-H54, 3 - (1+INT(LOG10(ABS(F54)))))),""),IF(AND(F54=0,NOT(F54="")),ABS(ROUNDDOWN(F54-H54,0)),""))</f>
        <v/>
      </c>
      <c r="J54" s="4">
        <f>IF(NOT(I54=""),IF(I54&lt;=G54,"match",IF(I54&lt;3*G54,"partial match","no match")),"")</f>
        <v/>
      </c>
      <c r="K54" t="inlineStr">
        <is>
          <t>ih_kurt</t>
        </is>
      </c>
    </row>
    <row r="55" ht="15" customHeight="1" s="10">
      <c r="A55" t="inlineStr">
        <is>
          <t>digital phantom</t>
        </is>
      </c>
      <c r="B55" t="inlineStr">
        <is>
          <t>Intensity histogram</t>
        </is>
      </c>
      <c r="C55" t="inlineStr">
        <is>
          <t>Median</t>
        </is>
      </c>
      <c r="D55" t="inlineStr">
        <is>
          <t>Median</t>
        </is>
      </c>
      <c r="E55" t="inlineStr">
        <is>
          <t>≥ 10</t>
        </is>
      </c>
      <c r="F55" t="n">
        <v>1</v>
      </c>
      <c r="G55" t="n">
        <v>0</v>
      </c>
      <c r="H55" s="4" t="n">
        <v>1</v>
      </c>
      <c r="I55" s="4">
        <f>IFERROR(IF(NOT(H55=""),ABS(ROUNDDOWN(F55-H55, 3 - (1+INT(LOG10(ABS(F55)))))),""),IF(AND(F55=0,NOT(F55="")),ABS(ROUNDDOWN(F55-H55,0)),""))</f>
        <v/>
      </c>
      <c r="J55" s="4">
        <f>IF(NOT(I55=""),IF(I55&lt;=G55,"match",IF(I55&lt;3*G55,"partial match","no match")),"")</f>
        <v/>
      </c>
      <c r="K55" t="inlineStr">
        <is>
          <t>ih_median</t>
        </is>
      </c>
    </row>
    <row r="56" ht="15" customHeight="1" s="10">
      <c r="A56" t="inlineStr">
        <is>
          <t>digital phantom</t>
        </is>
      </c>
      <c r="B56" t="inlineStr">
        <is>
          <t>Intensity histogram</t>
        </is>
      </c>
      <c r="C56" t="inlineStr">
        <is>
          <t>Minimum</t>
        </is>
      </c>
      <c r="D56" t="inlineStr">
        <is>
          <t>Minimum</t>
        </is>
      </c>
      <c r="E56" t="inlineStr">
        <is>
          <t>≥ 10</t>
        </is>
      </c>
      <c r="F56" t="n">
        <v>1</v>
      </c>
      <c r="G56" t="n">
        <v>0</v>
      </c>
      <c r="H56" s="4" t="n">
        <v>1</v>
      </c>
      <c r="I56" s="4">
        <f>IFERROR(IF(NOT(H56=""),ABS(ROUNDDOWN(F56-H56, 3 - (1+INT(LOG10(ABS(F56)))))),""),IF(AND(F56=0,NOT(F56="")),ABS(ROUNDDOWN(F56-H56,0)),""))</f>
        <v/>
      </c>
      <c r="J56" s="4">
        <f>IF(NOT(I56=""),IF(I56&lt;=G56,"match",IF(I56&lt;3*G56,"partial match","no match")),"")</f>
        <v/>
      </c>
      <c r="K56" t="inlineStr">
        <is>
          <t>ih_min</t>
        </is>
      </c>
    </row>
    <row r="57" ht="15" customHeight="1" s="10">
      <c r="A57" t="inlineStr">
        <is>
          <t>digital phantom</t>
        </is>
      </c>
      <c r="B57" t="inlineStr">
        <is>
          <t>Intensity histogram</t>
        </is>
      </c>
      <c r="C57" t="inlineStr">
        <is>
          <t>10th percentile</t>
        </is>
      </c>
      <c r="D57" t="inlineStr">
        <is>
          <t>Percentile10</t>
        </is>
      </c>
      <c r="E57" t="inlineStr">
        <is>
          <t>6-9</t>
        </is>
      </c>
      <c r="F57" t="n">
        <v>1</v>
      </c>
      <c r="G57" t="n">
        <v>0</v>
      </c>
      <c r="H57" s="4" t="n">
        <v>1</v>
      </c>
      <c r="I57" s="4">
        <f>IFERROR(IF(NOT(H57=""),ABS(ROUNDDOWN(F57-H57, 3 - (1+INT(LOG10(ABS(F57)))))),""),IF(AND(F57=0,NOT(F57="")),ABS(ROUNDDOWN(F57-H57,0)),""))</f>
        <v/>
      </c>
      <c r="J57" s="4">
        <f>IF(NOT(I57=""),IF(I57&lt;=G57,"match",IF(I57&lt;3*G57,"partial match","no match")),"")</f>
        <v/>
      </c>
      <c r="K57" t="inlineStr">
        <is>
          <t>ih_p10</t>
        </is>
      </c>
    </row>
    <row r="58" ht="15" customHeight="1" s="10">
      <c r="A58" t="inlineStr">
        <is>
          <t>digital phantom</t>
        </is>
      </c>
      <c r="B58" t="inlineStr">
        <is>
          <t>Intensity histogram</t>
        </is>
      </c>
      <c r="C58" t="inlineStr">
        <is>
          <t>90th percentile</t>
        </is>
      </c>
      <c r="D58" t="inlineStr">
        <is>
          <t>Percentile90</t>
        </is>
      </c>
      <c r="E58" t="inlineStr">
        <is>
          <t>6-9</t>
        </is>
      </c>
      <c r="F58" t="n">
        <v>4</v>
      </c>
      <c r="G58" t="n">
        <v>0</v>
      </c>
      <c r="H58" s="4" t="n">
        <v>4</v>
      </c>
      <c r="I58" s="4">
        <f>IFERROR(IF(NOT(H58=""),ABS(ROUNDDOWN(F58-H58, 3 - (1+INT(LOG10(ABS(F58)))))),""),IF(AND(F58=0,NOT(F58="")),ABS(ROUNDDOWN(F58-H58,0)),""))</f>
        <v/>
      </c>
      <c r="J58" s="4">
        <f>IF(NOT(I58=""),IF(I58&lt;=G58,"match",IF(I58&lt;3*G58,"partial match","no match")),"")</f>
        <v/>
      </c>
      <c r="K58" t="inlineStr">
        <is>
          <t>ih_p90</t>
        </is>
      </c>
    </row>
    <row r="59" ht="15" customHeight="1" s="10">
      <c r="A59" t="inlineStr">
        <is>
          <t>digital phantom</t>
        </is>
      </c>
      <c r="B59" t="inlineStr">
        <is>
          <t>Intensity histogram</t>
        </is>
      </c>
      <c r="C59" t="inlineStr">
        <is>
          <t>Maximum</t>
        </is>
      </c>
      <c r="D59" t="inlineStr">
        <is>
          <t>Maximum</t>
        </is>
      </c>
      <c r="E59" t="inlineStr">
        <is>
          <t>≥ 10</t>
        </is>
      </c>
      <c r="F59" t="n">
        <v>6</v>
      </c>
      <c r="G59" t="n">
        <v>0</v>
      </c>
      <c r="H59" s="4" t="n">
        <v>6</v>
      </c>
      <c r="I59" s="4">
        <f>IFERROR(IF(NOT(H59=""),ABS(ROUNDDOWN(F59-H59, 3 - (1+INT(LOG10(ABS(F59)))))),""),IF(AND(F59=0,NOT(F59="")),ABS(ROUNDDOWN(F59-H59,0)),""))</f>
        <v/>
      </c>
      <c r="J59" s="4">
        <f>IF(NOT(I59=""),IF(I59&lt;=G59,"match",IF(I59&lt;3*G59,"partial match","no match")),"")</f>
        <v/>
      </c>
      <c r="K59" t="inlineStr">
        <is>
          <t>ih_max</t>
        </is>
      </c>
    </row>
    <row r="60" ht="15" customHeight="1" s="10">
      <c r="A60" t="inlineStr">
        <is>
          <t>digital phantom</t>
        </is>
      </c>
      <c r="B60" t="inlineStr">
        <is>
          <t>Intensity histogram</t>
        </is>
      </c>
      <c r="C60" t="inlineStr">
        <is>
          <t>Mode</t>
        </is>
      </c>
      <c r="D60" t="inlineStr">
        <is>
          <t>Mode</t>
        </is>
      </c>
      <c r="E60" t="inlineStr">
        <is>
          <t>6-9</t>
        </is>
      </c>
      <c r="F60" t="n">
        <v>1</v>
      </c>
      <c r="G60" t="n">
        <v>0</v>
      </c>
      <c r="H60" s="4" t="n">
        <v>1</v>
      </c>
      <c r="I60" s="4">
        <f>IFERROR(IF(NOT(H60=""),ABS(ROUNDDOWN(F60-H60, 3 - (1+INT(LOG10(ABS(F60)))))),""),IF(AND(F60=0,NOT(F60="")),ABS(ROUNDDOWN(F60-H60,0)),""))</f>
        <v/>
      </c>
      <c r="J60" s="4">
        <f>IF(NOT(I60=""),IF(I60&lt;=G60,"match",IF(I60&lt;3*G60,"partial match","no match")),"")</f>
        <v/>
      </c>
      <c r="K60" t="inlineStr">
        <is>
          <t>ih_mode</t>
        </is>
      </c>
    </row>
    <row r="61" ht="15" customHeight="1" s="10">
      <c r="A61" t="inlineStr">
        <is>
          <t>digital phantom</t>
        </is>
      </c>
      <c r="B61" t="inlineStr">
        <is>
          <t>Intensity histogram</t>
        </is>
      </c>
      <c r="C61" t="inlineStr">
        <is>
          <t>Interquartile range</t>
        </is>
      </c>
      <c r="D61" t="inlineStr">
        <is>
          <t>Interquartile</t>
        </is>
      </c>
      <c r="E61" t="inlineStr">
        <is>
          <t>≥ 10</t>
        </is>
      </c>
      <c r="F61" t="n">
        <v>3</v>
      </c>
      <c r="G61" t="n">
        <v>0</v>
      </c>
      <c r="H61" s="4" t="n">
        <v>3</v>
      </c>
      <c r="I61" s="4">
        <f>IFERROR(IF(NOT(H61=""),ABS(ROUNDDOWN(F61-H61, 3 - (1+INT(LOG10(ABS(F61)))))),""),IF(AND(F61=0,NOT(F61="")),ABS(ROUNDDOWN(F61-H61,0)),""))</f>
        <v/>
      </c>
      <c r="J61" s="4">
        <f>IF(NOT(I61=""),IF(I61&lt;=G61,"match",IF(I61&lt;3*G61,"partial match","no match")),"")</f>
        <v/>
      </c>
      <c r="K61" t="inlineStr">
        <is>
          <t>ih_iqr</t>
        </is>
      </c>
    </row>
    <row r="62" ht="15" customHeight="1" s="10">
      <c r="A62" t="inlineStr">
        <is>
          <t>digital phantom</t>
        </is>
      </c>
      <c r="B62" t="inlineStr">
        <is>
          <t>Intensity histogram</t>
        </is>
      </c>
      <c r="C62" t="inlineStr">
        <is>
          <t>Range</t>
        </is>
      </c>
      <c r="D62" t="inlineStr">
        <is>
          <t>Range</t>
        </is>
      </c>
      <c r="E62" t="inlineStr">
        <is>
          <t>≥ 10</t>
        </is>
      </c>
      <c r="F62" t="n">
        <v>5</v>
      </c>
      <c r="G62" t="n">
        <v>0</v>
      </c>
      <c r="H62" s="4" t="n">
        <v>5</v>
      </c>
      <c r="I62" s="4">
        <f>IFERROR(IF(NOT(H62=""),ABS(ROUNDDOWN(F62-H62, 3 - (1+INT(LOG10(ABS(F62)))))),""),IF(AND(F62=0,NOT(F62="")),ABS(ROUNDDOWN(F62-H62,0)),""))</f>
        <v/>
      </c>
      <c r="J62" s="4">
        <f>IF(NOT(I62=""),IF(I62&lt;=G62,"match",IF(I62&lt;3*G62,"partial match","no match")),"")</f>
        <v/>
      </c>
      <c r="K62" t="inlineStr">
        <is>
          <t>ih_range</t>
        </is>
      </c>
    </row>
    <row r="63" ht="15" customHeight="1" s="10">
      <c r="A63" t="inlineStr">
        <is>
          <t>digital phantom</t>
        </is>
      </c>
      <c r="B63" t="inlineStr">
        <is>
          <t>Intensity histogram</t>
        </is>
      </c>
      <c r="C63" t="inlineStr">
        <is>
          <t>Mean absolute deviation</t>
        </is>
      </c>
      <c r="D63" t="inlineStr">
        <is>
          <t>MeanAbsoluteDeviation</t>
        </is>
      </c>
      <c r="E63" t="inlineStr">
        <is>
          <t>≥ 10</t>
        </is>
      </c>
      <c r="F63" t="n">
        <v>1.55</v>
      </c>
      <c r="G63" t="n">
        <v>0</v>
      </c>
      <c r="H63" s="4" t="n">
        <v>1.552</v>
      </c>
      <c r="I63" s="4">
        <f>IFERROR(IF(NOT(H63=""),ABS(ROUNDDOWN(F63-H63, 3 - (1+INT(LOG10(ABS(F63)))))),""),IF(AND(F63=0,NOT(F63="")),ABS(ROUNDDOWN(F63-H63,0)),""))</f>
        <v/>
      </c>
      <c r="J63" s="4">
        <f>IF(NOT(I63=""),IF(I63&lt;=G63,"match",IF(I63&lt;3*G63,"partial match","no match")),"")</f>
        <v/>
      </c>
      <c r="K63" t="inlineStr">
        <is>
          <t>ih_mad</t>
        </is>
      </c>
    </row>
    <row r="64" ht="15" customHeight="1" s="10">
      <c r="A64" t="inlineStr">
        <is>
          <t>digital phantom</t>
        </is>
      </c>
      <c r="B64" t="inlineStr">
        <is>
          <t>Intensity histogram</t>
        </is>
      </c>
      <c r="C64" t="inlineStr">
        <is>
          <t>Robust mean absolute deviation</t>
        </is>
      </c>
      <c r="D64" t="inlineStr">
        <is>
          <t>RobustMeanAbsoluteDeviation</t>
        </is>
      </c>
      <c r="E64" t="inlineStr">
        <is>
          <t>6-9</t>
        </is>
      </c>
      <c r="F64" t="n">
        <v>1.11</v>
      </c>
      <c r="G64" t="n">
        <v>0</v>
      </c>
      <c r="H64" s="4" t="n">
        <v>1.113</v>
      </c>
      <c r="I64" s="4">
        <f>IFERROR(IF(NOT(H64=""),ABS(ROUNDDOWN(F64-H64, 3 - (1+INT(LOG10(ABS(F64)))))),""),IF(AND(F64=0,NOT(F64="")),ABS(ROUNDDOWN(F64-H64,0)),""))</f>
        <v/>
      </c>
      <c r="J64" s="4">
        <f>IF(NOT(I64=""),IF(I64&lt;=G64,"match",IF(I64&lt;3*G64,"partial match","no match")),"")</f>
        <v/>
      </c>
      <c r="K64" t="inlineStr">
        <is>
          <t>ih_rmad</t>
        </is>
      </c>
    </row>
    <row r="65" ht="15" customHeight="1" s="10">
      <c r="A65" t="inlineStr">
        <is>
          <t>digital phantom</t>
        </is>
      </c>
      <c r="B65" t="inlineStr">
        <is>
          <t>Intensity histogram</t>
        </is>
      </c>
      <c r="C65" t="inlineStr">
        <is>
          <t>Median absolute deviation</t>
        </is>
      </c>
      <c r="D65" t="inlineStr">
        <is>
          <t>MedianAbsoluteDeviation</t>
        </is>
      </c>
      <c r="E65" t="inlineStr">
        <is>
          <t>6-9</t>
        </is>
      </c>
      <c r="F65" t="n">
        <v>1.15</v>
      </c>
      <c r="G65" t="n">
        <v>0</v>
      </c>
      <c r="H65" s="4" t="n">
        <v>1.14864</v>
      </c>
      <c r="I65" s="4">
        <f>IFERROR(IF(NOT(H65=""),ABS(ROUNDDOWN(F65-H65, 3 - (1+INT(LOG10(ABS(F65)))))),""),IF(AND(F65=0,NOT(F65="")),ABS(ROUNDDOWN(F65-H65,0)),""))</f>
        <v/>
      </c>
      <c r="J65" s="4">
        <f>IF(NOT(I65=""),IF(I65&lt;=G65,"match",IF(I65&lt;3*G65,"partial match","no match")),"")</f>
        <v/>
      </c>
      <c r="K65" t="inlineStr">
        <is>
          <t>ih_medad</t>
        </is>
      </c>
    </row>
    <row r="66" ht="15" customHeight="1" s="10">
      <c r="A66" t="inlineStr">
        <is>
          <t>digital phantom</t>
        </is>
      </c>
      <c r="B66" t="inlineStr">
        <is>
          <t>Intensity histogram</t>
        </is>
      </c>
      <c r="C66" t="inlineStr">
        <is>
          <t>Coefficient of variation</t>
        </is>
      </c>
      <c r="D66" t="inlineStr">
        <is>
          <t>CoefficientOfVariation</t>
        </is>
      </c>
      <c r="E66" t="inlineStr">
        <is>
          <t>6-9</t>
        </is>
      </c>
      <c r="F66" t="n">
        <v>0.8120000000000001</v>
      </c>
      <c r="G66" t="n">
        <v>0</v>
      </c>
      <c r="H66" s="4" t="n">
        <v>0.8121</v>
      </c>
      <c r="I66" s="4">
        <f>IFERROR(IF(NOT(H66=""),ABS(ROUNDDOWN(F66-H66, 3 - (1+INT(LOG10(ABS(F66)))))),""),IF(AND(F66=0,NOT(F66="")),ABS(ROUNDDOWN(F66-H66,0)),""))</f>
        <v/>
      </c>
      <c r="J66" s="4">
        <f>IF(NOT(I66=""),IF(I66&lt;=G66,"match",IF(I66&lt;3*G66,"partial match","no match")),"")</f>
        <v/>
      </c>
      <c r="K66" t="inlineStr">
        <is>
          <t>ih_cov</t>
        </is>
      </c>
    </row>
    <row r="67" ht="15" customHeight="1" s="10">
      <c r="A67" t="inlineStr">
        <is>
          <t>digital phantom</t>
        </is>
      </c>
      <c r="B67" t="inlineStr">
        <is>
          <t>Intensity histogram</t>
        </is>
      </c>
      <c r="C67" t="inlineStr">
        <is>
          <t>Quartile coefficient of dispersion</t>
        </is>
      </c>
      <c r="D67" t="inlineStr">
        <is>
          <t>QuartileCoefficientOfDispersion</t>
        </is>
      </c>
      <c r="E67" t="inlineStr">
        <is>
          <t>6-9</t>
        </is>
      </c>
      <c r="F67" t="n">
        <v>0.6</v>
      </c>
      <c r="G67" t="n">
        <v>0</v>
      </c>
      <c r="H67" s="4" t="n">
        <v>0.6</v>
      </c>
      <c r="I67" s="4">
        <f>IFERROR(IF(NOT(H67=""),ABS(ROUNDDOWN(F67-H67, 3 - (1+INT(LOG10(ABS(F67)))))),""),IF(AND(F67=0,NOT(F67="")),ABS(ROUNDDOWN(F67-H67,0)),""))</f>
        <v/>
      </c>
      <c r="J67" s="4">
        <f>IF(NOT(I67=""),IF(I67&lt;=G67,"match",IF(I67&lt;3*G67,"partial match","no match")),"")</f>
        <v/>
      </c>
      <c r="K67" t="inlineStr">
        <is>
          <t>ih_qcod</t>
        </is>
      </c>
    </row>
    <row r="68" ht="15" customHeight="1" s="10">
      <c r="A68" t="inlineStr">
        <is>
          <t>digital phantom</t>
        </is>
      </c>
      <c r="B68" t="inlineStr">
        <is>
          <t>Intensity histogram</t>
        </is>
      </c>
      <c r="C68" t="inlineStr">
        <is>
          <t>Entropy</t>
        </is>
      </c>
      <c r="D68" t="inlineStr">
        <is>
          <t>Entropy</t>
        </is>
      </c>
      <c r="E68" t="inlineStr">
        <is>
          <t>≥ 10</t>
        </is>
      </c>
      <c r="F68" t="n">
        <v>1.27</v>
      </c>
      <c r="G68" t="n">
        <v>0</v>
      </c>
      <c r="H68" s="4" t="n">
        <v>1.2656</v>
      </c>
      <c r="I68" s="4">
        <f>IFERROR(IF(NOT(H68=""),ABS(ROUNDDOWN(F68-H68, 3 - (1+INT(LOG10(ABS(F68)))))),""),IF(AND(F68=0,NOT(F68="")),ABS(ROUNDDOWN(F68-H68,0)),""))</f>
        <v/>
      </c>
      <c r="J68" s="4">
        <f>IF(NOT(I68=""),IF(I68&lt;=G68,"match",IF(I68&lt;3*G68,"partial match","no match")),"")</f>
        <v/>
      </c>
      <c r="K68" t="inlineStr">
        <is>
          <t>ih_entropy</t>
        </is>
      </c>
    </row>
    <row r="69" ht="15" customHeight="1" s="10">
      <c r="A69" t="inlineStr">
        <is>
          <t>digital phantom</t>
        </is>
      </c>
      <c r="B69" t="inlineStr">
        <is>
          <t>Intensity histogram</t>
        </is>
      </c>
      <c r="C69" t="inlineStr">
        <is>
          <t>Uniformity</t>
        </is>
      </c>
      <c r="D69" t="inlineStr">
        <is>
          <t>Uniformity</t>
        </is>
      </c>
      <c r="E69" t="inlineStr">
        <is>
          <t>≥ 10</t>
        </is>
      </c>
      <c r="F69" t="n">
        <v>0.512</v>
      </c>
      <c r="G69" t="n">
        <v>0</v>
      </c>
      <c r="H69" s="4" t="n">
        <v>0.51241</v>
      </c>
      <c r="I69" s="4">
        <f>IFERROR(IF(NOT(H69=""),ABS(ROUNDDOWN(F69-H69, 3 - (1+INT(LOG10(ABS(F69)))))),""),IF(AND(F69=0,NOT(F69="")),ABS(ROUNDDOWN(F69-H69,0)),""))</f>
        <v/>
      </c>
      <c r="J69" s="4">
        <f>IF(NOT(I69=""),IF(I69&lt;=G69,"match",IF(I69&lt;3*G69,"partial match","no match")),"")</f>
        <v/>
      </c>
      <c r="K69" t="inlineStr">
        <is>
          <t>ih_uniformity</t>
        </is>
      </c>
    </row>
    <row r="70" ht="15" customHeight="1" s="10">
      <c r="A70" t="inlineStr">
        <is>
          <t>digital phantom</t>
        </is>
      </c>
      <c r="B70" t="inlineStr">
        <is>
          <t>Intensity histogram</t>
        </is>
      </c>
      <c r="C70" t="inlineStr">
        <is>
          <t>Maximum histogram gradient</t>
        </is>
      </c>
      <c r="D70" t="inlineStr">
        <is>
          <t>MaximumHistogramGradient</t>
        </is>
      </c>
      <c r="E70" t="inlineStr">
        <is>
          <t>6-9</t>
        </is>
      </c>
      <c r="F70" t="n">
        <v>8</v>
      </c>
      <c r="G70" t="n">
        <v>0</v>
      </c>
      <c r="H70" s="4" t="n">
        <v>8</v>
      </c>
      <c r="I70" s="4">
        <f>IFERROR(IF(NOT(H70=""),ABS(ROUNDDOWN(F70-H70, 3 - (1+INT(LOG10(ABS(F70)))))),""),IF(AND(F70=0,NOT(F70="")),ABS(ROUNDDOWN(F70-H70,0)),""))</f>
        <v/>
      </c>
      <c r="J70" s="4">
        <f>IF(NOT(I70=""),IF(I70&lt;=G70,"match",IF(I70&lt;3*G70,"partial match","no match")),"")</f>
        <v/>
      </c>
      <c r="K70" t="inlineStr">
        <is>
          <t>ih_max_grad</t>
        </is>
      </c>
    </row>
    <row r="71" ht="15" customHeight="1" s="10">
      <c r="A71" t="inlineStr">
        <is>
          <t>digital phantom</t>
        </is>
      </c>
      <c r="B71" t="inlineStr">
        <is>
          <t>Intensity histogram</t>
        </is>
      </c>
      <c r="C71" t="inlineStr">
        <is>
          <t>Maximum gradient grey level</t>
        </is>
      </c>
      <c r="D71" t="inlineStr">
        <is>
          <t>MaximumHistogramGradientIntensity</t>
        </is>
      </c>
      <c r="E71" t="inlineStr">
        <is>
          <t>6-9</t>
        </is>
      </c>
      <c r="F71" t="n">
        <v>3</v>
      </c>
      <c r="G71" t="n">
        <v>0</v>
      </c>
      <c r="H71" s="4" t="n">
        <v>3</v>
      </c>
      <c r="I71" s="4">
        <f>IFERROR(IF(NOT(H71=""),ABS(ROUNDDOWN(F71-H71, 3 - (1+INT(LOG10(ABS(F71)))))),""),IF(AND(F71=0,NOT(F71="")),ABS(ROUNDDOWN(F71-H71,0)),""))</f>
        <v/>
      </c>
      <c r="J71" s="4">
        <f>IF(NOT(I71=""),IF(I71&lt;=G71,"match",IF(I71&lt;3*G71,"partial match","no match")),"")</f>
        <v/>
      </c>
      <c r="K71" t="inlineStr">
        <is>
          <t>ih_max_grad_g</t>
        </is>
      </c>
    </row>
    <row r="72" ht="15" customHeight="1" s="10">
      <c r="A72" t="inlineStr">
        <is>
          <t>digital phantom</t>
        </is>
      </c>
      <c r="B72" t="inlineStr">
        <is>
          <t>Intensity histogram</t>
        </is>
      </c>
      <c r="C72" t="inlineStr">
        <is>
          <t>Minimum histogram gradient</t>
        </is>
      </c>
      <c r="D72" t="inlineStr">
        <is>
          <t>MinimumHistogramGradient</t>
        </is>
      </c>
      <c r="E72" t="inlineStr">
        <is>
          <t>6-9</t>
        </is>
      </c>
      <c r="F72" t="n">
        <v>-50</v>
      </c>
      <c r="G72" t="n">
        <v>0</v>
      </c>
      <c r="H72" s="4" t="n">
        <v>-50</v>
      </c>
      <c r="I72" s="4">
        <f>IFERROR(IF(NOT(H72=""),ABS(ROUNDDOWN(F72-H72, 3 - (1+INT(LOG10(ABS(F72)))))),""),IF(AND(F72=0,NOT(F72="")),ABS(ROUNDDOWN(F72-H72,0)),""))</f>
        <v/>
      </c>
      <c r="J72" s="4">
        <f>IF(NOT(I72=""),IF(I72&lt;=G72,"match",IF(I72&lt;3*G72,"partial match","no match")),"")</f>
        <v/>
      </c>
      <c r="K72" t="inlineStr">
        <is>
          <t>ih_min_grad</t>
        </is>
      </c>
    </row>
    <row r="73" ht="15" customHeight="1" s="10">
      <c r="A73" t="inlineStr">
        <is>
          <t>digital phantom</t>
        </is>
      </c>
      <c r="B73" t="inlineStr">
        <is>
          <t>Intensity histogram</t>
        </is>
      </c>
      <c r="C73" t="inlineStr">
        <is>
          <t>Minimum gradient grey level</t>
        </is>
      </c>
      <c r="D73" t="inlineStr">
        <is>
          <t>MinimumHistogramGradientIntensity</t>
        </is>
      </c>
      <c r="E73" t="inlineStr">
        <is>
          <t>6-9</t>
        </is>
      </c>
      <c r="F73" t="n">
        <v>1</v>
      </c>
      <c r="G73" t="n">
        <v>0</v>
      </c>
      <c r="H73" s="4" t="n">
        <v>1</v>
      </c>
      <c r="I73" s="4">
        <f>IFERROR(IF(NOT(H73=""),ABS(ROUNDDOWN(F73-H73, 3 - (1+INT(LOG10(ABS(F73)))))),""),IF(AND(F73=0,NOT(F73="")),ABS(ROUNDDOWN(F73-H73,0)),""))</f>
        <v/>
      </c>
      <c r="J73" s="4">
        <f>IF(NOT(I73=""),IF(I73&lt;=G73,"match",IF(I73&lt;3*G73,"partial match","no match")),"")</f>
        <v/>
      </c>
      <c r="K73" t="inlineStr">
        <is>
          <t>ih_min_grad_g</t>
        </is>
      </c>
    </row>
    <row r="74" ht="15" customHeight="1" s="10">
      <c r="A74" t="inlineStr">
        <is>
          <t>digital phantom</t>
        </is>
      </c>
      <c r="B74" s="11" t="inlineStr">
        <is>
          <t>Intensity volume histogram</t>
        </is>
      </c>
      <c r="C74" t="inlineStr">
        <is>
          <t>Volume fraction at 10% intensity</t>
        </is>
      </c>
      <c r="D74" s="11" t="inlineStr">
        <is>
          <t>VolumeAtIntensityFraction10</t>
        </is>
      </c>
      <c r="E74" t="inlineStr">
        <is>
          <t>6-9</t>
        </is>
      </c>
      <c r="F74" t="n">
        <v>0.324</v>
      </c>
      <c r="G74" t="n">
        <v>0</v>
      </c>
      <c r="H74" s="4" t="n">
        <v>0.3243</v>
      </c>
      <c r="I74" s="4">
        <f>IFERROR(IF(NOT(H74=""),ABS(ROUNDDOWN(F74-H74, 3 - (1+INT(LOG10(ABS(F74)))))),""),IF(AND(F74=0,NOT(F74="")),ABS(ROUNDDOWN(F74-H74,0)),""))</f>
        <v/>
      </c>
      <c r="J74" s="4">
        <f>IF(NOT(I74=""),IF(I74&lt;=G74,"match",IF(I74&lt;3*G74,"partial match","no match")),"")</f>
        <v/>
      </c>
      <c r="K74" t="inlineStr">
        <is>
          <t>ivh_v10</t>
        </is>
      </c>
    </row>
    <row r="75" ht="15" customHeight="1" s="10">
      <c r="A75" t="inlineStr">
        <is>
          <t>digital phantom</t>
        </is>
      </c>
      <c r="B75" t="inlineStr">
        <is>
          <t>Intensity volume histogram</t>
        </is>
      </c>
      <c r="C75" t="inlineStr">
        <is>
          <t>Volume fraction at 90% intensity</t>
        </is>
      </c>
      <c r="D75" s="11" t="inlineStr">
        <is>
          <t>VolumeAtIntensityFraction90</t>
        </is>
      </c>
      <c r="E75" t="inlineStr">
        <is>
          <t>6-9</t>
        </is>
      </c>
      <c r="F75" t="n">
        <v>0.0946</v>
      </c>
      <c r="G75" t="n">
        <v>0</v>
      </c>
      <c r="H75" s="4" t="n">
        <v>0.09458999999999999</v>
      </c>
      <c r="I75" s="4">
        <f>IFERROR(IF(NOT(H75=""),ABS(ROUNDDOWN(F75-H75, 3 - (1+INT(LOG10(ABS(F75)))))),""),IF(AND(F75=0,NOT(F75="")),ABS(ROUNDDOWN(F75-H75,0)),""))</f>
        <v/>
      </c>
      <c r="J75" s="4">
        <f>IF(NOT(I75=""),IF(I75&lt;=G75,"match",IF(I75&lt;3*G75,"partial match","no match")),"")</f>
        <v/>
      </c>
      <c r="K75" t="inlineStr">
        <is>
          <t>ivh_v90</t>
        </is>
      </c>
    </row>
    <row r="76" ht="15" customHeight="1" s="10">
      <c r="A76" t="inlineStr">
        <is>
          <t>digital phantom</t>
        </is>
      </c>
      <c r="B76" t="inlineStr">
        <is>
          <t>Intensity volume histogram</t>
        </is>
      </c>
      <c r="C76" t="inlineStr">
        <is>
          <t>Intensity at 10% volume</t>
        </is>
      </c>
      <c r="D76" s="11" t="inlineStr">
        <is>
          <t>IntensityAtVolumeFraction10</t>
        </is>
      </c>
      <c r="E76" t="inlineStr">
        <is>
          <t>6-9</t>
        </is>
      </c>
      <c r="F76" t="n">
        <v>5</v>
      </c>
      <c r="G76" t="n">
        <v>0</v>
      </c>
      <c r="H76" s="4" t="n">
        <v>5</v>
      </c>
      <c r="I76" s="4">
        <f>IFERROR(IF(NOT(H76=""),ABS(ROUNDDOWN(F76-H76, 3 - (1+INT(LOG10(ABS(F76)))))),""),IF(AND(F76=0,NOT(F76="")),ABS(ROUNDDOWN(F76-H76,0)),""))</f>
        <v/>
      </c>
      <c r="J76" s="4">
        <f>IF(NOT(I76=""),IF(I76&lt;=G76,"match",IF(I76&lt;3*G76,"partial match","no match")),"")</f>
        <v/>
      </c>
      <c r="K76" t="inlineStr">
        <is>
          <t>ivh_i10</t>
        </is>
      </c>
    </row>
    <row r="77" ht="15" customHeight="1" s="10">
      <c r="A77" t="inlineStr">
        <is>
          <t>digital phantom</t>
        </is>
      </c>
      <c r="B77" t="inlineStr">
        <is>
          <t>Intensity volume histogram</t>
        </is>
      </c>
      <c r="C77" t="inlineStr">
        <is>
          <t>Intensity at 90% volume</t>
        </is>
      </c>
      <c r="D77" s="11" t="inlineStr">
        <is>
          <t>IntensityAtVolumeFraction90</t>
        </is>
      </c>
      <c r="E77" t="inlineStr">
        <is>
          <t>6-9</t>
        </is>
      </c>
      <c r="F77" t="n">
        <v>2</v>
      </c>
      <c r="G77" t="n">
        <v>0</v>
      </c>
      <c r="H77" s="4" t="n">
        <v>2</v>
      </c>
      <c r="I77" s="4">
        <f>IFERROR(IF(NOT(H77=""),ABS(ROUNDDOWN(F77-H77, 3 - (1+INT(LOG10(ABS(F77)))))),""),IF(AND(F77=0,NOT(F77="")),ABS(ROUNDDOWN(F77-H77,0)),""))</f>
        <v/>
      </c>
      <c r="J77" s="4">
        <f>IF(NOT(I77=""),IF(I77&lt;=G77,"match",IF(I77&lt;3*G77,"partial match","no match")),"")</f>
        <v/>
      </c>
      <c r="K77" t="inlineStr">
        <is>
          <t>ivh_i90</t>
        </is>
      </c>
    </row>
    <row r="78" ht="15" customHeight="1" s="10">
      <c r="A78" t="inlineStr">
        <is>
          <t>digital phantom</t>
        </is>
      </c>
      <c r="B78" t="inlineStr">
        <is>
          <t>Intensity volume histogram</t>
        </is>
      </c>
      <c r="C78" t="inlineStr">
        <is>
          <t>Volume fraction difference between 10% and 90% intensity</t>
        </is>
      </c>
      <c r="D78" t="inlineStr">
        <is>
          <t>VolumeFractionDifferenceBetweenIntensityFractions</t>
        </is>
      </c>
      <c r="E78" t="inlineStr">
        <is>
          <t>6-9</t>
        </is>
      </c>
      <c r="F78" t="n">
        <v>0.23</v>
      </c>
      <c r="G78" t="n">
        <v>0</v>
      </c>
      <c r="H78" s="4" t="n">
        <v>0.2297</v>
      </c>
      <c r="I78" s="4">
        <f>IFERROR(IF(NOT(H78=""),ABS(ROUNDDOWN(F78-H78, 3 - (1+INT(LOG10(ABS(F78)))))),""),IF(AND(F78=0,NOT(F78="")),ABS(ROUNDDOWN(F78-H78,0)),""))</f>
        <v/>
      </c>
      <c r="J78" s="4">
        <f>IF(NOT(I78=""),IF(I78&lt;=G78,"match",IF(I78&lt;3*G78,"partial match","no match")),"")</f>
        <v/>
      </c>
      <c r="K78" t="inlineStr">
        <is>
          <t>ivh_diff_v10_v90</t>
        </is>
      </c>
    </row>
    <row r="79" ht="15" customHeight="1" s="10">
      <c r="A79" t="inlineStr">
        <is>
          <t>digital phantom</t>
        </is>
      </c>
      <c r="B79" t="inlineStr">
        <is>
          <t>Intensity volume histogram</t>
        </is>
      </c>
      <c r="C79" t="inlineStr">
        <is>
          <t>Intensity difference between 10% and 90% volume</t>
        </is>
      </c>
      <c r="D79" t="inlineStr">
        <is>
          <t>IntensityFractionDifferenceBetweenVolumeFractions</t>
        </is>
      </c>
      <c r="E79" t="inlineStr">
        <is>
          <t>6-9</t>
        </is>
      </c>
      <c r="F79" t="n">
        <v>3</v>
      </c>
      <c r="G79" t="n">
        <v>0</v>
      </c>
      <c r="H79" s="4" t="n">
        <v>3</v>
      </c>
      <c r="I79" s="4">
        <f>IFERROR(IF(NOT(H79=""),ABS(ROUNDDOWN(F79-H79, 3 - (1+INT(LOG10(ABS(F79)))))),""),IF(AND(F79=0,NOT(F79="")),ABS(ROUNDDOWN(F79-H79,0)),""))</f>
        <v/>
      </c>
      <c r="J79" s="4">
        <f>IF(NOT(I79=""),IF(I79&lt;=G79,"match",IF(I79&lt;3*G79,"partial match","no match")),"")</f>
        <v/>
      </c>
      <c r="K79" t="inlineStr">
        <is>
          <t>ivh_diff_i10_i90</t>
        </is>
      </c>
    </row>
    <row r="80" ht="15" customHeight="1" s="10">
      <c r="A80" t="inlineStr">
        <is>
          <t>digital phantom</t>
        </is>
      </c>
      <c r="B80" t="inlineStr">
        <is>
          <t>Intensity volume histogram</t>
        </is>
      </c>
      <c r="C80" t="inlineStr">
        <is>
          <t>Area under the IVH curve</t>
        </is>
      </c>
      <c r="D80" t="inlineStr">
        <is>
          <t>AreaUnderTheIVHCurve</t>
        </is>
      </c>
      <c r="E80" t="inlineStr">
        <is>
          <t>6-9</t>
        </is>
      </c>
      <c r="F80" t="n">
        <v>0.32</v>
      </c>
      <c r="G80" t="n">
        <v>0</v>
      </c>
      <c r="H80" s="4" t="n"/>
      <c r="I80" s="4">
        <f>IFERROR(IF(NOT(H80=""),ABS(ROUNDDOWN(F80-H80, 3 - (1+INT(LOG10(ABS(F80)))))),""),IF(AND(F80=0,NOT(F80="")),ABS(ROUNDDOWN(F80-H80,0)),""))</f>
        <v/>
      </c>
      <c r="J80" s="4">
        <f>IF(NOT(I80=""),IF(I80&lt;=G80,"match",IF(I80&lt;3*G80,"partial match","no match")),"")</f>
        <v/>
      </c>
      <c r="K80" t="inlineStr">
        <is>
          <t>ivh_auc</t>
        </is>
      </c>
      <c r="L80" t="inlineStr">
        <is>
          <t>not-in-ibsi1-manual</t>
        </is>
      </c>
    </row>
    <row r="81" ht="15" customHeight="1" s="10">
      <c r="A81" t="inlineStr">
        <is>
          <t>digital phantom</t>
        </is>
      </c>
      <c r="B81" t="inlineStr">
        <is>
          <t>Co-occurrence matrix (2D, averaged)</t>
        </is>
      </c>
      <c r="C81" t="inlineStr">
        <is>
          <t>Joint maximum</t>
        </is>
      </c>
      <c r="E81" t="inlineStr">
        <is>
          <t>6-9</t>
        </is>
      </c>
      <c r="F81" t="n">
        <v>0.519</v>
      </c>
      <c r="G81" t="n">
        <v>0</v>
      </c>
      <c r="H81" s="4" t="n"/>
      <c r="I81" s="4">
        <f>IFERROR(IF(NOT(H81=""),ABS(ROUNDDOWN(F81-H81, 3 - (1+INT(LOG10(ABS(F81)))))),""),IF(AND(F81=0,NOT(F81="")),ABS(ROUNDDOWN(F81-H81,0)),""))</f>
        <v/>
      </c>
      <c r="J81" s="4">
        <f>IF(NOT(I81=""),IF(I81&lt;=G81,"match",IF(I81&lt;3*G81,"partial match","no match")),"")</f>
        <v/>
      </c>
      <c r="K81" t="inlineStr">
        <is>
          <t>cm_joint_max_2D_avg</t>
        </is>
      </c>
    </row>
    <row r="82" ht="15" customHeight="1" s="10">
      <c r="A82" t="inlineStr">
        <is>
          <t>digital phantom</t>
        </is>
      </c>
      <c r="B82" t="inlineStr">
        <is>
          <t>Co-occurrence matrix (2D, averaged)</t>
        </is>
      </c>
      <c r="C82" t="inlineStr">
        <is>
          <t>Joint average</t>
        </is>
      </c>
      <c r="E82" t="inlineStr">
        <is>
          <t>6-9</t>
        </is>
      </c>
      <c r="F82" t="n">
        <v>2.14</v>
      </c>
      <c r="G82" t="n">
        <v>0</v>
      </c>
      <c r="H82" s="4" t="n"/>
      <c r="I82" s="4">
        <f>IFERROR(IF(NOT(H82=""),ABS(ROUNDDOWN(F82-H82, 3 - (1+INT(LOG10(ABS(F82)))))),""),IF(AND(F82=0,NOT(F82="")),ABS(ROUNDDOWN(F82-H82,0)),""))</f>
        <v/>
      </c>
      <c r="J82" s="4">
        <f>IF(NOT(I82=""),IF(I82&lt;=G82,"match",IF(I82&lt;3*G82,"partial match","no match")),"")</f>
        <v/>
      </c>
      <c r="K82" t="inlineStr">
        <is>
          <t>cm_joint_avg_2D_avg</t>
        </is>
      </c>
    </row>
    <row r="83" ht="15" customHeight="1" s="10">
      <c r="A83" t="inlineStr">
        <is>
          <t>digital phantom</t>
        </is>
      </c>
      <c r="B83" t="inlineStr">
        <is>
          <t>Co-occurrence matrix (2D, averaged)</t>
        </is>
      </c>
      <c r="C83" t="inlineStr">
        <is>
          <t>Joint variance</t>
        </is>
      </c>
      <c r="E83" t="inlineStr">
        <is>
          <t>6-9</t>
        </is>
      </c>
      <c r="F83" t="n">
        <v>2.69</v>
      </c>
      <c r="G83" t="n">
        <v>0</v>
      </c>
      <c r="H83" s="4" t="n"/>
      <c r="I83" s="4">
        <f>IFERROR(IF(NOT(H83=""),ABS(ROUNDDOWN(F83-H83, 3 - (1+INT(LOG10(ABS(F83)))))),""),IF(AND(F83=0,NOT(F83="")),ABS(ROUNDDOWN(F83-H83,0)),""))</f>
        <v/>
      </c>
      <c r="J83" s="4">
        <f>IF(NOT(I83=""),IF(I83&lt;=G83,"match",IF(I83&lt;3*G83,"partial match","no match")),"")</f>
        <v/>
      </c>
      <c r="K83" t="inlineStr">
        <is>
          <t>cm_joint_var_2D_avg</t>
        </is>
      </c>
    </row>
    <row r="84" ht="15" customHeight="1" s="10">
      <c r="A84" t="inlineStr">
        <is>
          <t>digital phantom</t>
        </is>
      </c>
      <c r="B84" t="inlineStr">
        <is>
          <t>Co-occurrence matrix (2D, averaged)</t>
        </is>
      </c>
      <c r="C84" t="inlineStr">
        <is>
          <t>Joint entropy</t>
        </is>
      </c>
      <c r="E84" t="inlineStr">
        <is>
          <t>6-9</t>
        </is>
      </c>
      <c r="F84" t="n">
        <v>2.05</v>
      </c>
      <c r="G84" t="n">
        <v>0</v>
      </c>
      <c r="H84" s="4" t="n"/>
      <c r="I84" s="4">
        <f>IFERROR(IF(NOT(H84=""),ABS(ROUNDDOWN(F84-H84, 3 - (1+INT(LOG10(ABS(F84)))))),""),IF(AND(F84=0,NOT(F84="")),ABS(ROUNDDOWN(F84-H84,0)),""))</f>
        <v/>
      </c>
      <c r="J84" s="4">
        <f>IF(NOT(I84=""),IF(I84&lt;=G84,"match",IF(I84&lt;3*G84,"partial match","no match")),"")</f>
        <v/>
      </c>
      <c r="K84" t="inlineStr">
        <is>
          <t>cm_joint_entr_2D_avg</t>
        </is>
      </c>
    </row>
    <row r="85" ht="15" customHeight="1" s="10">
      <c r="A85" t="inlineStr">
        <is>
          <t>digital phantom</t>
        </is>
      </c>
      <c r="B85" t="inlineStr">
        <is>
          <t>Co-occurrence matrix (2D, averaged)</t>
        </is>
      </c>
      <c r="C85" t="inlineStr">
        <is>
          <t>Difference average</t>
        </is>
      </c>
      <c r="E85" t="inlineStr">
        <is>
          <t>6-9</t>
        </is>
      </c>
      <c r="F85" t="n">
        <v>1.42</v>
      </c>
      <c r="G85" t="n">
        <v>0</v>
      </c>
      <c r="H85" s="4" t="n"/>
      <c r="I85" s="4">
        <f>IFERROR(IF(NOT(H85=""),ABS(ROUNDDOWN(F85-H85, 3 - (1+INT(LOG10(ABS(F85)))))),""),IF(AND(F85=0,NOT(F85="")),ABS(ROUNDDOWN(F85-H85,0)),""))</f>
        <v/>
      </c>
      <c r="J85" s="4">
        <f>IF(NOT(I85=""),IF(I85&lt;=G85,"match",IF(I85&lt;3*G85,"partial match","no match")),"")</f>
        <v/>
      </c>
      <c r="K85" t="inlineStr">
        <is>
          <t>cm_diff_avg_2D_avg</t>
        </is>
      </c>
    </row>
    <row r="86" ht="15" customHeight="1" s="10">
      <c r="A86" t="inlineStr">
        <is>
          <t>digital phantom</t>
        </is>
      </c>
      <c r="B86" t="inlineStr">
        <is>
          <t>Co-occurrence matrix (2D, averaged)</t>
        </is>
      </c>
      <c r="C86" t="inlineStr">
        <is>
          <t>Difference variance</t>
        </is>
      </c>
      <c r="E86" t="inlineStr">
        <is>
          <t>6-9</t>
        </is>
      </c>
      <c r="F86" t="n">
        <v>2.9</v>
      </c>
      <c r="G86" t="n">
        <v>0</v>
      </c>
      <c r="H86" s="4" t="n"/>
      <c r="I86" s="4">
        <f>IFERROR(IF(NOT(H86=""),ABS(ROUNDDOWN(F86-H86, 3 - (1+INT(LOG10(ABS(F86)))))),""),IF(AND(F86=0,NOT(F86="")),ABS(ROUNDDOWN(F86-H86,0)),""))</f>
        <v/>
      </c>
      <c r="J86" s="4">
        <f>IF(NOT(I86=""),IF(I86&lt;=G86,"match",IF(I86&lt;3*G86,"partial match","no match")),"")</f>
        <v/>
      </c>
      <c r="K86" t="inlineStr">
        <is>
          <t>cm_diff_var_2D_avg</t>
        </is>
      </c>
    </row>
    <row r="87" ht="15" customHeight="1" s="10">
      <c r="A87" t="inlineStr">
        <is>
          <t>digital phantom</t>
        </is>
      </c>
      <c r="B87" t="inlineStr">
        <is>
          <t>Co-occurrence matrix (2D, averaged)</t>
        </is>
      </c>
      <c r="C87" t="inlineStr">
        <is>
          <t>Difference entropy</t>
        </is>
      </c>
      <c r="E87" t="inlineStr">
        <is>
          <t>6-9</t>
        </is>
      </c>
      <c r="F87" t="n">
        <v>1.4</v>
      </c>
      <c r="G87" t="n">
        <v>0</v>
      </c>
      <c r="H87" s="4" t="n"/>
      <c r="I87" s="4">
        <f>IFERROR(IF(NOT(H87=""),ABS(ROUNDDOWN(F87-H87, 3 - (1+INT(LOG10(ABS(F87)))))),""),IF(AND(F87=0,NOT(F87="")),ABS(ROUNDDOWN(F87-H87,0)),""))</f>
        <v/>
      </c>
      <c r="J87" s="4">
        <f>IF(NOT(I87=""),IF(I87&lt;=G87,"match",IF(I87&lt;3*G87,"partial match","no match")),"")</f>
        <v/>
      </c>
      <c r="K87" t="inlineStr">
        <is>
          <t>cm_diff_entr_2D_avg</t>
        </is>
      </c>
    </row>
    <row r="88" ht="15" customHeight="1" s="10">
      <c r="A88" t="inlineStr">
        <is>
          <t>digital phantom</t>
        </is>
      </c>
      <c r="B88" t="inlineStr">
        <is>
          <t>Co-occurrence matrix (2D, averaged)</t>
        </is>
      </c>
      <c r="C88" t="inlineStr">
        <is>
          <t>Sum average</t>
        </is>
      </c>
      <c r="E88" t="inlineStr">
        <is>
          <t>6-9</t>
        </is>
      </c>
      <c r="F88" t="n">
        <v>4.28</v>
      </c>
      <c r="G88" t="n">
        <v>0</v>
      </c>
      <c r="H88" s="4" t="n"/>
      <c r="I88" s="4">
        <f>IFERROR(IF(NOT(H88=""),ABS(ROUNDDOWN(F88-H88, 3 - (1+INT(LOG10(ABS(F88)))))),""),IF(AND(F88=0,NOT(F88="")),ABS(ROUNDDOWN(F88-H88,0)),""))</f>
        <v/>
      </c>
      <c r="J88" s="4">
        <f>IF(NOT(I88=""),IF(I88&lt;=G88,"match",IF(I88&lt;3*G88,"partial match","no match")),"")</f>
        <v/>
      </c>
      <c r="K88" t="inlineStr">
        <is>
          <t>cm_sum_avg_2D_avg</t>
        </is>
      </c>
    </row>
    <row r="89" ht="15" customHeight="1" s="10">
      <c r="A89" t="inlineStr">
        <is>
          <t>digital phantom</t>
        </is>
      </c>
      <c r="B89" t="inlineStr">
        <is>
          <t>Co-occurrence matrix (2D, averaged)</t>
        </is>
      </c>
      <c r="C89" t="inlineStr">
        <is>
          <t>Sum variance</t>
        </is>
      </c>
      <c r="E89" t="inlineStr">
        <is>
          <t>6-9</t>
        </is>
      </c>
      <c r="F89" t="n">
        <v>5.47</v>
      </c>
      <c r="G89" t="n">
        <v>0</v>
      </c>
      <c r="H89" s="4" t="n"/>
      <c r="I89" s="4">
        <f>IFERROR(IF(NOT(H89=""),ABS(ROUNDDOWN(F89-H89, 3 - (1+INT(LOG10(ABS(F89)))))),""),IF(AND(F89=0,NOT(F89="")),ABS(ROUNDDOWN(F89-H89,0)),""))</f>
        <v/>
      </c>
      <c r="J89" s="4">
        <f>IF(NOT(I89=""),IF(I89&lt;=G89,"match",IF(I89&lt;3*G89,"partial match","no match")),"")</f>
        <v/>
      </c>
      <c r="K89" t="inlineStr">
        <is>
          <t>cm_sum_var_2D_avg</t>
        </is>
      </c>
    </row>
    <row r="90" ht="15" customHeight="1" s="10">
      <c r="A90" t="inlineStr">
        <is>
          <t>digital phantom</t>
        </is>
      </c>
      <c r="B90" t="inlineStr">
        <is>
          <t>Co-occurrence matrix (2D, averaged)</t>
        </is>
      </c>
      <c r="C90" t="inlineStr">
        <is>
          <t>Sum entropy</t>
        </is>
      </c>
      <c r="E90" t="inlineStr">
        <is>
          <t>6-9</t>
        </is>
      </c>
      <c r="F90" t="n">
        <v>1.6</v>
      </c>
      <c r="G90" t="n">
        <v>0</v>
      </c>
      <c r="H90" s="4" t="n"/>
      <c r="I90" s="4">
        <f>IFERROR(IF(NOT(H90=""),ABS(ROUNDDOWN(F90-H90, 3 - (1+INT(LOG10(ABS(F90)))))),""),IF(AND(F90=0,NOT(F90="")),ABS(ROUNDDOWN(F90-H90,0)),""))</f>
        <v/>
      </c>
      <c r="J90" s="4">
        <f>IF(NOT(I90=""),IF(I90&lt;=G90,"match",IF(I90&lt;3*G90,"partial match","no match")),"")</f>
        <v/>
      </c>
      <c r="K90" t="inlineStr">
        <is>
          <t>cm_sum_entr_2D_avg</t>
        </is>
      </c>
    </row>
    <row r="91" ht="15" customHeight="1" s="10">
      <c r="A91" t="inlineStr">
        <is>
          <t>digital phantom</t>
        </is>
      </c>
      <c r="B91" t="inlineStr">
        <is>
          <t>Co-occurrence matrix (2D, averaged)</t>
        </is>
      </c>
      <c r="C91" t="inlineStr">
        <is>
          <t>Angular second moment</t>
        </is>
      </c>
      <c r="E91" t="inlineStr">
        <is>
          <t>6-9</t>
        </is>
      </c>
      <c r="F91" t="n">
        <v>0.368</v>
      </c>
      <c r="G91" t="n">
        <v>0</v>
      </c>
      <c r="H91" s="4" t="n"/>
      <c r="I91" s="4">
        <f>IFERROR(IF(NOT(H91=""),ABS(ROUNDDOWN(F91-H91, 3 - (1+INT(LOG10(ABS(F91)))))),""),IF(AND(F91=0,NOT(F91="")),ABS(ROUNDDOWN(F91-H91,0)),""))</f>
        <v/>
      </c>
      <c r="J91" s="4">
        <f>IF(NOT(I91=""),IF(I91&lt;=G91,"match",IF(I91&lt;3*G91,"partial match","no match")),"")</f>
        <v/>
      </c>
      <c r="K91" t="inlineStr">
        <is>
          <t>cm_energy_2D_avg</t>
        </is>
      </c>
    </row>
    <row r="92" ht="15" customHeight="1" s="10">
      <c r="A92" t="inlineStr">
        <is>
          <t>digital phantom</t>
        </is>
      </c>
      <c r="B92" t="inlineStr">
        <is>
          <t>Co-occurrence matrix (2D, averaged)</t>
        </is>
      </c>
      <c r="C92" t="inlineStr">
        <is>
          <t>Contrast</t>
        </is>
      </c>
      <c r="E92" t="inlineStr">
        <is>
          <t>6-9</t>
        </is>
      </c>
      <c r="F92" t="n">
        <v>5.28</v>
      </c>
      <c r="G92" t="n">
        <v>0</v>
      </c>
      <c r="H92" s="4" t="n"/>
      <c r="I92" s="4">
        <f>IFERROR(IF(NOT(H92=""),ABS(ROUNDDOWN(F92-H92, 3 - (1+INT(LOG10(ABS(F92)))))),""),IF(AND(F92=0,NOT(F92="")),ABS(ROUNDDOWN(F92-H92,0)),""))</f>
        <v/>
      </c>
      <c r="J92" s="4">
        <f>IF(NOT(I92=""),IF(I92&lt;=G92,"match",IF(I92&lt;3*G92,"partial match","no match")),"")</f>
        <v/>
      </c>
      <c r="K92" t="inlineStr">
        <is>
          <t>cm_contrast_2D_avg</t>
        </is>
      </c>
    </row>
    <row r="93" ht="15" customHeight="1" s="10">
      <c r="A93" t="inlineStr">
        <is>
          <t>digital phantom</t>
        </is>
      </c>
      <c r="B93" t="inlineStr">
        <is>
          <t>Co-occurrence matrix (2D, averaged)</t>
        </is>
      </c>
      <c r="C93" t="inlineStr">
        <is>
          <t>Dissimilarity</t>
        </is>
      </c>
      <c r="E93" t="inlineStr">
        <is>
          <t>6-9</t>
        </is>
      </c>
      <c r="F93" t="n">
        <v>1.42</v>
      </c>
      <c r="G93" t="n">
        <v>0</v>
      </c>
      <c r="H93" s="4" t="n"/>
      <c r="I93" s="4">
        <f>IFERROR(IF(NOT(H93=""),ABS(ROUNDDOWN(F93-H93, 3 - (1+INT(LOG10(ABS(F93)))))),""),IF(AND(F93=0,NOT(F93="")),ABS(ROUNDDOWN(F93-H93,0)),""))</f>
        <v/>
      </c>
      <c r="J93" s="4">
        <f>IF(NOT(I93=""),IF(I93&lt;=G93,"match",IF(I93&lt;3*G93,"partial match","no match")),"")</f>
        <v/>
      </c>
      <c r="K93" t="inlineStr">
        <is>
          <t>cm_dissimilarity_2D_avg</t>
        </is>
      </c>
    </row>
    <row r="94" ht="15" customHeight="1" s="10">
      <c r="A94" t="inlineStr">
        <is>
          <t>digital phantom</t>
        </is>
      </c>
      <c r="B94" t="inlineStr">
        <is>
          <t>Co-occurrence matrix (2D, averaged)</t>
        </is>
      </c>
      <c r="C94" t="inlineStr">
        <is>
          <t>Inverse difference</t>
        </is>
      </c>
      <c r="E94" t="inlineStr">
        <is>
          <t>6-9</t>
        </is>
      </c>
      <c r="F94" t="n">
        <v>0.678</v>
      </c>
      <c r="G94" t="n">
        <v>0</v>
      </c>
      <c r="H94" s="4" t="n"/>
      <c r="I94" s="4">
        <f>IFERROR(IF(NOT(H94=""),ABS(ROUNDDOWN(F94-H94, 3 - (1+INT(LOG10(ABS(F94)))))),""),IF(AND(F94=0,NOT(F94="")),ABS(ROUNDDOWN(F94-H94,0)),""))</f>
        <v/>
      </c>
      <c r="J94" s="4">
        <f>IF(NOT(I94=""),IF(I94&lt;=G94,"match",IF(I94&lt;3*G94,"partial match","no match")),"")</f>
        <v/>
      </c>
      <c r="K94" t="inlineStr">
        <is>
          <t>cm_inv_diff_2D_avg</t>
        </is>
      </c>
    </row>
    <row r="95" ht="15" customHeight="1" s="10">
      <c r="A95" t="inlineStr">
        <is>
          <t>digital phantom</t>
        </is>
      </c>
      <c r="B95" t="inlineStr">
        <is>
          <t>Co-occurrence matrix (2D, averaged)</t>
        </is>
      </c>
      <c r="C95" t="inlineStr">
        <is>
          <t>Inverse difference normalised</t>
        </is>
      </c>
      <c r="E95" t="inlineStr">
        <is>
          <t>6-9</t>
        </is>
      </c>
      <c r="F95" t="n">
        <v>0.851</v>
      </c>
      <c r="G95" t="n">
        <v>0</v>
      </c>
      <c r="H95" s="4" t="n"/>
      <c r="I95" s="4">
        <f>IFERROR(IF(NOT(H95=""),ABS(ROUNDDOWN(F95-H95, 3 - (1+INT(LOG10(ABS(F95)))))),""),IF(AND(F95=0,NOT(F95="")),ABS(ROUNDDOWN(F95-H95,0)),""))</f>
        <v/>
      </c>
      <c r="J95" s="4">
        <f>IF(NOT(I95=""),IF(I95&lt;=G95,"match",IF(I95&lt;3*G95,"partial match","no match")),"")</f>
        <v/>
      </c>
      <c r="K95" t="inlineStr">
        <is>
          <t>cm_inv_diff_norm_2D_avg</t>
        </is>
      </c>
    </row>
    <row r="96" ht="15" customHeight="1" s="10">
      <c r="A96" t="inlineStr">
        <is>
          <t>digital phantom</t>
        </is>
      </c>
      <c r="B96" t="inlineStr">
        <is>
          <t>Co-occurrence matrix (2D, averaged)</t>
        </is>
      </c>
      <c r="C96" t="inlineStr">
        <is>
          <t>Inverse difference moment</t>
        </is>
      </c>
      <c r="E96" t="inlineStr">
        <is>
          <t>6-9</t>
        </is>
      </c>
      <c r="F96" t="n">
        <v>0.619</v>
      </c>
      <c r="G96" t="n">
        <v>0</v>
      </c>
      <c r="H96" s="4" t="n"/>
      <c r="I96" s="4">
        <f>IFERROR(IF(NOT(H96=""),ABS(ROUNDDOWN(F96-H96, 3 - (1+INT(LOG10(ABS(F96)))))),""),IF(AND(F96=0,NOT(F96="")),ABS(ROUNDDOWN(F96-H96,0)),""))</f>
        <v/>
      </c>
      <c r="J96" s="4">
        <f>IF(NOT(I96=""),IF(I96&lt;=G96,"match",IF(I96&lt;3*G96,"partial match","no match")),"")</f>
        <v/>
      </c>
      <c r="K96" t="inlineStr">
        <is>
          <t>cm_inv_diff_mom_2D_avg</t>
        </is>
      </c>
    </row>
    <row r="97" ht="15" customHeight="1" s="10">
      <c r="A97" t="inlineStr">
        <is>
          <t>digital phantom</t>
        </is>
      </c>
      <c r="B97" t="inlineStr">
        <is>
          <t>Co-occurrence matrix (2D, averaged)</t>
        </is>
      </c>
      <c r="C97" t="inlineStr">
        <is>
          <t>Inverse difference moment normalised</t>
        </is>
      </c>
      <c r="E97" t="inlineStr">
        <is>
          <t>6-9</t>
        </is>
      </c>
      <c r="F97" t="n">
        <v>0.899</v>
      </c>
      <c r="G97" t="n">
        <v>0</v>
      </c>
      <c r="H97" s="4" t="n"/>
      <c r="I97" s="4">
        <f>IFERROR(IF(NOT(H97=""),ABS(ROUNDDOWN(F97-H97, 3 - (1+INT(LOG10(ABS(F97)))))),""),IF(AND(F97=0,NOT(F97="")),ABS(ROUNDDOWN(F97-H97,0)),""))</f>
        <v/>
      </c>
      <c r="J97" s="4">
        <f>IF(NOT(I97=""),IF(I97&lt;=G97,"match",IF(I97&lt;3*G97,"partial match","no match")),"")</f>
        <v/>
      </c>
      <c r="K97" t="inlineStr">
        <is>
          <t>cm_inv_diff_mom_norm_2D_avg</t>
        </is>
      </c>
    </row>
    <row r="98" ht="15" customHeight="1" s="10">
      <c r="A98" t="inlineStr">
        <is>
          <t>digital phantom</t>
        </is>
      </c>
      <c r="B98" t="inlineStr">
        <is>
          <t>Co-occurrence matrix (2D, averaged)</t>
        </is>
      </c>
      <c r="C98" t="inlineStr">
        <is>
          <t>Inverse variance</t>
        </is>
      </c>
      <c r="E98" t="inlineStr">
        <is>
          <t>6-9</t>
        </is>
      </c>
      <c r="F98" t="n">
        <v>0.0567</v>
      </c>
      <c r="G98" t="n">
        <v>0</v>
      </c>
      <c r="H98" s="4" t="n"/>
      <c r="I98" s="4">
        <f>IFERROR(IF(NOT(H98=""),ABS(ROUNDDOWN(F98-H98, 3 - (1+INT(LOG10(ABS(F98)))))),""),IF(AND(F98=0,NOT(F98="")),ABS(ROUNDDOWN(F98-H98,0)),""))</f>
        <v/>
      </c>
      <c r="J98" s="4">
        <f>IF(NOT(I98=""),IF(I98&lt;=G98,"match",IF(I98&lt;3*G98,"partial match","no match")),"")</f>
        <v/>
      </c>
      <c r="K98" t="inlineStr">
        <is>
          <t>cm_inv_var_2D_avg</t>
        </is>
      </c>
    </row>
    <row r="99" ht="15" customHeight="1" s="10">
      <c r="A99" t="inlineStr">
        <is>
          <t>digital phantom</t>
        </is>
      </c>
      <c r="B99" t="inlineStr">
        <is>
          <t>Co-occurrence matrix (2D, averaged)</t>
        </is>
      </c>
      <c r="C99" t="inlineStr">
        <is>
          <t>Correlation</t>
        </is>
      </c>
      <c r="E99" t="inlineStr">
        <is>
          <t>6-9</t>
        </is>
      </c>
      <c r="F99" t="n">
        <v>-0.0121</v>
      </c>
      <c r="G99" t="n">
        <v>0</v>
      </c>
      <c r="H99" s="4" t="n"/>
      <c r="I99" s="4">
        <f>IFERROR(IF(NOT(H99=""),ABS(ROUNDDOWN(F99-H99, 3 - (1+INT(LOG10(ABS(F99)))))),""),IF(AND(F99=0,NOT(F99="")),ABS(ROUNDDOWN(F99-H99,0)),""))</f>
        <v/>
      </c>
      <c r="J99" s="4">
        <f>IF(NOT(I99=""),IF(I99&lt;=G99,"match",IF(I99&lt;3*G99,"partial match","no match")),"")</f>
        <v/>
      </c>
      <c r="K99" t="inlineStr">
        <is>
          <t>cm_corr_2D_avg</t>
        </is>
      </c>
    </row>
    <row r="100" ht="15" customHeight="1" s="10">
      <c r="A100" t="inlineStr">
        <is>
          <t>digital phantom</t>
        </is>
      </c>
      <c r="B100" t="inlineStr">
        <is>
          <t>Co-occurrence matrix (2D, averaged)</t>
        </is>
      </c>
      <c r="C100" t="inlineStr">
        <is>
          <t>Autocorrelation</t>
        </is>
      </c>
      <c r="E100" t="inlineStr">
        <is>
          <t>6-9</t>
        </is>
      </c>
      <c r="F100" t="n">
        <v>5.09</v>
      </c>
      <c r="G100" t="n">
        <v>0</v>
      </c>
      <c r="H100" s="4" t="n"/>
      <c r="I100" s="4">
        <f>IFERROR(IF(NOT(H100=""),ABS(ROUNDDOWN(F100-H100, 3 - (1+INT(LOG10(ABS(F100)))))),""),IF(AND(F100=0,NOT(F100="")),ABS(ROUNDDOWN(F100-H100,0)),""))</f>
        <v/>
      </c>
      <c r="J100" s="4">
        <f>IF(NOT(I100=""),IF(I100&lt;=G100,"match",IF(I100&lt;3*G100,"partial match","no match")),"")</f>
        <v/>
      </c>
      <c r="K100" t="inlineStr">
        <is>
          <t>cm_auto_corr_2D_avg</t>
        </is>
      </c>
    </row>
    <row r="101" ht="15" customHeight="1" s="10">
      <c r="A101" t="inlineStr">
        <is>
          <t>digital phantom</t>
        </is>
      </c>
      <c r="B101" t="inlineStr">
        <is>
          <t>Co-occurrence matrix (2D, averaged)</t>
        </is>
      </c>
      <c r="C101" t="inlineStr">
        <is>
          <t>Cluster tendency</t>
        </is>
      </c>
      <c r="E101" t="inlineStr">
        <is>
          <t>6-9</t>
        </is>
      </c>
      <c r="F101" t="n">
        <v>5.47</v>
      </c>
      <c r="G101" t="n">
        <v>0</v>
      </c>
      <c r="H101" s="4" t="n"/>
      <c r="I101" s="4">
        <f>IFERROR(IF(NOT(H101=""),ABS(ROUNDDOWN(F101-H101, 3 - (1+INT(LOG10(ABS(F101)))))),""),IF(AND(F101=0,NOT(F101="")),ABS(ROUNDDOWN(F101-H101,0)),""))</f>
        <v/>
      </c>
      <c r="J101" s="4">
        <f>IF(NOT(I101=""),IF(I101&lt;=G101,"match",IF(I101&lt;3*G101,"partial match","no match")),"")</f>
        <v/>
      </c>
      <c r="K101" t="inlineStr">
        <is>
          <t>cm_clust_tend_2D_avg</t>
        </is>
      </c>
    </row>
    <row r="102" ht="15" customHeight="1" s="10">
      <c r="A102" t="inlineStr">
        <is>
          <t>digital phantom</t>
        </is>
      </c>
      <c r="B102" t="inlineStr">
        <is>
          <t>Co-occurrence matrix (2D, averaged)</t>
        </is>
      </c>
      <c r="C102" t="inlineStr">
        <is>
          <t>Cluster shade</t>
        </is>
      </c>
      <c r="E102" t="inlineStr">
        <is>
          <t>6-9</t>
        </is>
      </c>
      <c r="F102" t="n">
        <v>7</v>
      </c>
      <c r="G102" t="n">
        <v>0</v>
      </c>
      <c r="H102" s="4" t="n"/>
      <c r="I102" s="4">
        <f>IFERROR(IF(NOT(H102=""),ABS(ROUNDDOWN(F102-H102, 3 - (1+INT(LOG10(ABS(F102)))))),""),IF(AND(F102=0,NOT(F102="")),ABS(ROUNDDOWN(F102-H102,0)),""))</f>
        <v/>
      </c>
      <c r="J102" s="4">
        <f>IF(NOT(I102=""),IF(I102&lt;=G102,"match",IF(I102&lt;3*G102,"partial match","no match")),"")</f>
        <v/>
      </c>
      <c r="K102" t="inlineStr">
        <is>
          <t>cm_clust_shade_2D_avg</t>
        </is>
      </c>
    </row>
    <row r="103" ht="15" customHeight="1" s="10">
      <c r="A103" t="inlineStr">
        <is>
          <t>digital phantom</t>
        </is>
      </c>
      <c r="B103" t="inlineStr">
        <is>
          <t>Co-occurrence matrix (2D, averaged)</t>
        </is>
      </c>
      <c r="C103" t="inlineStr">
        <is>
          <t>Cluster prominence</t>
        </is>
      </c>
      <c r="E103" t="inlineStr">
        <is>
          <t>6-9</t>
        </is>
      </c>
      <c r="F103" t="n">
        <v>79.09999999999999</v>
      </c>
      <c r="G103" t="n">
        <v>0</v>
      </c>
      <c r="H103" s="4" t="n"/>
      <c r="I103" s="4">
        <f>IFERROR(IF(NOT(H103=""),ABS(ROUNDDOWN(F103-H103, 3 - (1+INT(LOG10(ABS(F103)))))),""),IF(AND(F103=0,NOT(F103="")),ABS(ROUNDDOWN(F103-H103,0)),""))</f>
        <v/>
      </c>
      <c r="J103" s="4">
        <f>IF(NOT(I103=""),IF(I103&lt;=G103,"match",IF(I103&lt;3*G103,"partial match","no match")),"")</f>
        <v/>
      </c>
      <c r="K103" t="inlineStr">
        <is>
          <t>cm_clust_prom_2D_avg</t>
        </is>
      </c>
    </row>
    <row r="104" ht="15" customHeight="1" s="10">
      <c r="A104" t="inlineStr">
        <is>
          <t>digital phantom</t>
        </is>
      </c>
      <c r="B104" t="inlineStr">
        <is>
          <t>Co-occurrence matrix (2D, averaged)</t>
        </is>
      </c>
      <c r="C104" t="inlineStr">
        <is>
          <t>Information correlation 1</t>
        </is>
      </c>
      <c r="E104" t="inlineStr">
        <is>
          <t>6-9</t>
        </is>
      </c>
      <c r="F104" t="n">
        <v>-0.155</v>
      </c>
      <c r="G104" t="n">
        <v>0</v>
      </c>
      <c r="H104" s="4" t="n"/>
      <c r="I104" s="4">
        <f>IFERROR(IF(NOT(H104=""),ABS(ROUNDDOWN(F104-H104, 3 - (1+INT(LOG10(ABS(F104)))))),""),IF(AND(F104=0,NOT(F104="")),ABS(ROUNDDOWN(F104-H104,0)),""))</f>
        <v/>
      </c>
      <c r="J104" s="4">
        <f>IF(NOT(I104=""),IF(I104&lt;=G104,"match",IF(I104&lt;3*G104,"partial match","no match")),"")</f>
        <v/>
      </c>
      <c r="K104" t="inlineStr">
        <is>
          <t>cm_info_corr1_2D_avg</t>
        </is>
      </c>
    </row>
    <row r="105" ht="15" customHeight="1" s="10">
      <c r="A105" t="inlineStr">
        <is>
          <t>digital phantom</t>
        </is>
      </c>
      <c r="B105" t="inlineStr">
        <is>
          <t>Co-occurrence matrix (2D, averaged)</t>
        </is>
      </c>
      <c r="C105" t="inlineStr">
        <is>
          <t>Information correlation 2</t>
        </is>
      </c>
      <c r="E105" t="inlineStr">
        <is>
          <t>6-9</t>
        </is>
      </c>
      <c r="F105" t="n">
        <v>0.487</v>
      </c>
      <c r="G105" t="n">
        <v>0</v>
      </c>
      <c r="H105" s="4" t="n"/>
      <c r="I105" s="4">
        <f>IFERROR(IF(NOT(H105=""),ABS(ROUNDDOWN(F105-H105, 3 - (1+INT(LOG10(ABS(F105)))))),""),IF(AND(F105=0,NOT(F105="")),ABS(ROUNDDOWN(F105-H105,0)),""))</f>
        <v/>
      </c>
      <c r="J105" s="4">
        <f>IF(NOT(I105=""),IF(I105&lt;=G105,"match",IF(I105&lt;3*G105,"partial match","no match")),"")</f>
        <v/>
      </c>
      <c r="K105" t="inlineStr">
        <is>
          <t>cm_info_corr2_2D_avg</t>
        </is>
      </c>
    </row>
    <row r="106" ht="15" customHeight="1" s="10">
      <c r="A106" t="inlineStr">
        <is>
          <t>digital phantom</t>
        </is>
      </c>
      <c r="B106" t="inlineStr">
        <is>
          <t>Co-occurrence matrix (2D, slice-merged)</t>
        </is>
      </c>
      <c r="C106" t="inlineStr">
        <is>
          <t>Joint maximum</t>
        </is>
      </c>
      <c r="E106" t="inlineStr">
        <is>
          <t>6-9</t>
        </is>
      </c>
      <c r="F106" t="n">
        <v>0.512</v>
      </c>
      <c r="G106" t="n">
        <v>0</v>
      </c>
      <c r="H106" s="4" t="n"/>
      <c r="I106" s="4">
        <f>IFERROR(IF(NOT(H106=""),ABS(ROUNDDOWN(F106-H106, 3 - (1+INT(LOG10(ABS(F106)))))),""),IF(AND(F106=0,NOT(F106="")),ABS(ROUNDDOWN(F106-H106,0)),""))</f>
        <v/>
      </c>
      <c r="J106" s="4">
        <f>IF(NOT(I106=""),IF(I106&lt;=G106,"match",IF(I106&lt;3*G106,"partial match","no match")),"")</f>
        <v/>
      </c>
      <c r="K106" t="inlineStr">
        <is>
          <t>cm_joint_max_2D_comb</t>
        </is>
      </c>
    </row>
    <row r="107" ht="15" customHeight="1" s="10">
      <c r="A107" t="inlineStr">
        <is>
          <t>digital phantom</t>
        </is>
      </c>
      <c r="B107" t="inlineStr">
        <is>
          <t>Co-occurrence matrix (2D, slice-merged)</t>
        </is>
      </c>
      <c r="C107" t="inlineStr">
        <is>
          <t>Joint average</t>
        </is>
      </c>
      <c r="E107" t="inlineStr">
        <is>
          <t>6-9</t>
        </is>
      </c>
      <c r="F107" t="n">
        <v>2.14</v>
      </c>
      <c r="G107" t="n">
        <v>0</v>
      </c>
      <c r="H107" s="4" t="n"/>
      <c r="I107" s="4">
        <f>IFERROR(IF(NOT(H107=""),ABS(ROUNDDOWN(F107-H107, 3 - (1+INT(LOG10(ABS(F107)))))),""),IF(AND(F107=0,NOT(F107="")),ABS(ROUNDDOWN(F107-H107,0)),""))</f>
        <v/>
      </c>
      <c r="J107" s="4">
        <f>IF(NOT(I107=""),IF(I107&lt;=G107,"match",IF(I107&lt;3*G107,"partial match","no match")),"")</f>
        <v/>
      </c>
      <c r="K107" t="inlineStr">
        <is>
          <t>cm_joint_avg_2D_comb</t>
        </is>
      </c>
    </row>
    <row r="108" ht="15" customHeight="1" s="10">
      <c r="A108" t="inlineStr">
        <is>
          <t>digital phantom</t>
        </is>
      </c>
      <c r="B108" t="inlineStr">
        <is>
          <t>Co-occurrence matrix (2D, slice-merged)</t>
        </is>
      </c>
      <c r="C108" t="inlineStr">
        <is>
          <t>Joint variance</t>
        </is>
      </c>
      <c r="E108" t="inlineStr">
        <is>
          <t>6-9</t>
        </is>
      </c>
      <c r="F108" t="n">
        <v>2.71</v>
      </c>
      <c r="G108" t="n">
        <v>0</v>
      </c>
      <c r="H108" s="4" t="n"/>
      <c r="I108" s="4">
        <f>IFERROR(IF(NOT(H108=""),ABS(ROUNDDOWN(F108-H108, 3 - (1+INT(LOG10(ABS(F108)))))),""),IF(AND(F108=0,NOT(F108="")),ABS(ROUNDDOWN(F108-H108,0)),""))</f>
        <v/>
      </c>
      <c r="J108" s="4">
        <f>IF(NOT(I108=""),IF(I108&lt;=G108,"match",IF(I108&lt;3*G108,"partial match","no match")),"")</f>
        <v/>
      </c>
      <c r="K108" t="inlineStr">
        <is>
          <t>cm_joint_var_2D_comb</t>
        </is>
      </c>
    </row>
    <row r="109" ht="15" customHeight="1" s="10">
      <c r="A109" t="inlineStr">
        <is>
          <t>digital phantom</t>
        </is>
      </c>
      <c r="B109" t="inlineStr">
        <is>
          <t>Co-occurrence matrix (2D, slice-merged)</t>
        </is>
      </c>
      <c r="C109" t="inlineStr">
        <is>
          <t>Joint entropy</t>
        </is>
      </c>
      <c r="E109" t="inlineStr">
        <is>
          <t>6-9</t>
        </is>
      </c>
      <c r="F109" t="n">
        <v>2.24</v>
      </c>
      <c r="G109" t="n">
        <v>0</v>
      </c>
      <c r="H109" s="4" t="n"/>
      <c r="I109" s="4">
        <f>IFERROR(IF(NOT(H109=""),ABS(ROUNDDOWN(F109-H109, 3 - (1+INT(LOG10(ABS(F109)))))),""),IF(AND(F109=0,NOT(F109="")),ABS(ROUNDDOWN(F109-H109,0)),""))</f>
        <v/>
      </c>
      <c r="J109" s="4">
        <f>IF(NOT(I109=""),IF(I109&lt;=G109,"match",IF(I109&lt;3*G109,"partial match","no match")),"")</f>
        <v/>
      </c>
      <c r="K109" t="inlineStr">
        <is>
          <t>cm_joint_entr_2D_comb</t>
        </is>
      </c>
    </row>
    <row r="110" ht="15" customHeight="1" s="10">
      <c r="A110" t="inlineStr">
        <is>
          <t>digital phantom</t>
        </is>
      </c>
      <c r="B110" t="inlineStr">
        <is>
          <t>Co-occurrence matrix (2D, slice-merged)</t>
        </is>
      </c>
      <c r="C110" t="inlineStr">
        <is>
          <t>Difference average</t>
        </is>
      </c>
      <c r="E110" t="inlineStr">
        <is>
          <t>6-9</t>
        </is>
      </c>
      <c r="F110" t="n">
        <v>1.4</v>
      </c>
      <c r="G110" t="n">
        <v>0</v>
      </c>
      <c r="H110" s="4" t="n"/>
      <c r="I110" s="4">
        <f>IFERROR(IF(NOT(H110=""),ABS(ROUNDDOWN(F110-H110, 3 - (1+INT(LOG10(ABS(F110)))))),""),IF(AND(F110=0,NOT(F110="")),ABS(ROUNDDOWN(F110-H110,0)),""))</f>
        <v/>
      </c>
      <c r="J110" s="4">
        <f>IF(NOT(I110=""),IF(I110&lt;=G110,"match",IF(I110&lt;3*G110,"partial match","no match")),"")</f>
        <v/>
      </c>
      <c r="K110" t="inlineStr">
        <is>
          <t>cm_diff_avg_2D_comb</t>
        </is>
      </c>
    </row>
    <row r="111" ht="15" customHeight="1" s="10">
      <c r="A111" t="inlineStr">
        <is>
          <t>digital phantom</t>
        </is>
      </c>
      <c r="B111" t="inlineStr">
        <is>
          <t>Co-occurrence matrix (2D, slice-merged)</t>
        </is>
      </c>
      <c r="C111" t="inlineStr">
        <is>
          <t>Difference variance</t>
        </is>
      </c>
      <c r="E111" t="inlineStr">
        <is>
          <t>6-9</t>
        </is>
      </c>
      <c r="F111" t="n">
        <v>3.06</v>
      </c>
      <c r="G111" t="n">
        <v>0</v>
      </c>
      <c r="H111" s="4" t="n"/>
      <c r="I111" s="4">
        <f>IFERROR(IF(NOT(H111=""),ABS(ROUNDDOWN(F111-H111, 3 - (1+INT(LOG10(ABS(F111)))))),""),IF(AND(F111=0,NOT(F111="")),ABS(ROUNDDOWN(F111-H111,0)),""))</f>
        <v/>
      </c>
      <c r="J111" s="4">
        <f>IF(NOT(I111=""),IF(I111&lt;=G111,"match",IF(I111&lt;3*G111,"partial match","no match")),"")</f>
        <v/>
      </c>
      <c r="K111" t="inlineStr">
        <is>
          <t>cm_diff_var_2D_comb</t>
        </is>
      </c>
    </row>
    <row r="112" ht="15" customHeight="1" s="10">
      <c r="A112" t="inlineStr">
        <is>
          <t>digital phantom</t>
        </is>
      </c>
      <c r="B112" t="inlineStr">
        <is>
          <t>Co-occurrence matrix (2D, slice-merged)</t>
        </is>
      </c>
      <c r="C112" t="inlineStr">
        <is>
          <t>Difference entropy</t>
        </is>
      </c>
      <c r="E112" t="inlineStr">
        <is>
          <t>6-9</t>
        </is>
      </c>
      <c r="F112" t="n">
        <v>1.49</v>
      </c>
      <c r="G112" t="n">
        <v>0</v>
      </c>
      <c r="H112" s="4" t="n"/>
      <c r="I112" s="4">
        <f>IFERROR(IF(NOT(H112=""),ABS(ROUNDDOWN(F112-H112, 3 - (1+INT(LOG10(ABS(F112)))))),""),IF(AND(F112=0,NOT(F112="")),ABS(ROUNDDOWN(F112-H112,0)),""))</f>
        <v/>
      </c>
      <c r="J112" s="4">
        <f>IF(NOT(I112=""),IF(I112&lt;=G112,"match",IF(I112&lt;3*G112,"partial match","no match")),"")</f>
        <v/>
      </c>
      <c r="K112" t="inlineStr">
        <is>
          <t>cm_diff_entr_2D_comb</t>
        </is>
      </c>
    </row>
    <row r="113" ht="15" customHeight="1" s="10">
      <c r="A113" t="inlineStr">
        <is>
          <t>digital phantom</t>
        </is>
      </c>
      <c r="B113" t="inlineStr">
        <is>
          <t>Co-occurrence matrix (2D, slice-merged)</t>
        </is>
      </c>
      <c r="C113" t="inlineStr">
        <is>
          <t>Sum average</t>
        </is>
      </c>
      <c r="E113" t="inlineStr">
        <is>
          <t>6-9</t>
        </is>
      </c>
      <c r="F113" t="n">
        <v>4.29</v>
      </c>
      <c r="G113" t="n">
        <v>0</v>
      </c>
      <c r="H113" s="4" t="n"/>
      <c r="I113" s="4">
        <f>IFERROR(IF(NOT(H113=""),ABS(ROUNDDOWN(F113-H113, 3 - (1+INT(LOG10(ABS(F113)))))),""),IF(AND(F113=0,NOT(F113="")),ABS(ROUNDDOWN(F113-H113,0)),""))</f>
        <v/>
      </c>
      <c r="J113" s="4">
        <f>IF(NOT(I113=""),IF(I113&lt;=G113,"match",IF(I113&lt;3*G113,"partial match","no match")),"")</f>
        <v/>
      </c>
      <c r="K113" t="inlineStr">
        <is>
          <t>cm_sum_avg_2D_comb</t>
        </is>
      </c>
    </row>
    <row r="114" ht="15" customHeight="1" s="10">
      <c r="A114" t="inlineStr">
        <is>
          <t>digital phantom</t>
        </is>
      </c>
      <c r="B114" t="inlineStr">
        <is>
          <t>Co-occurrence matrix (2D, slice-merged)</t>
        </is>
      </c>
      <c r="C114" t="inlineStr">
        <is>
          <t>Sum variance</t>
        </is>
      </c>
      <c r="E114" t="inlineStr">
        <is>
          <t>6-9</t>
        </is>
      </c>
      <c r="F114" t="n">
        <v>5.66</v>
      </c>
      <c r="G114" t="n">
        <v>0</v>
      </c>
      <c r="H114" s="4" t="n"/>
      <c r="I114" s="4">
        <f>IFERROR(IF(NOT(H114=""),ABS(ROUNDDOWN(F114-H114, 3 - (1+INT(LOG10(ABS(F114)))))),""),IF(AND(F114=0,NOT(F114="")),ABS(ROUNDDOWN(F114-H114,0)),""))</f>
        <v/>
      </c>
      <c r="J114" s="4">
        <f>IF(NOT(I114=""),IF(I114&lt;=G114,"match",IF(I114&lt;3*G114,"partial match","no match")),"")</f>
        <v/>
      </c>
      <c r="K114" t="inlineStr">
        <is>
          <t>cm_sum_var_2D_comb</t>
        </is>
      </c>
    </row>
    <row r="115" ht="15" customHeight="1" s="10">
      <c r="A115" t="inlineStr">
        <is>
          <t>digital phantom</t>
        </is>
      </c>
      <c r="B115" t="inlineStr">
        <is>
          <t>Co-occurrence matrix (2D, slice-merged)</t>
        </is>
      </c>
      <c r="C115" t="inlineStr">
        <is>
          <t>Sum entropy</t>
        </is>
      </c>
      <c r="E115" t="inlineStr">
        <is>
          <t>6-9</t>
        </is>
      </c>
      <c r="F115" t="n">
        <v>1.79</v>
      </c>
      <c r="G115" t="n">
        <v>0</v>
      </c>
      <c r="H115" s="4" t="n"/>
      <c r="I115" s="4">
        <f>IFERROR(IF(NOT(H115=""),ABS(ROUNDDOWN(F115-H115, 3 - (1+INT(LOG10(ABS(F115)))))),""),IF(AND(F115=0,NOT(F115="")),ABS(ROUNDDOWN(F115-H115,0)),""))</f>
        <v/>
      </c>
      <c r="J115" s="4">
        <f>IF(NOT(I115=""),IF(I115&lt;=G115,"match",IF(I115&lt;3*G115,"partial match","no match")),"")</f>
        <v/>
      </c>
      <c r="K115" t="inlineStr">
        <is>
          <t>cm_sum_entr_2D_comb</t>
        </is>
      </c>
    </row>
    <row r="116" ht="15" customHeight="1" s="10">
      <c r="A116" t="inlineStr">
        <is>
          <t>digital phantom</t>
        </is>
      </c>
      <c r="B116" t="inlineStr">
        <is>
          <t>Co-occurrence matrix (2D, slice-merged)</t>
        </is>
      </c>
      <c r="C116" t="inlineStr">
        <is>
          <t>Angular second moment</t>
        </is>
      </c>
      <c r="E116" t="inlineStr">
        <is>
          <t>6-9</t>
        </is>
      </c>
      <c r="F116" t="n">
        <v>0.352</v>
      </c>
      <c r="G116" t="n">
        <v>0</v>
      </c>
      <c r="H116" s="4" t="n"/>
      <c r="I116" s="4">
        <f>IFERROR(IF(NOT(H116=""),ABS(ROUNDDOWN(F116-H116, 3 - (1+INT(LOG10(ABS(F116)))))),""),IF(AND(F116=0,NOT(F116="")),ABS(ROUNDDOWN(F116-H116,0)),""))</f>
        <v/>
      </c>
      <c r="J116" s="4">
        <f>IF(NOT(I116=""),IF(I116&lt;=G116,"match",IF(I116&lt;3*G116,"partial match","no match")),"")</f>
        <v/>
      </c>
      <c r="K116" t="inlineStr">
        <is>
          <t>cm_energy_2D_comb</t>
        </is>
      </c>
    </row>
    <row r="117" ht="15" customHeight="1" s="10">
      <c r="A117" t="inlineStr">
        <is>
          <t>digital phantom</t>
        </is>
      </c>
      <c r="B117" t="inlineStr">
        <is>
          <t>Co-occurrence matrix (2D, slice-merged)</t>
        </is>
      </c>
      <c r="C117" t="inlineStr">
        <is>
          <t>Contrast</t>
        </is>
      </c>
      <c r="E117" t="inlineStr">
        <is>
          <t>6-9</t>
        </is>
      </c>
      <c r="F117" t="n">
        <v>5.19</v>
      </c>
      <c r="G117" t="n">
        <v>0</v>
      </c>
      <c r="H117" s="4" t="n"/>
      <c r="I117" s="4">
        <f>IFERROR(IF(NOT(H117=""),ABS(ROUNDDOWN(F117-H117, 3 - (1+INT(LOG10(ABS(F117)))))),""),IF(AND(F117=0,NOT(F117="")),ABS(ROUNDDOWN(F117-H117,0)),""))</f>
        <v/>
      </c>
      <c r="J117" s="4">
        <f>IF(NOT(I117=""),IF(I117&lt;=G117,"match",IF(I117&lt;3*G117,"partial match","no match")),"")</f>
        <v/>
      </c>
      <c r="K117" t="inlineStr">
        <is>
          <t>cm_contrast_2D_comb</t>
        </is>
      </c>
    </row>
    <row r="118" ht="15" customHeight="1" s="10">
      <c r="A118" t="inlineStr">
        <is>
          <t>digital phantom</t>
        </is>
      </c>
      <c r="B118" t="inlineStr">
        <is>
          <t>Co-occurrence matrix (2D, slice-merged)</t>
        </is>
      </c>
      <c r="C118" t="inlineStr">
        <is>
          <t>Dissimilarity</t>
        </is>
      </c>
      <c r="E118" t="inlineStr">
        <is>
          <t>6-9</t>
        </is>
      </c>
      <c r="F118" t="n">
        <v>1.4</v>
      </c>
      <c r="G118" t="n">
        <v>0</v>
      </c>
      <c r="H118" s="4" t="n"/>
      <c r="I118" s="4">
        <f>IFERROR(IF(NOT(H118=""),ABS(ROUNDDOWN(F118-H118, 3 - (1+INT(LOG10(ABS(F118)))))),""),IF(AND(F118=0,NOT(F118="")),ABS(ROUNDDOWN(F118-H118,0)),""))</f>
        <v/>
      </c>
      <c r="J118" s="4">
        <f>IF(NOT(I118=""),IF(I118&lt;=G118,"match",IF(I118&lt;3*G118,"partial match","no match")),"")</f>
        <v/>
      </c>
      <c r="K118" t="inlineStr">
        <is>
          <t>cm_dissimilarity_2D_comb</t>
        </is>
      </c>
    </row>
    <row r="119" ht="15" customHeight="1" s="10">
      <c r="A119" t="inlineStr">
        <is>
          <t>digital phantom</t>
        </is>
      </c>
      <c r="B119" t="inlineStr">
        <is>
          <t>Co-occurrence matrix (2D, slice-merged)</t>
        </is>
      </c>
      <c r="C119" t="inlineStr">
        <is>
          <t>Inverse difference</t>
        </is>
      </c>
      <c r="E119" t="inlineStr">
        <is>
          <t>6-9</t>
        </is>
      </c>
      <c r="F119" t="n">
        <v>0.6830000000000001</v>
      </c>
      <c r="G119" t="n">
        <v>0</v>
      </c>
      <c r="H119" s="4" t="n"/>
      <c r="I119" s="4">
        <f>IFERROR(IF(NOT(H119=""),ABS(ROUNDDOWN(F119-H119, 3 - (1+INT(LOG10(ABS(F119)))))),""),IF(AND(F119=0,NOT(F119="")),ABS(ROUNDDOWN(F119-H119,0)),""))</f>
        <v/>
      </c>
      <c r="J119" s="4">
        <f>IF(NOT(I119=""),IF(I119&lt;=G119,"match",IF(I119&lt;3*G119,"partial match","no match")),"")</f>
        <v/>
      </c>
      <c r="K119" t="inlineStr">
        <is>
          <t>cm_inv_diff_2D_comb</t>
        </is>
      </c>
    </row>
    <row r="120" ht="15" customHeight="1" s="10">
      <c r="A120" t="inlineStr">
        <is>
          <t>digital phantom</t>
        </is>
      </c>
      <c r="B120" t="inlineStr">
        <is>
          <t>Co-occurrence matrix (2D, slice-merged)</t>
        </is>
      </c>
      <c r="C120" t="inlineStr">
        <is>
          <t>Inverse difference normalised</t>
        </is>
      </c>
      <c r="E120" t="inlineStr">
        <is>
          <t>6-9</t>
        </is>
      </c>
      <c r="F120" t="n">
        <v>0.854</v>
      </c>
      <c r="G120" t="n">
        <v>0</v>
      </c>
      <c r="H120" s="4" t="n"/>
      <c r="I120" s="4">
        <f>IFERROR(IF(NOT(H120=""),ABS(ROUNDDOWN(F120-H120, 3 - (1+INT(LOG10(ABS(F120)))))),""),IF(AND(F120=0,NOT(F120="")),ABS(ROUNDDOWN(F120-H120,0)),""))</f>
        <v/>
      </c>
      <c r="J120" s="4">
        <f>IF(NOT(I120=""),IF(I120&lt;=G120,"match",IF(I120&lt;3*G120,"partial match","no match")),"")</f>
        <v/>
      </c>
      <c r="K120" t="inlineStr">
        <is>
          <t>cm_inv_diff_norm_2D_comb</t>
        </is>
      </c>
    </row>
    <row r="121" ht="15" customHeight="1" s="10">
      <c r="A121" t="inlineStr">
        <is>
          <t>digital phantom</t>
        </is>
      </c>
      <c r="B121" t="inlineStr">
        <is>
          <t>Co-occurrence matrix (2D, slice-merged)</t>
        </is>
      </c>
      <c r="C121" t="inlineStr">
        <is>
          <t>Inverse difference moment</t>
        </is>
      </c>
      <c r="E121" t="inlineStr">
        <is>
          <t>6-9</t>
        </is>
      </c>
      <c r="F121" t="n">
        <v>0.625</v>
      </c>
      <c r="G121" t="n">
        <v>0</v>
      </c>
      <c r="H121" s="4" t="n"/>
      <c r="I121" s="4">
        <f>IFERROR(IF(NOT(H121=""),ABS(ROUNDDOWN(F121-H121, 3 - (1+INT(LOG10(ABS(F121)))))),""),IF(AND(F121=0,NOT(F121="")),ABS(ROUNDDOWN(F121-H121,0)),""))</f>
        <v/>
      </c>
      <c r="J121" s="4">
        <f>IF(NOT(I121=""),IF(I121&lt;=G121,"match",IF(I121&lt;3*G121,"partial match","no match")),"")</f>
        <v/>
      </c>
      <c r="K121" t="inlineStr">
        <is>
          <t>cm_inv_diff_mom_2D_comb</t>
        </is>
      </c>
    </row>
    <row r="122" ht="15" customHeight="1" s="10">
      <c r="A122" t="inlineStr">
        <is>
          <t>digital phantom</t>
        </is>
      </c>
      <c r="B122" t="inlineStr">
        <is>
          <t>Co-occurrence matrix (2D, slice-merged)</t>
        </is>
      </c>
      <c r="C122" t="inlineStr">
        <is>
          <t>Inverse difference moment normalised</t>
        </is>
      </c>
      <c r="E122" t="inlineStr">
        <is>
          <t>6-9</t>
        </is>
      </c>
      <c r="F122" t="n">
        <v>0.901</v>
      </c>
      <c r="G122" t="n">
        <v>0</v>
      </c>
      <c r="H122" s="4" t="n"/>
      <c r="I122" s="4">
        <f>IFERROR(IF(NOT(H122=""),ABS(ROUNDDOWN(F122-H122, 3 - (1+INT(LOG10(ABS(F122)))))),""),IF(AND(F122=0,NOT(F122="")),ABS(ROUNDDOWN(F122-H122,0)),""))</f>
        <v/>
      </c>
      <c r="J122" s="4">
        <f>IF(NOT(I122=""),IF(I122&lt;=G122,"match",IF(I122&lt;3*G122,"partial match","no match")),"")</f>
        <v/>
      </c>
      <c r="K122" t="inlineStr">
        <is>
          <t>cm_inv_diff_mom_norm_2D_comb</t>
        </is>
      </c>
    </row>
    <row r="123" ht="15" customHeight="1" s="10">
      <c r="A123" t="inlineStr">
        <is>
          <t>digital phantom</t>
        </is>
      </c>
      <c r="B123" t="inlineStr">
        <is>
          <t>Co-occurrence matrix (2D, slice-merged)</t>
        </is>
      </c>
      <c r="C123" t="inlineStr">
        <is>
          <t>Inverse variance</t>
        </is>
      </c>
      <c r="E123" t="inlineStr">
        <is>
          <t>6-9</t>
        </is>
      </c>
      <c r="F123" t="n">
        <v>0.0553</v>
      </c>
      <c r="G123" t="n">
        <v>0</v>
      </c>
      <c r="H123" s="4" t="n"/>
      <c r="I123" s="4">
        <f>IFERROR(IF(NOT(H123=""),ABS(ROUNDDOWN(F123-H123, 3 - (1+INT(LOG10(ABS(F123)))))),""),IF(AND(F123=0,NOT(F123="")),ABS(ROUNDDOWN(F123-H123,0)),""))</f>
        <v/>
      </c>
      <c r="J123" s="4">
        <f>IF(NOT(I123=""),IF(I123&lt;=G123,"match",IF(I123&lt;3*G123,"partial match","no match")),"")</f>
        <v/>
      </c>
      <c r="K123" t="inlineStr">
        <is>
          <t>cm_inv_var_2D_comb</t>
        </is>
      </c>
    </row>
    <row r="124" ht="15" customHeight="1" s="10">
      <c r="A124" t="inlineStr">
        <is>
          <t>digital phantom</t>
        </is>
      </c>
      <c r="B124" t="inlineStr">
        <is>
          <t>Co-occurrence matrix (2D, slice-merged)</t>
        </is>
      </c>
      <c r="C124" t="inlineStr">
        <is>
          <t>Correlation</t>
        </is>
      </c>
      <c r="E124" t="inlineStr">
        <is>
          <t>6-9</t>
        </is>
      </c>
      <c r="F124" t="n">
        <v>0.0173</v>
      </c>
      <c r="G124" t="n">
        <v>0</v>
      </c>
      <c r="H124" s="4" t="n"/>
      <c r="I124" s="4">
        <f>IFERROR(IF(NOT(H124=""),ABS(ROUNDDOWN(F124-H124, 3 - (1+INT(LOG10(ABS(F124)))))),""),IF(AND(F124=0,NOT(F124="")),ABS(ROUNDDOWN(F124-H124,0)),""))</f>
        <v/>
      </c>
      <c r="J124" s="4">
        <f>IF(NOT(I124=""),IF(I124&lt;=G124,"match",IF(I124&lt;3*G124,"partial match","no match")),"")</f>
        <v/>
      </c>
      <c r="K124" t="inlineStr">
        <is>
          <t>cm_corr_2D_comb</t>
        </is>
      </c>
    </row>
    <row r="125" ht="15" customHeight="1" s="10">
      <c r="A125" t="inlineStr">
        <is>
          <t>digital phantom</t>
        </is>
      </c>
      <c r="B125" t="inlineStr">
        <is>
          <t>Co-occurrence matrix (2D, slice-merged)</t>
        </is>
      </c>
      <c r="C125" t="inlineStr">
        <is>
          <t>Autocorrelation</t>
        </is>
      </c>
      <c r="E125" t="inlineStr">
        <is>
          <t>6-9</t>
        </is>
      </c>
      <c r="F125" t="n">
        <v>5.14</v>
      </c>
      <c r="G125" t="n">
        <v>0</v>
      </c>
      <c r="H125" s="4" t="n"/>
      <c r="I125" s="4">
        <f>IFERROR(IF(NOT(H125=""),ABS(ROUNDDOWN(F125-H125, 3 - (1+INT(LOG10(ABS(F125)))))),""),IF(AND(F125=0,NOT(F125="")),ABS(ROUNDDOWN(F125-H125,0)),""))</f>
        <v/>
      </c>
      <c r="J125" s="4">
        <f>IF(NOT(I125=""),IF(I125&lt;=G125,"match",IF(I125&lt;3*G125,"partial match","no match")),"")</f>
        <v/>
      </c>
      <c r="K125" t="inlineStr">
        <is>
          <t>cm_auto_corr_2D_comb</t>
        </is>
      </c>
    </row>
    <row r="126" ht="15" customHeight="1" s="10">
      <c r="A126" t="inlineStr">
        <is>
          <t>digital phantom</t>
        </is>
      </c>
      <c r="B126" t="inlineStr">
        <is>
          <t>Co-occurrence matrix (2D, slice-merged)</t>
        </is>
      </c>
      <c r="C126" t="inlineStr">
        <is>
          <t>Cluster tendency</t>
        </is>
      </c>
      <c r="E126" t="inlineStr">
        <is>
          <t>6-9</t>
        </is>
      </c>
      <c r="F126" t="n">
        <v>5.66</v>
      </c>
      <c r="G126" t="n">
        <v>0</v>
      </c>
      <c r="H126" s="4" t="n"/>
      <c r="I126" s="4">
        <f>IFERROR(IF(NOT(H126=""),ABS(ROUNDDOWN(F126-H126, 3 - (1+INT(LOG10(ABS(F126)))))),""),IF(AND(F126=0,NOT(F126="")),ABS(ROUNDDOWN(F126-H126,0)),""))</f>
        <v/>
      </c>
      <c r="J126" s="4">
        <f>IF(NOT(I126=""),IF(I126&lt;=G126,"match",IF(I126&lt;3*G126,"partial match","no match")),"")</f>
        <v/>
      </c>
      <c r="K126" t="inlineStr">
        <is>
          <t>cm_clust_tend_2D_comb</t>
        </is>
      </c>
    </row>
    <row r="127" ht="15" customHeight="1" s="10">
      <c r="A127" t="inlineStr">
        <is>
          <t>digital phantom</t>
        </is>
      </c>
      <c r="B127" t="inlineStr">
        <is>
          <t>Co-occurrence matrix (2D, slice-merged)</t>
        </is>
      </c>
      <c r="C127" t="inlineStr">
        <is>
          <t>Cluster shade</t>
        </is>
      </c>
      <c r="E127" t="inlineStr">
        <is>
          <t>6-9</t>
        </is>
      </c>
      <c r="F127" t="n">
        <v>6.98</v>
      </c>
      <c r="G127" t="n">
        <v>0</v>
      </c>
      <c r="H127" s="4" t="n"/>
      <c r="I127" s="4">
        <f>IFERROR(IF(NOT(H127=""),ABS(ROUNDDOWN(F127-H127, 3 - (1+INT(LOG10(ABS(F127)))))),""),IF(AND(F127=0,NOT(F127="")),ABS(ROUNDDOWN(F127-H127,0)),""))</f>
        <v/>
      </c>
      <c r="J127" s="4">
        <f>IF(NOT(I127=""),IF(I127&lt;=G127,"match",IF(I127&lt;3*G127,"partial match","no match")),"")</f>
        <v/>
      </c>
      <c r="K127" t="inlineStr">
        <is>
          <t>cm_clust_shade_2D_comb</t>
        </is>
      </c>
    </row>
    <row r="128" ht="15" customHeight="1" s="10">
      <c r="A128" t="inlineStr">
        <is>
          <t>digital phantom</t>
        </is>
      </c>
      <c r="B128" t="inlineStr">
        <is>
          <t>Co-occurrence matrix (2D, slice-merged)</t>
        </is>
      </c>
      <c r="C128" t="inlineStr">
        <is>
          <t>Cluster prominence</t>
        </is>
      </c>
      <c r="E128" t="inlineStr">
        <is>
          <t>6-9</t>
        </is>
      </c>
      <c r="F128" t="n">
        <v>80.40000000000001</v>
      </c>
      <c r="G128" t="n">
        <v>0</v>
      </c>
      <c r="H128" s="4" t="n"/>
      <c r="I128" s="4">
        <f>IFERROR(IF(NOT(H128=""),ABS(ROUNDDOWN(F128-H128, 3 - (1+INT(LOG10(ABS(F128)))))),""),IF(AND(F128=0,NOT(F128="")),ABS(ROUNDDOWN(F128-H128,0)),""))</f>
        <v/>
      </c>
      <c r="J128" s="4">
        <f>IF(NOT(I128=""),IF(I128&lt;=G128,"match",IF(I128&lt;3*G128,"partial match","no match")),"")</f>
        <v/>
      </c>
      <c r="K128" t="inlineStr">
        <is>
          <t>cm_clust_prom_2D_comb</t>
        </is>
      </c>
    </row>
    <row r="129" ht="15" customHeight="1" s="10">
      <c r="A129" t="inlineStr">
        <is>
          <t>digital phantom</t>
        </is>
      </c>
      <c r="B129" t="inlineStr">
        <is>
          <t>Co-occurrence matrix (2D, slice-merged)</t>
        </is>
      </c>
      <c r="C129" t="inlineStr">
        <is>
          <t>Information correlation 1</t>
        </is>
      </c>
      <c r="E129" t="inlineStr">
        <is>
          <t>6-9</t>
        </is>
      </c>
      <c r="F129" t="n">
        <v>-0.0341</v>
      </c>
      <c r="G129" t="n">
        <v>0</v>
      </c>
      <c r="H129" s="4" t="n"/>
      <c r="I129" s="4">
        <f>IFERROR(IF(NOT(H129=""),ABS(ROUNDDOWN(F129-H129, 3 - (1+INT(LOG10(ABS(F129)))))),""),IF(AND(F129=0,NOT(F129="")),ABS(ROUNDDOWN(F129-H129,0)),""))</f>
        <v/>
      </c>
      <c r="J129" s="4">
        <f>IF(NOT(I129=""),IF(I129&lt;=G129,"match",IF(I129&lt;3*G129,"partial match","no match")),"")</f>
        <v/>
      </c>
      <c r="K129" t="inlineStr">
        <is>
          <t>cm_info_corr1_2D_comb</t>
        </is>
      </c>
    </row>
    <row r="130" ht="15" customHeight="1" s="10">
      <c r="A130" t="inlineStr">
        <is>
          <t>digital phantom</t>
        </is>
      </c>
      <c r="B130" t="inlineStr">
        <is>
          <t>Co-occurrence matrix (2D, slice-merged)</t>
        </is>
      </c>
      <c r="C130" t="inlineStr">
        <is>
          <t>Information correlation 2</t>
        </is>
      </c>
      <c r="E130" t="inlineStr">
        <is>
          <t>6-9</t>
        </is>
      </c>
      <c r="F130" t="n">
        <v>0.263</v>
      </c>
      <c r="G130" t="n">
        <v>0</v>
      </c>
      <c r="H130" s="4" t="n"/>
      <c r="I130" s="4">
        <f>IFERROR(IF(NOT(H130=""),ABS(ROUNDDOWN(F130-H130, 3 - (1+INT(LOG10(ABS(F130)))))),""),IF(AND(F130=0,NOT(F130="")),ABS(ROUNDDOWN(F130-H130,0)),""))</f>
        <v/>
      </c>
      <c r="J130" s="4">
        <f>IF(NOT(I130=""),IF(I130&lt;=G130,"match",IF(I130&lt;3*G130,"partial match","no match")),"")</f>
        <v/>
      </c>
      <c r="K130" t="inlineStr">
        <is>
          <t>cm_info_corr2_2D_comb</t>
        </is>
      </c>
    </row>
    <row r="131" ht="15" customHeight="1" s="10">
      <c r="A131" t="inlineStr">
        <is>
          <t>digital phantom</t>
        </is>
      </c>
      <c r="B131" t="inlineStr">
        <is>
          <t>Co-occurrence matrix (2.5D, direction-merged)</t>
        </is>
      </c>
      <c r="C131" t="inlineStr">
        <is>
          <t>Joint maximum</t>
        </is>
      </c>
      <c r="E131" t="inlineStr">
        <is>
          <t>&lt; 3</t>
        </is>
      </c>
      <c r="H131" s="4" t="n"/>
      <c r="I131" s="4">
        <f>IFERROR(IF(NOT(H131=""),ABS(ROUNDDOWN(F131-H131, 3 - (1+INT(LOG10(ABS(F131)))))),""),IF(AND(F131=0,NOT(F131="")),ABS(ROUNDDOWN(F131-H131,0)),""))</f>
        <v/>
      </c>
      <c r="J131" s="4">
        <f>IF(NOT(I131=""),IF(I131&lt;=G131,"match",IF(I131&lt;3*G131,"partial match","no match")),"")</f>
        <v/>
      </c>
      <c r="K131" t="inlineStr">
        <is>
          <t>cm_joint_max_2_5D_avg</t>
        </is>
      </c>
    </row>
    <row r="132" ht="15" customHeight="1" s="10">
      <c r="A132" t="inlineStr">
        <is>
          <t>digital phantom</t>
        </is>
      </c>
      <c r="B132" t="inlineStr">
        <is>
          <t>Co-occurrence matrix (2.5D, direction-merged)</t>
        </is>
      </c>
      <c r="C132" t="inlineStr">
        <is>
          <t>Joint average</t>
        </is>
      </c>
      <c r="E132" t="inlineStr">
        <is>
          <t>&lt; 3</t>
        </is>
      </c>
      <c r="H132" s="4" t="n"/>
      <c r="I132" s="4">
        <f>IFERROR(IF(NOT(H132=""),ABS(ROUNDDOWN(F132-H132, 3 - (1+INT(LOG10(ABS(F132)))))),""),IF(AND(F132=0,NOT(F132="")),ABS(ROUNDDOWN(F132-H132,0)),""))</f>
        <v/>
      </c>
      <c r="J132" s="4">
        <f>IF(NOT(I132=""),IF(I132&lt;=G132,"match",IF(I132&lt;3*G132,"partial match","no match")),"")</f>
        <v/>
      </c>
      <c r="K132" t="inlineStr">
        <is>
          <t>cm_joint_avg_2_5D_avg</t>
        </is>
      </c>
    </row>
    <row r="133" ht="15" customHeight="1" s="10">
      <c r="A133" t="inlineStr">
        <is>
          <t>digital phantom</t>
        </is>
      </c>
      <c r="B133" t="inlineStr">
        <is>
          <t>Co-occurrence matrix (2.5D, direction-merged)</t>
        </is>
      </c>
      <c r="C133" t="inlineStr">
        <is>
          <t>Joint variance</t>
        </is>
      </c>
      <c r="E133" t="inlineStr">
        <is>
          <t>&lt; 3</t>
        </is>
      </c>
      <c r="H133" s="4" t="n"/>
      <c r="I133" s="4">
        <f>IFERROR(IF(NOT(H133=""),ABS(ROUNDDOWN(F133-H133, 3 - (1+INT(LOG10(ABS(F133)))))),""),IF(AND(F133=0,NOT(F133="")),ABS(ROUNDDOWN(F133-H133,0)),""))</f>
        <v/>
      </c>
      <c r="J133" s="4">
        <f>IF(NOT(I133=""),IF(I133&lt;=G133,"match",IF(I133&lt;3*G133,"partial match","no match")),"")</f>
        <v/>
      </c>
      <c r="K133" t="inlineStr">
        <is>
          <t>cm_joint_var_2_5D_avg</t>
        </is>
      </c>
    </row>
    <row r="134" ht="15" customHeight="1" s="10">
      <c r="A134" t="inlineStr">
        <is>
          <t>digital phantom</t>
        </is>
      </c>
      <c r="B134" t="inlineStr">
        <is>
          <t>Co-occurrence matrix (2.5D, direction-merged)</t>
        </is>
      </c>
      <c r="C134" t="inlineStr">
        <is>
          <t>Joint entropy</t>
        </is>
      </c>
      <c r="E134" t="inlineStr">
        <is>
          <t>&lt; 3</t>
        </is>
      </c>
      <c r="H134" s="4" t="n"/>
      <c r="I134" s="4">
        <f>IFERROR(IF(NOT(H134=""),ABS(ROUNDDOWN(F134-H134, 3 - (1+INT(LOG10(ABS(F134)))))),""),IF(AND(F134=0,NOT(F134="")),ABS(ROUNDDOWN(F134-H134,0)),""))</f>
        <v/>
      </c>
      <c r="J134" s="4">
        <f>IF(NOT(I134=""),IF(I134&lt;=G134,"match",IF(I134&lt;3*G134,"partial match","no match")),"")</f>
        <v/>
      </c>
      <c r="K134" t="inlineStr">
        <is>
          <t>cm_joint_entr_2_5D_avg</t>
        </is>
      </c>
    </row>
    <row r="135" ht="15" customHeight="1" s="10">
      <c r="A135" t="inlineStr">
        <is>
          <t>digital phantom</t>
        </is>
      </c>
      <c r="B135" t="inlineStr">
        <is>
          <t>Co-occurrence matrix (2.5D, direction-merged)</t>
        </is>
      </c>
      <c r="C135" t="inlineStr">
        <is>
          <t>Difference average</t>
        </is>
      </c>
      <c r="E135" t="inlineStr">
        <is>
          <t>&lt; 3</t>
        </is>
      </c>
      <c r="H135" s="4" t="n"/>
      <c r="I135" s="4">
        <f>IFERROR(IF(NOT(H135=""),ABS(ROUNDDOWN(F135-H135, 3 - (1+INT(LOG10(ABS(F135)))))),""),IF(AND(F135=0,NOT(F135="")),ABS(ROUNDDOWN(F135-H135,0)),""))</f>
        <v/>
      </c>
      <c r="J135" s="4">
        <f>IF(NOT(I135=""),IF(I135&lt;=G135,"match",IF(I135&lt;3*G135,"partial match","no match")),"")</f>
        <v/>
      </c>
      <c r="K135" t="inlineStr">
        <is>
          <t>cm_diff_avg_2_5D_avg</t>
        </is>
      </c>
    </row>
    <row r="136" ht="15" customHeight="1" s="10">
      <c r="A136" t="inlineStr">
        <is>
          <t>digital phantom</t>
        </is>
      </c>
      <c r="B136" t="inlineStr">
        <is>
          <t>Co-occurrence matrix (2.5D, direction-merged)</t>
        </is>
      </c>
      <c r="C136" t="inlineStr">
        <is>
          <t>Difference variance</t>
        </is>
      </c>
      <c r="E136" t="inlineStr">
        <is>
          <t>&lt; 3</t>
        </is>
      </c>
      <c r="H136" s="4" t="n"/>
      <c r="I136" s="4">
        <f>IFERROR(IF(NOT(H136=""),ABS(ROUNDDOWN(F136-H136, 3 - (1+INT(LOG10(ABS(F136)))))),""),IF(AND(F136=0,NOT(F136="")),ABS(ROUNDDOWN(F136-H136,0)),""))</f>
        <v/>
      </c>
      <c r="J136" s="4">
        <f>IF(NOT(I136=""),IF(I136&lt;=G136,"match",IF(I136&lt;3*G136,"partial match","no match")),"")</f>
        <v/>
      </c>
      <c r="K136" t="inlineStr">
        <is>
          <t>cm_diff_var_2_5D_avg</t>
        </is>
      </c>
    </row>
    <row r="137" ht="15" customHeight="1" s="10">
      <c r="A137" t="inlineStr">
        <is>
          <t>digital phantom</t>
        </is>
      </c>
      <c r="B137" t="inlineStr">
        <is>
          <t>Co-occurrence matrix (2.5D, direction-merged)</t>
        </is>
      </c>
      <c r="C137" t="inlineStr">
        <is>
          <t>Difference entropy</t>
        </is>
      </c>
      <c r="E137" t="inlineStr">
        <is>
          <t>&lt; 3</t>
        </is>
      </c>
      <c r="H137" s="4" t="n"/>
      <c r="I137" s="4">
        <f>IFERROR(IF(NOT(H137=""),ABS(ROUNDDOWN(F137-H137, 3 - (1+INT(LOG10(ABS(F137)))))),""),IF(AND(F137=0,NOT(F137="")),ABS(ROUNDDOWN(F137-H137,0)),""))</f>
        <v/>
      </c>
      <c r="J137" s="4">
        <f>IF(NOT(I137=""),IF(I137&lt;=G137,"match",IF(I137&lt;3*G137,"partial match","no match")),"")</f>
        <v/>
      </c>
      <c r="K137" t="inlineStr">
        <is>
          <t>cm_diff_entr_2_5D_avg</t>
        </is>
      </c>
    </row>
    <row r="138" ht="15" customHeight="1" s="10">
      <c r="A138" t="inlineStr">
        <is>
          <t>digital phantom</t>
        </is>
      </c>
      <c r="B138" t="inlineStr">
        <is>
          <t>Co-occurrence matrix (2.5D, direction-merged)</t>
        </is>
      </c>
      <c r="C138" t="inlineStr">
        <is>
          <t>Sum average</t>
        </is>
      </c>
      <c r="E138" t="inlineStr">
        <is>
          <t>&lt; 3</t>
        </is>
      </c>
      <c r="H138" s="4" t="n"/>
      <c r="I138" s="4">
        <f>IFERROR(IF(NOT(H138=""),ABS(ROUNDDOWN(F138-H138, 3 - (1+INT(LOG10(ABS(F138)))))),""),IF(AND(F138=0,NOT(F138="")),ABS(ROUNDDOWN(F138-H138,0)),""))</f>
        <v/>
      </c>
      <c r="J138" s="4">
        <f>IF(NOT(I138=""),IF(I138&lt;=G138,"match",IF(I138&lt;3*G138,"partial match","no match")),"")</f>
        <v/>
      </c>
      <c r="K138" t="inlineStr">
        <is>
          <t>cm_sum_avg_2_5D_avg</t>
        </is>
      </c>
    </row>
    <row r="139" ht="15" customHeight="1" s="10">
      <c r="A139" t="inlineStr">
        <is>
          <t>digital phantom</t>
        </is>
      </c>
      <c r="B139" t="inlineStr">
        <is>
          <t>Co-occurrence matrix (2.5D, direction-merged)</t>
        </is>
      </c>
      <c r="C139" t="inlineStr">
        <is>
          <t>Sum variance</t>
        </is>
      </c>
      <c r="E139" t="inlineStr">
        <is>
          <t>&lt; 3</t>
        </is>
      </c>
      <c r="H139" s="4" t="n"/>
      <c r="I139" s="4">
        <f>IFERROR(IF(NOT(H139=""),ABS(ROUNDDOWN(F139-H139, 3 - (1+INT(LOG10(ABS(F139)))))),""),IF(AND(F139=0,NOT(F139="")),ABS(ROUNDDOWN(F139-H139,0)),""))</f>
        <v/>
      </c>
      <c r="J139" s="4">
        <f>IF(NOT(I139=""),IF(I139&lt;=G139,"match",IF(I139&lt;3*G139,"partial match","no match")),"")</f>
        <v/>
      </c>
      <c r="K139" t="inlineStr">
        <is>
          <t>cm_sum_var_2_5D_avg</t>
        </is>
      </c>
    </row>
    <row r="140" ht="15" customHeight="1" s="10">
      <c r="A140" t="inlineStr">
        <is>
          <t>digital phantom</t>
        </is>
      </c>
      <c r="B140" t="inlineStr">
        <is>
          <t>Co-occurrence matrix (2.5D, direction-merged)</t>
        </is>
      </c>
      <c r="C140" t="inlineStr">
        <is>
          <t>Sum entropy</t>
        </is>
      </c>
      <c r="E140" t="inlineStr">
        <is>
          <t>&lt; 3</t>
        </is>
      </c>
      <c r="H140" s="4" t="n"/>
      <c r="I140" s="4">
        <f>IFERROR(IF(NOT(H140=""),ABS(ROUNDDOWN(F140-H140, 3 - (1+INT(LOG10(ABS(F140)))))),""),IF(AND(F140=0,NOT(F140="")),ABS(ROUNDDOWN(F140-H140,0)),""))</f>
        <v/>
      </c>
      <c r="J140" s="4">
        <f>IF(NOT(I140=""),IF(I140&lt;=G140,"match",IF(I140&lt;3*G140,"partial match","no match")),"")</f>
        <v/>
      </c>
      <c r="K140" t="inlineStr">
        <is>
          <t>cm_sum_entr_2_5D_avg</t>
        </is>
      </c>
    </row>
    <row r="141" ht="15" customHeight="1" s="10">
      <c r="A141" t="inlineStr">
        <is>
          <t>digital phantom</t>
        </is>
      </c>
      <c r="B141" t="inlineStr">
        <is>
          <t>Co-occurrence matrix (2.5D, direction-merged)</t>
        </is>
      </c>
      <c r="C141" t="inlineStr">
        <is>
          <t>Angular second moment</t>
        </is>
      </c>
      <c r="E141" t="inlineStr">
        <is>
          <t>&lt; 3</t>
        </is>
      </c>
      <c r="H141" s="4" t="n"/>
      <c r="I141" s="4">
        <f>IFERROR(IF(NOT(H141=""),ABS(ROUNDDOWN(F141-H141, 3 - (1+INT(LOG10(ABS(F141)))))),""),IF(AND(F141=0,NOT(F141="")),ABS(ROUNDDOWN(F141-H141,0)),""))</f>
        <v/>
      </c>
      <c r="J141" s="4">
        <f>IF(NOT(I141=""),IF(I141&lt;=G141,"match",IF(I141&lt;3*G141,"partial match","no match")),"")</f>
        <v/>
      </c>
      <c r="K141" t="inlineStr">
        <is>
          <t>cm_energy_2_5D_avg</t>
        </is>
      </c>
    </row>
    <row r="142" ht="15" customHeight="1" s="10">
      <c r="A142" t="inlineStr">
        <is>
          <t>digital phantom</t>
        </is>
      </c>
      <c r="B142" t="inlineStr">
        <is>
          <t>Co-occurrence matrix (2.5D, direction-merged)</t>
        </is>
      </c>
      <c r="C142" t="inlineStr">
        <is>
          <t>Contrast</t>
        </is>
      </c>
      <c r="E142" t="inlineStr">
        <is>
          <t>&lt; 3</t>
        </is>
      </c>
      <c r="H142" s="4" t="n"/>
      <c r="I142" s="4">
        <f>IFERROR(IF(NOT(H142=""),ABS(ROUNDDOWN(F142-H142, 3 - (1+INT(LOG10(ABS(F142)))))),""),IF(AND(F142=0,NOT(F142="")),ABS(ROUNDDOWN(F142-H142,0)),""))</f>
        <v/>
      </c>
      <c r="J142" s="4">
        <f>IF(NOT(I142=""),IF(I142&lt;=G142,"match",IF(I142&lt;3*G142,"partial match","no match")),"")</f>
        <v/>
      </c>
      <c r="K142" t="inlineStr">
        <is>
          <t>cm_contrast_2_5D_avg</t>
        </is>
      </c>
    </row>
    <row r="143" ht="15" customHeight="1" s="10">
      <c r="A143" t="inlineStr">
        <is>
          <t>digital phantom</t>
        </is>
      </c>
      <c r="B143" t="inlineStr">
        <is>
          <t>Co-occurrence matrix (2.5D, direction-merged)</t>
        </is>
      </c>
      <c r="C143" t="inlineStr">
        <is>
          <t>Dissimilarity</t>
        </is>
      </c>
      <c r="E143" t="inlineStr">
        <is>
          <t>&lt; 3</t>
        </is>
      </c>
      <c r="H143" s="4" t="n"/>
      <c r="I143" s="4">
        <f>IFERROR(IF(NOT(H143=""),ABS(ROUNDDOWN(F143-H143, 3 - (1+INT(LOG10(ABS(F143)))))),""),IF(AND(F143=0,NOT(F143="")),ABS(ROUNDDOWN(F143-H143,0)),""))</f>
        <v/>
      </c>
      <c r="J143" s="4">
        <f>IF(NOT(I143=""),IF(I143&lt;=G143,"match",IF(I143&lt;3*G143,"partial match","no match")),"")</f>
        <v/>
      </c>
      <c r="K143" t="inlineStr">
        <is>
          <t>cm_dissimilarity_2_5D_avg</t>
        </is>
      </c>
    </row>
    <row r="144" ht="15" customHeight="1" s="10">
      <c r="A144" t="inlineStr">
        <is>
          <t>digital phantom</t>
        </is>
      </c>
      <c r="B144" t="inlineStr">
        <is>
          <t>Co-occurrence matrix (2.5D, direction-merged)</t>
        </is>
      </c>
      <c r="C144" t="inlineStr">
        <is>
          <t>Inverse difference</t>
        </is>
      </c>
      <c r="E144" t="inlineStr">
        <is>
          <t>&lt; 3</t>
        </is>
      </c>
      <c r="H144" s="4" t="n"/>
      <c r="I144" s="4">
        <f>IFERROR(IF(NOT(H144=""),ABS(ROUNDDOWN(F144-H144, 3 - (1+INT(LOG10(ABS(F144)))))),""),IF(AND(F144=0,NOT(F144="")),ABS(ROUNDDOWN(F144-H144,0)),""))</f>
        <v/>
      </c>
      <c r="J144" s="4">
        <f>IF(NOT(I144=""),IF(I144&lt;=G144,"match",IF(I144&lt;3*G144,"partial match","no match")),"")</f>
        <v/>
      </c>
      <c r="K144" t="inlineStr">
        <is>
          <t>cm_inv_diff_2_5D_avg</t>
        </is>
      </c>
    </row>
    <row r="145" ht="15" customHeight="1" s="10">
      <c r="A145" t="inlineStr">
        <is>
          <t>digital phantom</t>
        </is>
      </c>
      <c r="B145" t="inlineStr">
        <is>
          <t>Co-occurrence matrix (2.5D, direction-merged)</t>
        </is>
      </c>
      <c r="C145" t="inlineStr">
        <is>
          <t>Inverse difference normalised</t>
        </is>
      </c>
      <c r="E145" t="inlineStr">
        <is>
          <t>&lt; 3</t>
        </is>
      </c>
      <c r="H145" s="4" t="n"/>
      <c r="I145" s="4">
        <f>IFERROR(IF(NOT(H145=""),ABS(ROUNDDOWN(F145-H145, 3 - (1+INT(LOG10(ABS(F145)))))),""),IF(AND(F145=0,NOT(F145="")),ABS(ROUNDDOWN(F145-H145,0)),""))</f>
        <v/>
      </c>
      <c r="J145" s="4">
        <f>IF(NOT(I145=""),IF(I145&lt;=G145,"match",IF(I145&lt;3*G145,"partial match","no match")),"")</f>
        <v/>
      </c>
      <c r="K145" t="inlineStr">
        <is>
          <t>cm_inv_diff_norm_2_5D_avg</t>
        </is>
      </c>
    </row>
    <row r="146" ht="15" customHeight="1" s="10">
      <c r="A146" t="inlineStr">
        <is>
          <t>digital phantom</t>
        </is>
      </c>
      <c r="B146" t="inlineStr">
        <is>
          <t>Co-occurrence matrix (2.5D, direction-merged)</t>
        </is>
      </c>
      <c r="C146" t="inlineStr">
        <is>
          <t>Inverse difference moment</t>
        </is>
      </c>
      <c r="E146" t="inlineStr">
        <is>
          <t>&lt; 3</t>
        </is>
      </c>
      <c r="H146" s="4" t="n"/>
      <c r="I146" s="4">
        <f>IFERROR(IF(NOT(H146=""),ABS(ROUNDDOWN(F146-H146, 3 - (1+INT(LOG10(ABS(F146)))))),""),IF(AND(F146=0,NOT(F146="")),ABS(ROUNDDOWN(F146-H146,0)),""))</f>
        <v/>
      </c>
      <c r="J146" s="4">
        <f>IF(NOT(I146=""),IF(I146&lt;=G146,"match",IF(I146&lt;3*G146,"partial match","no match")),"")</f>
        <v/>
      </c>
      <c r="K146" t="inlineStr">
        <is>
          <t>cm_inv_diff_mom_2_5D_avg</t>
        </is>
      </c>
    </row>
    <row r="147" ht="15" customHeight="1" s="10">
      <c r="A147" t="inlineStr">
        <is>
          <t>digital phantom</t>
        </is>
      </c>
      <c r="B147" t="inlineStr">
        <is>
          <t>Co-occurrence matrix (2.5D, direction-merged)</t>
        </is>
      </c>
      <c r="C147" t="inlineStr">
        <is>
          <t>Inverse difference moment normalised</t>
        </is>
      </c>
      <c r="E147" t="inlineStr">
        <is>
          <t>&lt; 3</t>
        </is>
      </c>
      <c r="H147" s="4" t="n"/>
      <c r="I147" s="4">
        <f>IFERROR(IF(NOT(H147=""),ABS(ROUNDDOWN(F147-H147, 3 - (1+INT(LOG10(ABS(F147)))))),""),IF(AND(F147=0,NOT(F147="")),ABS(ROUNDDOWN(F147-H147,0)),""))</f>
        <v/>
      </c>
      <c r="J147" s="4">
        <f>IF(NOT(I147=""),IF(I147&lt;=G147,"match",IF(I147&lt;3*G147,"partial match","no match")),"")</f>
        <v/>
      </c>
      <c r="K147" t="inlineStr">
        <is>
          <t>cm_inv_diff_mom_norm_2_5D_avg</t>
        </is>
      </c>
    </row>
    <row r="148" ht="15" customHeight="1" s="10">
      <c r="A148" t="inlineStr">
        <is>
          <t>digital phantom</t>
        </is>
      </c>
      <c r="B148" t="inlineStr">
        <is>
          <t>Co-occurrence matrix (2.5D, direction-merged)</t>
        </is>
      </c>
      <c r="C148" t="inlineStr">
        <is>
          <t>Inverse variance</t>
        </is>
      </c>
      <c r="E148" t="inlineStr">
        <is>
          <t>&lt; 3</t>
        </is>
      </c>
      <c r="H148" s="4" t="n"/>
      <c r="I148" s="4">
        <f>IFERROR(IF(NOT(H148=""),ABS(ROUNDDOWN(F148-H148, 3 - (1+INT(LOG10(ABS(F148)))))),""),IF(AND(F148=0,NOT(F148="")),ABS(ROUNDDOWN(F148-H148,0)),""))</f>
        <v/>
      </c>
      <c r="J148" s="4">
        <f>IF(NOT(I148=""),IF(I148&lt;=G148,"match",IF(I148&lt;3*G148,"partial match","no match")),"")</f>
        <v/>
      </c>
      <c r="K148" t="inlineStr">
        <is>
          <t>cm_inv_var_2_5D_avg</t>
        </is>
      </c>
    </row>
    <row r="149" ht="15" customHeight="1" s="10">
      <c r="A149" t="inlineStr">
        <is>
          <t>digital phantom</t>
        </is>
      </c>
      <c r="B149" t="inlineStr">
        <is>
          <t>Co-occurrence matrix (2.5D, direction-merged)</t>
        </is>
      </c>
      <c r="C149" t="inlineStr">
        <is>
          <t>Correlation</t>
        </is>
      </c>
      <c r="E149" t="inlineStr">
        <is>
          <t>&lt; 3</t>
        </is>
      </c>
      <c r="H149" s="4" t="n"/>
      <c r="I149" s="4">
        <f>IFERROR(IF(NOT(H149=""),ABS(ROUNDDOWN(F149-H149, 3 - (1+INT(LOG10(ABS(F149)))))),""),IF(AND(F149=0,NOT(F149="")),ABS(ROUNDDOWN(F149-H149,0)),""))</f>
        <v/>
      </c>
      <c r="J149" s="4">
        <f>IF(NOT(I149=""),IF(I149&lt;=G149,"match",IF(I149&lt;3*G149,"partial match","no match")),"")</f>
        <v/>
      </c>
      <c r="K149" t="inlineStr">
        <is>
          <t>cm_corr_2_5D_avg</t>
        </is>
      </c>
    </row>
    <row r="150" ht="15" customHeight="1" s="10">
      <c r="A150" t="inlineStr">
        <is>
          <t>digital phantom</t>
        </is>
      </c>
      <c r="B150" t="inlineStr">
        <is>
          <t>Co-occurrence matrix (2.5D, direction-merged)</t>
        </is>
      </c>
      <c r="C150" t="inlineStr">
        <is>
          <t>Autocorrelation</t>
        </is>
      </c>
      <c r="E150" t="inlineStr">
        <is>
          <t>&lt; 3</t>
        </is>
      </c>
      <c r="H150" s="4" t="n"/>
      <c r="I150" s="4">
        <f>IFERROR(IF(NOT(H150=""),ABS(ROUNDDOWN(F150-H150, 3 - (1+INT(LOG10(ABS(F150)))))),""),IF(AND(F150=0,NOT(F150="")),ABS(ROUNDDOWN(F150-H150,0)),""))</f>
        <v/>
      </c>
      <c r="J150" s="4">
        <f>IF(NOT(I150=""),IF(I150&lt;=G150,"match",IF(I150&lt;3*G150,"partial match","no match")),"")</f>
        <v/>
      </c>
      <c r="K150" t="inlineStr">
        <is>
          <t>cm_auto_corr_2_5D_avg</t>
        </is>
      </c>
    </row>
    <row r="151" ht="15" customHeight="1" s="10">
      <c r="A151" t="inlineStr">
        <is>
          <t>digital phantom</t>
        </is>
      </c>
      <c r="B151" t="inlineStr">
        <is>
          <t>Co-occurrence matrix (2.5D, direction-merged)</t>
        </is>
      </c>
      <c r="C151" t="inlineStr">
        <is>
          <t>Cluster tendency</t>
        </is>
      </c>
      <c r="E151" t="inlineStr">
        <is>
          <t>&lt; 3</t>
        </is>
      </c>
      <c r="H151" s="4" t="n"/>
      <c r="I151" s="4">
        <f>IFERROR(IF(NOT(H151=""),ABS(ROUNDDOWN(F151-H151, 3 - (1+INT(LOG10(ABS(F151)))))),""),IF(AND(F151=0,NOT(F151="")),ABS(ROUNDDOWN(F151-H151,0)),""))</f>
        <v/>
      </c>
      <c r="J151" s="4">
        <f>IF(NOT(I151=""),IF(I151&lt;=G151,"match",IF(I151&lt;3*G151,"partial match","no match")),"")</f>
        <v/>
      </c>
      <c r="K151" t="inlineStr">
        <is>
          <t>cm_clust_tend_2_5D_avg</t>
        </is>
      </c>
    </row>
    <row r="152" ht="15" customHeight="1" s="10">
      <c r="A152" t="inlineStr">
        <is>
          <t>digital phantom</t>
        </is>
      </c>
      <c r="B152" t="inlineStr">
        <is>
          <t>Co-occurrence matrix (2.5D, direction-merged)</t>
        </is>
      </c>
      <c r="C152" t="inlineStr">
        <is>
          <t>Cluster shade</t>
        </is>
      </c>
      <c r="E152" t="inlineStr">
        <is>
          <t>&lt; 3</t>
        </is>
      </c>
      <c r="H152" s="4" t="n"/>
      <c r="I152" s="4">
        <f>IFERROR(IF(NOT(H152=""),ABS(ROUNDDOWN(F152-H152, 3 - (1+INT(LOG10(ABS(F152)))))),""),IF(AND(F152=0,NOT(F152="")),ABS(ROUNDDOWN(F152-H152,0)),""))</f>
        <v/>
      </c>
      <c r="J152" s="4">
        <f>IF(NOT(I152=""),IF(I152&lt;=G152,"match",IF(I152&lt;3*G152,"partial match","no match")),"")</f>
        <v/>
      </c>
      <c r="K152" t="inlineStr">
        <is>
          <t>cm_clust_shade_2_5D_avg</t>
        </is>
      </c>
    </row>
    <row r="153" ht="15" customHeight="1" s="10">
      <c r="A153" t="inlineStr">
        <is>
          <t>digital phantom</t>
        </is>
      </c>
      <c r="B153" t="inlineStr">
        <is>
          <t>Co-occurrence matrix (2.5D, direction-merged)</t>
        </is>
      </c>
      <c r="C153" t="inlineStr">
        <is>
          <t>Cluster prominence</t>
        </is>
      </c>
      <c r="E153" t="inlineStr">
        <is>
          <t>&lt; 3</t>
        </is>
      </c>
      <c r="H153" s="4" t="n"/>
      <c r="I153" s="4">
        <f>IFERROR(IF(NOT(H153=""),ABS(ROUNDDOWN(F153-H153, 3 - (1+INT(LOG10(ABS(F153)))))),""),IF(AND(F153=0,NOT(F153="")),ABS(ROUNDDOWN(F153-H153,0)),""))</f>
        <v/>
      </c>
      <c r="J153" s="4">
        <f>IF(NOT(I153=""),IF(I153&lt;=G153,"match",IF(I153&lt;3*G153,"partial match","no match")),"")</f>
        <v/>
      </c>
      <c r="K153" t="inlineStr">
        <is>
          <t>cm_clust_prom_2_5D_avg</t>
        </is>
      </c>
    </row>
    <row r="154" ht="15" customHeight="1" s="10">
      <c r="A154" t="inlineStr">
        <is>
          <t>digital phantom</t>
        </is>
      </c>
      <c r="B154" t="inlineStr">
        <is>
          <t>Co-occurrence matrix (2.5D, direction-merged)</t>
        </is>
      </c>
      <c r="C154" t="inlineStr">
        <is>
          <t>Information correlation 1</t>
        </is>
      </c>
      <c r="E154" t="inlineStr">
        <is>
          <t>&lt; 3</t>
        </is>
      </c>
      <c r="H154" s="4" t="n"/>
      <c r="I154" s="4">
        <f>IFERROR(IF(NOT(H154=""),ABS(ROUNDDOWN(F154-H154, 3 - (1+INT(LOG10(ABS(F154)))))),""),IF(AND(F154=0,NOT(F154="")),ABS(ROUNDDOWN(F154-H154,0)),""))</f>
        <v/>
      </c>
      <c r="J154" s="4">
        <f>IF(NOT(I154=""),IF(I154&lt;=G154,"match",IF(I154&lt;3*G154,"partial match","no match")),"")</f>
        <v/>
      </c>
      <c r="K154" t="inlineStr">
        <is>
          <t>cm_info_corr1_2_5D_avg</t>
        </is>
      </c>
    </row>
    <row r="155" ht="15" customHeight="1" s="10">
      <c r="A155" t="inlineStr">
        <is>
          <t>digital phantom</t>
        </is>
      </c>
      <c r="B155" t="inlineStr">
        <is>
          <t>Co-occurrence matrix (2.5D, direction-merged)</t>
        </is>
      </c>
      <c r="C155" t="inlineStr">
        <is>
          <t>Information correlation 2</t>
        </is>
      </c>
      <c r="E155" t="inlineStr">
        <is>
          <t>&lt; 3</t>
        </is>
      </c>
      <c r="H155" s="4" t="n"/>
      <c r="I155" s="4">
        <f>IFERROR(IF(NOT(H155=""),ABS(ROUNDDOWN(F155-H155, 3 - (1+INT(LOG10(ABS(F155)))))),""),IF(AND(F155=0,NOT(F155="")),ABS(ROUNDDOWN(F155-H155,0)),""))</f>
        <v/>
      </c>
      <c r="J155" s="4">
        <f>IF(NOT(I155=""),IF(I155&lt;=G155,"match",IF(I155&lt;3*G155,"partial match","no match")),"")</f>
        <v/>
      </c>
      <c r="K155" t="inlineStr">
        <is>
          <t>cm_info_corr2_2_5D_avg</t>
        </is>
      </c>
    </row>
    <row r="156" ht="15" customHeight="1" s="10">
      <c r="A156" t="inlineStr">
        <is>
          <t>digital phantom</t>
        </is>
      </c>
      <c r="B156" t="inlineStr">
        <is>
          <t>Co-occurrence matrix (2.5D, merged)</t>
        </is>
      </c>
      <c r="C156" t="inlineStr">
        <is>
          <t>Joint maximum</t>
        </is>
      </c>
      <c r="E156" t="inlineStr">
        <is>
          <t>&lt; 3</t>
        </is>
      </c>
      <c r="H156" s="4" t="n"/>
      <c r="I156" s="4">
        <f>IFERROR(IF(NOT(H156=""),ABS(ROUNDDOWN(F156-H156, 3 - (1+INT(LOG10(ABS(F156)))))),""),IF(AND(F156=0,NOT(F156="")),ABS(ROUNDDOWN(F156-H156,0)),""))</f>
        <v/>
      </c>
      <c r="J156" s="4">
        <f>IF(NOT(I156=""),IF(I156&lt;=G156,"match",IF(I156&lt;3*G156,"partial match","no match")),"")</f>
        <v/>
      </c>
      <c r="K156" t="inlineStr">
        <is>
          <t>cm_joint_max_2_5D_comb</t>
        </is>
      </c>
    </row>
    <row r="157" ht="15" customHeight="1" s="10">
      <c r="A157" t="inlineStr">
        <is>
          <t>digital phantom</t>
        </is>
      </c>
      <c r="B157" t="inlineStr">
        <is>
          <t>Co-occurrence matrix (2.5D, merged)</t>
        </is>
      </c>
      <c r="C157" t="inlineStr">
        <is>
          <t>Joint average</t>
        </is>
      </c>
      <c r="E157" t="inlineStr">
        <is>
          <t>&lt; 3</t>
        </is>
      </c>
      <c r="H157" s="4" t="n"/>
      <c r="I157" s="4">
        <f>IFERROR(IF(NOT(H157=""),ABS(ROUNDDOWN(F157-H157, 3 - (1+INT(LOG10(ABS(F157)))))),""),IF(AND(F157=0,NOT(F157="")),ABS(ROUNDDOWN(F157-H157,0)),""))</f>
        <v/>
      </c>
      <c r="J157" s="4">
        <f>IF(NOT(I157=""),IF(I157&lt;=G157,"match",IF(I157&lt;3*G157,"partial match","no match")),"")</f>
        <v/>
      </c>
      <c r="K157" t="inlineStr">
        <is>
          <t>cm_joint_avg_2_5D_comb</t>
        </is>
      </c>
    </row>
    <row r="158" ht="15" customHeight="1" s="10">
      <c r="A158" t="inlineStr">
        <is>
          <t>digital phantom</t>
        </is>
      </c>
      <c r="B158" t="inlineStr">
        <is>
          <t>Co-occurrence matrix (2.5D, merged)</t>
        </is>
      </c>
      <c r="C158" t="inlineStr">
        <is>
          <t>Joint variance</t>
        </is>
      </c>
      <c r="E158" t="inlineStr">
        <is>
          <t>&lt; 3</t>
        </is>
      </c>
      <c r="H158" s="4" t="n"/>
      <c r="I158" s="4">
        <f>IFERROR(IF(NOT(H158=""),ABS(ROUNDDOWN(F158-H158, 3 - (1+INT(LOG10(ABS(F158)))))),""),IF(AND(F158=0,NOT(F158="")),ABS(ROUNDDOWN(F158-H158,0)),""))</f>
        <v/>
      </c>
      <c r="J158" s="4">
        <f>IF(NOT(I158=""),IF(I158&lt;=G158,"match",IF(I158&lt;3*G158,"partial match","no match")),"")</f>
        <v/>
      </c>
      <c r="K158" t="inlineStr">
        <is>
          <t>cm_joint_var_2_5D_comb</t>
        </is>
      </c>
    </row>
    <row r="159" ht="15" customHeight="1" s="10">
      <c r="A159" t="inlineStr">
        <is>
          <t>digital phantom</t>
        </is>
      </c>
      <c r="B159" t="inlineStr">
        <is>
          <t>Co-occurrence matrix (2.5D, merged)</t>
        </is>
      </c>
      <c r="C159" t="inlineStr">
        <is>
          <t>Joint entropy</t>
        </is>
      </c>
      <c r="E159" t="inlineStr">
        <is>
          <t>&lt; 3</t>
        </is>
      </c>
      <c r="H159" s="4" t="n"/>
      <c r="I159" s="4">
        <f>IFERROR(IF(NOT(H159=""),ABS(ROUNDDOWN(F159-H159, 3 - (1+INT(LOG10(ABS(F159)))))),""),IF(AND(F159=0,NOT(F159="")),ABS(ROUNDDOWN(F159-H159,0)),""))</f>
        <v/>
      </c>
      <c r="J159" s="4">
        <f>IF(NOT(I159=""),IF(I159&lt;=G159,"match",IF(I159&lt;3*G159,"partial match","no match")),"")</f>
        <v/>
      </c>
      <c r="K159" t="inlineStr">
        <is>
          <t>cm_joint_entr_2_5D_comb</t>
        </is>
      </c>
    </row>
    <row r="160" ht="15" customHeight="1" s="10">
      <c r="A160" t="inlineStr">
        <is>
          <t>digital phantom</t>
        </is>
      </c>
      <c r="B160" t="inlineStr">
        <is>
          <t>Co-occurrence matrix (2.5D, merged)</t>
        </is>
      </c>
      <c r="C160" t="inlineStr">
        <is>
          <t>Difference average</t>
        </is>
      </c>
      <c r="E160" t="inlineStr">
        <is>
          <t>&lt; 3</t>
        </is>
      </c>
      <c r="H160" s="4" t="n"/>
      <c r="I160" s="4">
        <f>IFERROR(IF(NOT(H160=""),ABS(ROUNDDOWN(F160-H160, 3 - (1+INT(LOG10(ABS(F160)))))),""),IF(AND(F160=0,NOT(F160="")),ABS(ROUNDDOWN(F160-H160,0)),""))</f>
        <v/>
      </c>
      <c r="J160" s="4">
        <f>IF(NOT(I160=""),IF(I160&lt;=G160,"match",IF(I160&lt;3*G160,"partial match","no match")),"")</f>
        <v/>
      </c>
      <c r="K160" t="inlineStr">
        <is>
          <t>cm_diff_avg_2_5D_comb</t>
        </is>
      </c>
    </row>
    <row r="161" ht="15" customHeight="1" s="10">
      <c r="A161" t="inlineStr">
        <is>
          <t>digital phantom</t>
        </is>
      </c>
      <c r="B161" t="inlineStr">
        <is>
          <t>Co-occurrence matrix (2.5D, merged)</t>
        </is>
      </c>
      <c r="C161" t="inlineStr">
        <is>
          <t>Difference variance</t>
        </is>
      </c>
      <c r="E161" t="inlineStr">
        <is>
          <t>&lt; 3</t>
        </is>
      </c>
      <c r="H161" s="4" t="n"/>
      <c r="I161" s="4">
        <f>IFERROR(IF(NOT(H161=""),ABS(ROUNDDOWN(F161-H161, 3 - (1+INT(LOG10(ABS(F161)))))),""),IF(AND(F161=0,NOT(F161="")),ABS(ROUNDDOWN(F161-H161,0)),""))</f>
        <v/>
      </c>
      <c r="J161" s="4">
        <f>IF(NOT(I161=""),IF(I161&lt;=G161,"match",IF(I161&lt;3*G161,"partial match","no match")),"")</f>
        <v/>
      </c>
      <c r="K161" t="inlineStr">
        <is>
          <t>cm_diff_var_2_5D_comb</t>
        </is>
      </c>
    </row>
    <row r="162" ht="15" customHeight="1" s="10">
      <c r="A162" t="inlineStr">
        <is>
          <t>digital phantom</t>
        </is>
      </c>
      <c r="B162" t="inlineStr">
        <is>
          <t>Co-occurrence matrix (2.5D, merged)</t>
        </is>
      </c>
      <c r="C162" t="inlineStr">
        <is>
          <t>Difference entropy</t>
        </is>
      </c>
      <c r="E162" t="inlineStr">
        <is>
          <t>&lt; 3</t>
        </is>
      </c>
      <c r="H162" s="4" t="n"/>
      <c r="I162" s="4">
        <f>IFERROR(IF(NOT(H162=""),ABS(ROUNDDOWN(F162-H162, 3 - (1+INT(LOG10(ABS(F162)))))),""),IF(AND(F162=0,NOT(F162="")),ABS(ROUNDDOWN(F162-H162,0)),""))</f>
        <v/>
      </c>
      <c r="J162" s="4">
        <f>IF(NOT(I162=""),IF(I162&lt;=G162,"match",IF(I162&lt;3*G162,"partial match","no match")),"")</f>
        <v/>
      </c>
      <c r="K162" t="inlineStr">
        <is>
          <t>cm_diff_entr_2_5D_comb</t>
        </is>
      </c>
    </row>
    <row r="163" ht="15" customHeight="1" s="10">
      <c r="A163" t="inlineStr">
        <is>
          <t>digital phantom</t>
        </is>
      </c>
      <c r="B163" t="inlineStr">
        <is>
          <t>Co-occurrence matrix (2.5D, merged)</t>
        </is>
      </c>
      <c r="C163" t="inlineStr">
        <is>
          <t>Sum average</t>
        </is>
      </c>
      <c r="E163" t="inlineStr">
        <is>
          <t>&lt; 3</t>
        </is>
      </c>
      <c r="H163" s="4" t="n"/>
      <c r="I163" s="4">
        <f>IFERROR(IF(NOT(H163=""),ABS(ROUNDDOWN(F163-H163, 3 - (1+INT(LOG10(ABS(F163)))))),""),IF(AND(F163=0,NOT(F163="")),ABS(ROUNDDOWN(F163-H163,0)),""))</f>
        <v/>
      </c>
      <c r="J163" s="4">
        <f>IF(NOT(I163=""),IF(I163&lt;=G163,"match",IF(I163&lt;3*G163,"partial match","no match")),"")</f>
        <v/>
      </c>
      <c r="K163" t="inlineStr">
        <is>
          <t>cm_sum_avg_2_5D_comb</t>
        </is>
      </c>
    </row>
    <row r="164" ht="15" customHeight="1" s="10">
      <c r="A164" t="inlineStr">
        <is>
          <t>digital phantom</t>
        </is>
      </c>
      <c r="B164" t="inlineStr">
        <is>
          <t>Co-occurrence matrix (2.5D, merged)</t>
        </is>
      </c>
      <c r="C164" t="inlineStr">
        <is>
          <t>Sum variance</t>
        </is>
      </c>
      <c r="E164" t="inlineStr">
        <is>
          <t>&lt; 3</t>
        </is>
      </c>
      <c r="H164" s="4" t="n"/>
      <c r="I164" s="4">
        <f>IFERROR(IF(NOT(H164=""),ABS(ROUNDDOWN(F164-H164, 3 - (1+INT(LOG10(ABS(F164)))))),""),IF(AND(F164=0,NOT(F164="")),ABS(ROUNDDOWN(F164-H164,0)),""))</f>
        <v/>
      </c>
      <c r="J164" s="4">
        <f>IF(NOT(I164=""),IF(I164&lt;=G164,"match",IF(I164&lt;3*G164,"partial match","no match")),"")</f>
        <v/>
      </c>
      <c r="K164" t="inlineStr">
        <is>
          <t>cm_sum_var_2_5D_comb</t>
        </is>
      </c>
    </row>
    <row r="165" ht="15" customHeight="1" s="10">
      <c r="A165" t="inlineStr">
        <is>
          <t>digital phantom</t>
        </is>
      </c>
      <c r="B165" t="inlineStr">
        <is>
          <t>Co-occurrence matrix (2.5D, merged)</t>
        </is>
      </c>
      <c r="C165" t="inlineStr">
        <is>
          <t>Sum entropy</t>
        </is>
      </c>
      <c r="E165" t="inlineStr">
        <is>
          <t>&lt; 3</t>
        </is>
      </c>
      <c r="H165" s="4" t="n"/>
      <c r="I165" s="4">
        <f>IFERROR(IF(NOT(H165=""),ABS(ROUNDDOWN(F165-H165, 3 - (1+INT(LOG10(ABS(F165)))))),""),IF(AND(F165=0,NOT(F165="")),ABS(ROUNDDOWN(F165-H165,0)),""))</f>
        <v/>
      </c>
      <c r="J165" s="4">
        <f>IF(NOT(I165=""),IF(I165&lt;=G165,"match",IF(I165&lt;3*G165,"partial match","no match")),"")</f>
        <v/>
      </c>
      <c r="K165" t="inlineStr">
        <is>
          <t>cm_sum_entr_2_5D_comb</t>
        </is>
      </c>
    </row>
    <row r="166" ht="15" customHeight="1" s="10">
      <c r="A166" t="inlineStr">
        <is>
          <t>digital phantom</t>
        </is>
      </c>
      <c r="B166" t="inlineStr">
        <is>
          <t>Co-occurrence matrix (2.5D, merged)</t>
        </is>
      </c>
      <c r="C166" t="inlineStr">
        <is>
          <t>Angular second moment</t>
        </is>
      </c>
      <c r="E166" t="inlineStr">
        <is>
          <t>&lt; 3</t>
        </is>
      </c>
      <c r="H166" s="4" t="n"/>
      <c r="I166" s="4">
        <f>IFERROR(IF(NOT(H166=""),ABS(ROUNDDOWN(F166-H166, 3 - (1+INT(LOG10(ABS(F166)))))),""),IF(AND(F166=0,NOT(F166="")),ABS(ROUNDDOWN(F166-H166,0)),""))</f>
        <v/>
      </c>
      <c r="J166" s="4">
        <f>IF(NOT(I166=""),IF(I166&lt;=G166,"match",IF(I166&lt;3*G166,"partial match","no match")),"")</f>
        <v/>
      </c>
      <c r="K166" t="inlineStr">
        <is>
          <t>cm_energy_2_5D_comb</t>
        </is>
      </c>
    </row>
    <row r="167" ht="15" customHeight="1" s="10">
      <c r="A167" t="inlineStr">
        <is>
          <t>digital phantom</t>
        </is>
      </c>
      <c r="B167" t="inlineStr">
        <is>
          <t>Co-occurrence matrix (2.5D, merged)</t>
        </is>
      </c>
      <c r="C167" t="inlineStr">
        <is>
          <t>Contrast</t>
        </is>
      </c>
      <c r="E167" t="inlineStr">
        <is>
          <t>&lt; 3</t>
        </is>
      </c>
      <c r="H167" s="4" t="n"/>
      <c r="I167" s="4">
        <f>IFERROR(IF(NOT(H167=""),ABS(ROUNDDOWN(F167-H167, 3 - (1+INT(LOG10(ABS(F167)))))),""),IF(AND(F167=0,NOT(F167="")),ABS(ROUNDDOWN(F167-H167,0)),""))</f>
        <v/>
      </c>
      <c r="J167" s="4">
        <f>IF(NOT(I167=""),IF(I167&lt;=G167,"match",IF(I167&lt;3*G167,"partial match","no match")),"")</f>
        <v/>
      </c>
      <c r="K167" t="inlineStr">
        <is>
          <t>cm_contrast_2_5D_comb</t>
        </is>
      </c>
    </row>
    <row r="168" ht="15" customHeight="1" s="10">
      <c r="A168" t="inlineStr">
        <is>
          <t>digital phantom</t>
        </is>
      </c>
      <c r="B168" t="inlineStr">
        <is>
          <t>Co-occurrence matrix (2.5D, merged)</t>
        </is>
      </c>
      <c r="C168" t="inlineStr">
        <is>
          <t>Dissimilarity</t>
        </is>
      </c>
      <c r="E168" t="inlineStr">
        <is>
          <t>&lt; 3</t>
        </is>
      </c>
      <c r="H168" s="4" t="n"/>
      <c r="I168" s="4">
        <f>IFERROR(IF(NOT(H168=""),ABS(ROUNDDOWN(F168-H168, 3 - (1+INT(LOG10(ABS(F168)))))),""),IF(AND(F168=0,NOT(F168="")),ABS(ROUNDDOWN(F168-H168,0)),""))</f>
        <v/>
      </c>
      <c r="J168" s="4">
        <f>IF(NOT(I168=""),IF(I168&lt;=G168,"match",IF(I168&lt;3*G168,"partial match","no match")),"")</f>
        <v/>
      </c>
      <c r="K168" t="inlineStr">
        <is>
          <t>cm_dissimilarity_2_5D_comb</t>
        </is>
      </c>
    </row>
    <row r="169" ht="15" customHeight="1" s="10">
      <c r="A169" t="inlineStr">
        <is>
          <t>digital phantom</t>
        </is>
      </c>
      <c r="B169" t="inlineStr">
        <is>
          <t>Co-occurrence matrix (2.5D, merged)</t>
        </is>
      </c>
      <c r="C169" t="inlineStr">
        <is>
          <t>Inverse difference</t>
        </is>
      </c>
      <c r="E169" t="inlineStr">
        <is>
          <t>&lt; 3</t>
        </is>
      </c>
      <c r="H169" s="4" t="n"/>
      <c r="I169" s="4">
        <f>IFERROR(IF(NOT(H169=""),ABS(ROUNDDOWN(F169-H169, 3 - (1+INT(LOG10(ABS(F169)))))),""),IF(AND(F169=0,NOT(F169="")),ABS(ROUNDDOWN(F169-H169,0)),""))</f>
        <v/>
      </c>
      <c r="J169" s="4">
        <f>IF(NOT(I169=""),IF(I169&lt;=G169,"match",IF(I169&lt;3*G169,"partial match","no match")),"")</f>
        <v/>
      </c>
      <c r="K169" t="inlineStr">
        <is>
          <t>cm_inv_diff_2_5D_comb</t>
        </is>
      </c>
    </row>
    <row r="170" ht="15" customHeight="1" s="10">
      <c r="A170" t="inlineStr">
        <is>
          <t>digital phantom</t>
        </is>
      </c>
      <c r="B170" t="inlineStr">
        <is>
          <t>Co-occurrence matrix (2.5D, merged)</t>
        </is>
      </c>
      <c r="C170" t="inlineStr">
        <is>
          <t>Inverse difference normalised</t>
        </is>
      </c>
      <c r="E170" t="inlineStr">
        <is>
          <t>&lt; 3</t>
        </is>
      </c>
      <c r="H170" s="4" t="n"/>
      <c r="I170" s="4">
        <f>IFERROR(IF(NOT(H170=""),ABS(ROUNDDOWN(F170-H170, 3 - (1+INT(LOG10(ABS(F170)))))),""),IF(AND(F170=0,NOT(F170="")),ABS(ROUNDDOWN(F170-H170,0)),""))</f>
        <v/>
      </c>
      <c r="J170" s="4">
        <f>IF(NOT(I170=""),IF(I170&lt;=G170,"match",IF(I170&lt;3*G170,"partial match","no match")),"")</f>
        <v/>
      </c>
      <c r="K170" t="inlineStr">
        <is>
          <t>cm_inv_diff_norm_2_5D_comb</t>
        </is>
      </c>
    </row>
    <row r="171" ht="15" customHeight="1" s="10">
      <c r="A171" t="inlineStr">
        <is>
          <t>digital phantom</t>
        </is>
      </c>
      <c r="B171" t="inlineStr">
        <is>
          <t>Co-occurrence matrix (2.5D, merged)</t>
        </is>
      </c>
      <c r="C171" t="inlineStr">
        <is>
          <t>Inverse difference moment</t>
        </is>
      </c>
      <c r="E171" t="inlineStr">
        <is>
          <t>&lt; 3</t>
        </is>
      </c>
      <c r="H171" s="4" t="n"/>
      <c r="I171" s="4">
        <f>IFERROR(IF(NOT(H171=""),ABS(ROUNDDOWN(F171-H171, 3 - (1+INT(LOG10(ABS(F171)))))),""),IF(AND(F171=0,NOT(F171="")),ABS(ROUNDDOWN(F171-H171,0)),""))</f>
        <v/>
      </c>
      <c r="J171" s="4">
        <f>IF(NOT(I171=""),IF(I171&lt;=G171,"match",IF(I171&lt;3*G171,"partial match","no match")),"")</f>
        <v/>
      </c>
      <c r="K171" t="inlineStr">
        <is>
          <t>cm_inv_diff_mom_2_5D_comb</t>
        </is>
      </c>
    </row>
    <row r="172" ht="15" customHeight="1" s="10">
      <c r="A172" t="inlineStr">
        <is>
          <t>digital phantom</t>
        </is>
      </c>
      <c r="B172" t="inlineStr">
        <is>
          <t>Co-occurrence matrix (2.5D, merged)</t>
        </is>
      </c>
      <c r="C172" t="inlineStr">
        <is>
          <t>Inverse difference moment normalised</t>
        </is>
      </c>
      <c r="E172" t="inlineStr">
        <is>
          <t>&lt; 3</t>
        </is>
      </c>
      <c r="H172" s="4" t="n"/>
      <c r="I172" s="4">
        <f>IFERROR(IF(NOT(H172=""),ABS(ROUNDDOWN(F172-H172, 3 - (1+INT(LOG10(ABS(F172)))))),""),IF(AND(F172=0,NOT(F172="")),ABS(ROUNDDOWN(F172-H172,0)),""))</f>
        <v/>
      </c>
      <c r="J172" s="4">
        <f>IF(NOT(I172=""),IF(I172&lt;=G172,"match",IF(I172&lt;3*G172,"partial match","no match")),"")</f>
        <v/>
      </c>
      <c r="K172" t="inlineStr">
        <is>
          <t>cm_inv_diff_mom_norm_2_5D_comb</t>
        </is>
      </c>
    </row>
    <row r="173" ht="15" customHeight="1" s="10">
      <c r="A173" t="inlineStr">
        <is>
          <t>digital phantom</t>
        </is>
      </c>
      <c r="B173" t="inlineStr">
        <is>
          <t>Co-occurrence matrix (2.5D, merged)</t>
        </is>
      </c>
      <c r="C173" t="inlineStr">
        <is>
          <t>Inverse variance</t>
        </is>
      </c>
      <c r="E173" t="inlineStr">
        <is>
          <t>&lt; 3</t>
        </is>
      </c>
      <c r="H173" s="4" t="n"/>
      <c r="I173" s="4">
        <f>IFERROR(IF(NOT(H173=""),ABS(ROUNDDOWN(F173-H173, 3 - (1+INT(LOG10(ABS(F173)))))),""),IF(AND(F173=0,NOT(F173="")),ABS(ROUNDDOWN(F173-H173,0)),""))</f>
        <v/>
      </c>
      <c r="J173" s="4">
        <f>IF(NOT(I173=""),IF(I173&lt;=G173,"match",IF(I173&lt;3*G173,"partial match","no match")),"")</f>
        <v/>
      </c>
      <c r="K173" t="inlineStr">
        <is>
          <t>cm_inv_var_2_5D_comb</t>
        </is>
      </c>
    </row>
    <row r="174" ht="15" customHeight="1" s="10">
      <c r="A174" t="inlineStr">
        <is>
          <t>digital phantom</t>
        </is>
      </c>
      <c r="B174" t="inlineStr">
        <is>
          <t>Co-occurrence matrix (2.5D, merged)</t>
        </is>
      </c>
      <c r="C174" t="inlineStr">
        <is>
          <t>Correlation</t>
        </is>
      </c>
      <c r="E174" t="inlineStr">
        <is>
          <t>&lt; 3</t>
        </is>
      </c>
      <c r="H174" s="4" t="n"/>
      <c r="I174" s="4">
        <f>IFERROR(IF(NOT(H174=""),ABS(ROUNDDOWN(F174-H174, 3 - (1+INT(LOG10(ABS(F174)))))),""),IF(AND(F174=0,NOT(F174="")),ABS(ROUNDDOWN(F174-H174,0)),""))</f>
        <v/>
      </c>
      <c r="J174" s="4">
        <f>IF(NOT(I174=""),IF(I174&lt;=G174,"match",IF(I174&lt;3*G174,"partial match","no match")),"")</f>
        <v/>
      </c>
      <c r="K174" t="inlineStr">
        <is>
          <t>cm_corr_2_5D_comb</t>
        </is>
      </c>
    </row>
    <row r="175" ht="15" customHeight="1" s="10">
      <c r="A175" t="inlineStr">
        <is>
          <t>digital phantom</t>
        </is>
      </c>
      <c r="B175" t="inlineStr">
        <is>
          <t>Co-occurrence matrix (2.5D, merged)</t>
        </is>
      </c>
      <c r="C175" t="inlineStr">
        <is>
          <t>Autocorrelation</t>
        </is>
      </c>
      <c r="E175" t="inlineStr">
        <is>
          <t>&lt; 3</t>
        </is>
      </c>
      <c r="H175" s="4" t="n"/>
      <c r="I175" s="4">
        <f>IFERROR(IF(NOT(H175=""),ABS(ROUNDDOWN(F175-H175, 3 - (1+INT(LOG10(ABS(F175)))))),""),IF(AND(F175=0,NOT(F175="")),ABS(ROUNDDOWN(F175-H175,0)),""))</f>
        <v/>
      </c>
      <c r="J175" s="4">
        <f>IF(NOT(I175=""),IF(I175&lt;=G175,"match",IF(I175&lt;3*G175,"partial match","no match")),"")</f>
        <v/>
      </c>
      <c r="K175" t="inlineStr">
        <is>
          <t>cm_auto_corr_2_5D_comb</t>
        </is>
      </c>
    </row>
    <row r="176" ht="15" customHeight="1" s="10">
      <c r="A176" t="inlineStr">
        <is>
          <t>digital phantom</t>
        </is>
      </c>
      <c r="B176" t="inlineStr">
        <is>
          <t>Co-occurrence matrix (2.5D, merged)</t>
        </is>
      </c>
      <c r="C176" t="inlineStr">
        <is>
          <t>Cluster tendency</t>
        </is>
      </c>
      <c r="E176" t="inlineStr">
        <is>
          <t>&lt; 3</t>
        </is>
      </c>
      <c r="H176" s="4" t="n"/>
      <c r="I176" s="4">
        <f>IFERROR(IF(NOT(H176=""),ABS(ROUNDDOWN(F176-H176, 3 - (1+INT(LOG10(ABS(F176)))))),""),IF(AND(F176=0,NOT(F176="")),ABS(ROUNDDOWN(F176-H176,0)),""))</f>
        <v/>
      </c>
      <c r="J176" s="4">
        <f>IF(NOT(I176=""),IF(I176&lt;=G176,"match",IF(I176&lt;3*G176,"partial match","no match")),"")</f>
        <v/>
      </c>
      <c r="K176" t="inlineStr">
        <is>
          <t>cm_clust_tend_2_5D_comb</t>
        </is>
      </c>
    </row>
    <row r="177" ht="15" customHeight="1" s="10">
      <c r="A177" t="inlineStr">
        <is>
          <t>digital phantom</t>
        </is>
      </c>
      <c r="B177" t="inlineStr">
        <is>
          <t>Co-occurrence matrix (2.5D, merged)</t>
        </is>
      </c>
      <c r="C177" t="inlineStr">
        <is>
          <t>Cluster shade</t>
        </is>
      </c>
      <c r="E177" t="inlineStr">
        <is>
          <t>&lt; 3</t>
        </is>
      </c>
      <c r="H177" s="4" t="n"/>
      <c r="I177" s="4">
        <f>IFERROR(IF(NOT(H177=""),ABS(ROUNDDOWN(F177-H177, 3 - (1+INT(LOG10(ABS(F177)))))),""),IF(AND(F177=0,NOT(F177="")),ABS(ROUNDDOWN(F177-H177,0)),""))</f>
        <v/>
      </c>
      <c r="J177" s="4">
        <f>IF(NOT(I177=""),IF(I177&lt;=G177,"match",IF(I177&lt;3*G177,"partial match","no match")),"")</f>
        <v/>
      </c>
      <c r="K177" t="inlineStr">
        <is>
          <t>cm_clust_shade_2_5D_comb</t>
        </is>
      </c>
    </row>
    <row r="178" ht="15" customHeight="1" s="10">
      <c r="A178" t="inlineStr">
        <is>
          <t>digital phantom</t>
        </is>
      </c>
      <c r="B178" t="inlineStr">
        <is>
          <t>Co-occurrence matrix (2.5D, merged)</t>
        </is>
      </c>
      <c r="C178" t="inlineStr">
        <is>
          <t>Cluster prominence</t>
        </is>
      </c>
      <c r="E178" t="inlineStr">
        <is>
          <t>&lt; 3</t>
        </is>
      </c>
      <c r="H178" s="4" t="n"/>
      <c r="I178" s="4">
        <f>IFERROR(IF(NOT(H178=""),ABS(ROUNDDOWN(F178-H178, 3 - (1+INT(LOG10(ABS(F178)))))),""),IF(AND(F178=0,NOT(F178="")),ABS(ROUNDDOWN(F178-H178,0)),""))</f>
        <v/>
      </c>
      <c r="J178" s="4">
        <f>IF(NOT(I178=""),IF(I178&lt;=G178,"match",IF(I178&lt;3*G178,"partial match","no match")),"")</f>
        <v/>
      </c>
      <c r="K178" t="inlineStr">
        <is>
          <t>cm_clust_prom_2_5D_comb</t>
        </is>
      </c>
    </row>
    <row r="179" ht="15" customHeight="1" s="10">
      <c r="A179" t="inlineStr">
        <is>
          <t>digital phantom</t>
        </is>
      </c>
      <c r="B179" t="inlineStr">
        <is>
          <t>Co-occurrence matrix (2.5D, merged)</t>
        </is>
      </c>
      <c r="C179" t="inlineStr">
        <is>
          <t>Information correlation 1</t>
        </is>
      </c>
      <c r="E179" t="inlineStr">
        <is>
          <t>&lt; 3</t>
        </is>
      </c>
      <c r="H179" s="4" t="n"/>
      <c r="I179" s="4">
        <f>IFERROR(IF(NOT(H179=""),ABS(ROUNDDOWN(F179-H179, 3 - (1+INT(LOG10(ABS(F179)))))),""),IF(AND(F179=0,NOT(F179="")),ABS(ROUNDDOWN(F179-H179,0)),""))</f>
        <v/>
      </c>
      <c r="J179" s="4">
        <f>IF(NOT(I179=""),IF(I179&lt;=G179,"match",IF(I179&lt;3*G179,"partial match","no match")),"")</f>
        <v/>
      </c>
      <c r="K179" t="inlineStr">
        <is>
          <t>cm_info_corr1_2_5D_comb</t>
        </is>
      </c>
    </row>
    <row r="180" ht="15" customHeight="1" s="10">
      <c r="A180" t="inlineStr">
        <is>
          <t>digital phantom</t>
        </is>
      </c>
      <c r="B180" t="inlineStr">
        <is>
          <t>Co-occurrence matrix (2.5D, merged)</t>
        </is>
      </c>
      <c r="C180" t="inlineStr">
        <is>
          <t>Information correlation 2</t>
        </is>
      </c>
      <c r="E180" t="inlineStr">
        <is>
          <t>&lt; 3</t>
        </is>
      </c>
      <c r="H180" s="4" t="n"/>
      <c r="I180" s="4">
        <f>IFERROR(IF(NOT(H180=""),ABS(ROUNDDOWN(F180-H180, 3 - (1+INT(LOG10(ABS(F180)))))),""),IF(AND(F180=0,NOT(F180="")),ABS(ROUNDDOWN(F180-H180,0)),""))</f>
        <v/>
      </c>
      <c r="J180" s="4">
        <f>IF(NOT(I180=""),IF(I180&lt;=G180,"match",IF(I180&lt;3*G180,"partial match","no match")),"")</f>
        <v/>
      </c>
      <c r="K180" t="inlineStr">
        <is>
          <t>cm_info_corr2_2_5D_comb</t>
        </is>
      </c>
    </row>
    <row r="181" ht="15" customHeight="1" s="10">
      <c r="A181" t="inlineStr">
        <is>
          <t>digital phantom</t>
        </is>
      </c>
      <c r="B181" s="11" t="inlineStr">
        <is>
          <t>Co-occurrence matrix (3D, averaged)</t>
        </is>
      </c>
      <c r="C181" t="inlineStr">
        <is>
          <t>Joint maximum</t>
        </is>
      </c>
      <c r="D181" t="inlineStr">
        <is>
          <t>JointMaximum</t>
        </is>
      </c>
      <c r="E181" t="inlineStr">
        <is>
          <t>≥ 10</t>
        </is>
      </c>
      <c r="F181" t="n">
        <v>0.503</v>
      </c>
      <c r="G181" t="n">
        <v>0</v>
      </c>
      <c r="H181" s="4" t="n">
        <v>0.5028</v>
      </c>
      <c r="I181" s="4">
        <f>IFERROR(IF(NOT(H181=""),ABS(ROUNDDOWN(F181-H181, 3 - (1+INT(LOG10(ABS(F181)))))),""),IF(AND(F181=0,NOT(F181="")),ABS(ROUNDDOWN(F181-H181,0)),""))</f>
        <v/>
      </c>
      <c r="J181" s="4">
        <f>IF(NOT(I181=""),IF(I181&lt;=G181,"match",IF(I181&lt;3*G181,"partial match","no match")),"")</f>
        <v/>
      </c>
      <c r="K181" t="inlineStr">
        <is>
          <t>cm_joint_max_3D_avg</t>
        </is>
      </c>
    </row>
    <row r="182" ht="15" customHeight="1" s="10">
      <c r="A182" t="inlineStr">
        <is>
          <t>digital phantom</t>
        </is>
      </c>
      <c r="B182" t="inlineStr">
        <is>
          <t>Co-occurrence matrix (3D, averaged)</t>
        </is>
      </c>
      <c r="C182" t="inlineStr">
        <is>
          <t>Joint average</t>
        </is>
      </c>
      <c r="D182" t="inlineStr">
        <is>
          <t>JointAverage</t>
        </is>
      </c>
      <c r="E182" t="inlineStr">
        <is>
          <t>≥ 10</t>
        </is>
      </c>
      <c r="F182" t="n">
        <v>2.14</v>
      </c>
      <c r="G182" t="n">
        <v>0</v>
      </c>
      <c r="H182" s="4" t="n">
        <v>2.1429</v>
      </c>
      <c r="I182" s="4">
        <f>IFERROR(IF(NOT(H182=""),ABS(ROUNDDOWN(F182-H182, 3 - (1+INT(LOG10(ABS(F182)))))),""),IF(AND(F182=0,NOT(F182="")),ABS(ROUNDDOWN(F182-H182,0)),""))</f>
        <v/>
      </c>
      <c r="J182" s="4">
        <f>IF(NOT(I182=""),IF(I182&lt;=G182,"match",IF(I182&lt;3*G182,"partial match","no match")),"")</f>
        <v/>
      </c>
      <c r="K182" t="inlineStr">
        <is>
          <t>cm_joint_avg_3D_avg</t>
        </is>
      </c>
    </row>
    <row r="183" ht="15" customHeight="1" s="10">
      <c r="A183" t="inlineStr">
        <is>
          <t>digital phantom</t>
        </is>
      </c>
      <c r="B183" t="inlineStr">
        <is>
          <t>Co-occurrence matrix (3D, averaged)</t>
        </is>
      </c>
      <c r="C183" t="inlineStr">
        <is>
          <t>Joint variance</t>
        </is>
      </c>
      <c r="D183" t="inlineStr">
        <is>
          <t>JointVariance</t>
        </is>
      </c>
      <c r="E183" t="inlineStr">
        <is>
          <t>≥ 10</t>
        </is>
      </c>
      <c r="F183" t="n">
        <v>3.1</v>
      </c>
      <c r="G183" t="n">
        <v>0</v>
      </c>
      <c r="H183" s="4" t="n">
        <v>3.09932</v>
      </c>
      <c r="I183" s="4">
        <f>IFERROR(IF(NOT(H183=""),ABS(ROUNDDOWN(F183-H183, 3 - (1+INT(LOG10(ABS(F183)))))),""),IF(AND(F183=0,NOT(F183="")),ABS(ROUNDDOWN(F183-H183,0)),""))</f>
        <v/>
      </c>
      <c r="J183" s="4">
        <f>IF(NOT(I183=""),IF(I183&lt;=G183,"match",IF(I183&lt;3*G183,"partial match","no match")),"")</f>
        <v/>
      </c>
      <c r="K183" t="inlineStr">
        <is>
          <t>cm_joint_var_3D_avg</t>
        </is>
      </c>
    </row>
    <row r="184" ht="15" customHeight="1" s="10">
      <c r="A184" t="inlineStr">
        <is>
          <t>digital phantom</t>
        </is>
      </c>
      <c r="B184" t="inlineStr">
        <is>
          <t>Co-occurrence matrix (3D, averaged)</t>
        </is>
      </c>
      <c r="C184" t="inlineStr">
        <is>
          <t>Joint entropy</t>
        </is>
      </c>
      <c r="D184" t="inlineStr">
        <is>
          <t>JointEntropy</t>
        </is>
      </c>
      <c r="E184" t="inlineStr">
        <is>
          <t>≥ 10</t>
        </is>
      </c>
      <c r="F184" t="n">
        <v>2.4</v>
      </c>
      <c r="G184" t="n">
        <v>0</v>
      </c>
      <c r="H184" s="4" t="n">
        <v>2.399711</v>
      </c>
      <c r="I184" s="4">
        <f>IFERROR(IF(NOT(H184=""),ABS(ROUNDDOWN(F184-H184, 3 - (1+INT(LOG10(ABS(F184)))))),""),IF(AND(F184=0,NOT(F184="")),ABS(ROUNDDOWN(F184-H184,0)),""))</f>
        <v/>
      </c>
      <c r="J184" s="4">
        <f>IF(NOT(I184=""),IF(I184&lt;=G184,"match",IF(I184&lt;3*G184,"partial match","no match")),"")</f>
        <v/>
      </c>
      <c r="K184" t="inlineStr">
        <is>
          <t>cm_joint_entr_3D_avg</t>
        </is>
      </c>
    </row>
    <row r="185" ht="15" customHeight="1" s="10">
      <c r="A185" t="inlineStr">
        <is>
          <t>digital phantom</t>
        </is>
      </c>
      <c r="B185" t="inlineStr">
        <is>
          <t>Co-occurrence matrix (3D, averaged)</t>
        </is>
      </c>
      <c r="C185" t="inlineStr">
        <is>
          <t>Difference average</t>
        </is>
      </c>
      <c r="D185" t="inlineStr">
        <is>
          <t>DifferenceAverage</t>
        </is>
      </c>
      <c r="E185" t="inlineStr">
        <is>
          <t>≥ 10</t>
        </is>
      </c>
      <c r="F185" t="n">
        <v>1.43</v>
      </c>
      <c r="G185" t="n">
        <v>0</v>
      </c>
      <c r="H185" s="4" t="n">
        <v>1.4309</v>
      </c>
      <c r="I185" s="4">
        <f>IFERROR(IF(NOT(H185=""),ABS(ROUNDDOWN(F185-H185, 3 - (1+INT(LOG10(ABS(F185)))))),""),IF(AND(F185=0,NOT(F185="")),ABS(ROUNDDOWN(F185-H185,0)),""))</f>
        <v/>
      </c>
      <c r="J185" s="4">
        <f>IF(NOT(I185=""),IF(I185&lt;=G185,"match",IF(I185&lt;3*G185,"partial match","no match")),"")</f>
        <v/>
      </c>
      <c r="K185" t="inlineStr">
        <is>
          <t>cm_diff_avg_3D_avg</t>
        </is>
      </c>
    </row>
    <row r="186" ht="15" customHeight="1" s="10">
      <c r="A186" t="inlineStr">
        <is>
          <t>digital phantom</t>
        </is>
      </c>
      <c r="B186" t="inlineStr">
        <is>
          <t>Co-occurrence matrix (3D, averaged)</t>
        </is>
      </c>
      <c r="C186" t="inlineStr">
        <is>
          <t>Difference variance</t>
        </is>
      </c>
      <c r="D186" t="inlineStr">
        <is>
          <t>DifferenceVariance</t>
        </is>
      </c>
      <c r="E186" t="inlineStr">
        <is>
          <t>≥ 10</t>
        </is>
      </c>
      <c r="F186" t="n">
        <v>3.06</v>
      </c>
      <c r="G186" t="n">
        <v>0</v>
      </c>
      <c r="H186" s="4" t="n">
        <v>3.0562</v>
      </c>
      <c r="I186" s="4">
        <f>IFERROR(IF(NOT(H186=""),ABS(ROUNDDOWN(F186-H186, 3 - (1+INT(LOG10(ABS(F186)))))),""),IF(AND(F186=0,NOT(F186="")),ABS(ROUNDDOWN(F186-H186,0)),""))</f>
        <v/>
      </c>
      <c r="J186" s="4">
        <f>IF(NOT(I186=""),IF(I186&lt;=G186,"match",IF(I186&lt;3*G186,"partial match","no match")),"")</f>
        <v/>
      </c>
      <c r="K186" t="inlineStr">
        <is>
          <t>cm_diff_var_3D_avg</t>
        </is>
      </c>
    </row>
    <row r="187" ht="15" customHeight="1" s="10">
      <c r="A187" t="inlineStr">
        <is>
          <t>digital phantom</t>
        </is>
      </c>
      <c r="B187" t="inlineStr">
        <is>
          <t>Co-occurrence matrix (3D, averaged)</t>
        </is>
      </c>
      <c r="C187" t="inlineStr">
        <is>
          <t>Difference entropy</t>
        </is>
      </c>
      <c r="D187" t="inlineStr">
        <is>
          <t>DifferenceEntropy</t>
        </is>
      </c>
      <c r="E187" t="inlineStr">
        <is>
          <t>≥ 10</t>
        </is>
      </c>
      <c r="F187" t="n">
        <v>1.56</v>
      </c>
      <c r="G187" t="n">
        <v>0</v>
      </c>
      <c r="H187" s="4" t="n">
        <v>1.56273327</v>
      </c>
      <c r="I187" s="4">
        <f>IFERROR(IF(NOT(H187=""),ABS(ROUNDDOWN(F187-H187, 3 - (1+INT(LOG10(ABS(F187)))))),""),IF(AND(F187=0,NOT(F187="")),ABS(ROUNDDOWN(F187-H187,0)),""))</f>
        <v/>
      </c>
      <c r="J187" s="4">
        <f>IF(NOT(I187=""),IF(I187&lt;=G187,"match",IF(I187&lt;3*G187,"partial match","no match")),"")</f>
        <v/>
      </c>
      <c r="K187" t="inlineStr">
        <is>
          <t>cm_diff_entr_3D_avg</t>
        </is>
      </c>
    </row>
    <row r="188" ht="15" customHeight="1" s="10">
      <c r="A188" t="inlineStr">
        <is>
          <t>digital phantom</t>
        </is>
      </c>
      <c r="B188" t="inlineStr">
        <is>
          <t>Co-occurrence matrix (3D, averaged)</t>
        </is>
      </c>
      <c r="C188" t="inlineStr">
        <is>
          <t>Sum average</t>
        </is>
      </c>
      <c r="D188" t="inlineStr">
        <is>
          <t>SumAverage</t>
        </is>
      </c>
      <c r="E188" t="inlineStr">
        <is>
          <t>≥ 10</t>
        </is>
      </c>
      <c r="F188" t="n">
        <v>4.29</v>
      </c>
      <c r="G188" t="n">
        <v>0</v>
      </c>
      <c r="H188" s="4" t="n">
        <v>4.28599</v>
      </c>
      <c r="I188" s="4">
        <f>IFERROR(IF(NOT(H188=""),ABS(ROUNDDOWN(F188-H188, 3 - (1+INT(LOG10(ABS(F188)))))),""),IF(AND(F188=0,NOT(F188="")),ABS(ROUNDDOWN(F188-H188,0)),""))</f>
        <v/>
      </c>
      <c r="J188" s="4">
        <f>IF(NOT(I188=""),IF(I188&lt;=G188,"match",IF(I188&lt;3*G188,"partial match","no match")),"")</f>
        <v/>
      </c>
      <c r="K188" t="inlineStr">
        <is>
          <t>cm_sum_avg_3D_avg</t>
        </is>
      </c>
    </row>
    <row r="189" ht="15" customHeight="1" s="10">
      <c r="A189" t="inlineStr">
        <is>
          <t>digital phantom</t>
        </is>
      </c>
      <c r="B189" t="inlineStr">
        <is>
          <t>Co-occurrence matrix (3D, averaged)</t>
        </is>
      </c>
      <c r="C189" t="inlineStr">
        <is>
          <t>Sum variance</t>
        </is>
      </c>
      <c r="D189" t="inlineStr">
        <is>
          <t>SumVariance</t>
        </is>
      </c>
      <c r="E189" t="inlineStr">
        <is>
          <t>≥ 10</t>
        </is>
      </c>
      <c r="F189" t="n">
        <v>7.07</v>
      </c>
      <c r="G189" t="n">
        <v>0</v>
      </c>
      <c r="H189" s="4" t="n">
        <v>7.0728</v>
      </c>
      <c r="I189" s="4">
        <f>IFERROR(IF(NOT(H189=""),ABS(ROUNDDOWN(F189-H189, 3 - (1+INT(LOG10(ABS(F189)))))),""),IF(AND(F189=0,NOT(F189="")),ABS(ROUNDDOWN(F189-H189,0)),""))</f>
        <v/>
      </c>
      <c r="J189" s="4">
        <f>IF(NOT(I189=""),IF(I189&lt;=G189,"match",IF(I189&lt;3*G189,"partial match","no match")),"")</f>
        <v/>
      </c>
      <c r="K189" t="inlineStr">
        <is>
          <t>cm_sum_var_3D_avg</t>
        </is>
      </c>
    </row>
    <row r="190" ht="15" customHeight="1" s="10">
      <c r="A190" t="inlineStr">
        <is>
          <t>digital phantom</t>
        </is>
      </c>
      <c r="B190" t="inlineStr">
        <is>
          <t>Co-occurrence matrix (3D, averaged)</t>
        </is>
      </c>
      <c r="C190" t="inlineStr">
        <is>
          <t>Sum entropy</t>
        </is>
      </c>
      <c r="D190" t="inlineStr">
        <is>
          <t>SumEntropy</t>
        </is>
      </c>
      <c r="E190" t="inlineStr">
        <is>
          <t>≥ 10</t>
        </is>
      </c>
      <c r="F190" t="n">
        <v>1.92</v>
      </c>
      <c r="G190" t="n">
        <v>0</v>
      </c>
      <c r="H190" s="4" t="n">
        <v>1.9226</v>
      </c>
      <c r="I190" s="4">
        <f>IFERROR(IF(NOT(H190=""),ABS(ROUNDDOWN(F190-H190, 3 - (1+INT(LOG10(ABS(F190)))))),""),IF(AND(F190=0,NOT(F190="")),ABS(ROUNDDOWN(F190-H190,0)),""))</f>
        <v/>
      </c>
      <c r="J190" s="4">
        <f>IF(NOT(I190=""),IF(I190&lt;=G190,"match",IF(I190&lt;3*G190,"partial match","no match")),"")</f>
        <v/>
      </c>
      <c r="K190" t="inlineStr">
        <is>
          <t>cm_sum_entr_3D_avg</t>
        </is>
      </c>
    </row>
    <row r="191" ht="15" customHeight="1" s="10">
      <c r="A191" t="inlineStr">
        <is>
          <t>digital phantom</t>
        </is>
      </c>
      <c r="B191" t="inlineStr">
        <is>
          <t>Co-occurrence matrix (3D, averaged)</t>
        </is>
      </c>
      <c r="C191" t="inlineStr">
        <is>
          <t>Angular second moment</t>
        </is>
      </c>
      <c r="D191" t="inlineStr">
        <is>
          <t>AngularSecondMoment</t>
        </is>
      </c>
      <c r="E191" t="inlineStr">
        <is>
          <t>≥ 10</t>
        </is>
      </c>
      <c r="F191" t="n">
        <v>0.303</v>
      </c>
      <c r="G191" t="n">
        <v>0</v>
      </c>
      <c r="H191" s="4" t="n">
        <v>0.30297</v>
      </c>
      <c r="I191" s="4">
        <f>IFERROR(IF(NOT(H191=""),ABS(ROUNDDOWN(F191-H191, 3 - (1+INT(LOG10(ABS(F191)))))),""),IF(AND(F191=0,NOT(F191="")),ABS(ROUNDDOWN(F191-H191,0)),""))</f>
        <v/>
      </c>
      <c r="J191" s="4">
        <f>IF(NOT(I191=""),IF(I191&lt;=G191,"match",IF(I191&lt;3*G191,"partial match","no match")),"")</f>
        <v/>
      </c>
      <c r="K191" t="inlineStr">
        <is>
          <t>cm_energy_3D_avg</t>
        </is>
      </c>
    </row>
    <row r="192" ht="15" customHeight="1" s="10">
      <c r="A192" t="inlineStr">
        <is>
          <t>digital phantom</t>
        </is>
      </c>
      <c r="B192" t="inlineStr">
        <is>
          <t>Co-occurrence matrix (3D, averaged)</t>
        </is>
      </c>
      <c r="C192" t="inlineStr">
        <is>
          <t>Contrast</t>
        </is>
      </c>
      <c r="D192" t="inlineStr">
        <is>
          <t>Contrast</t>
        </is>
      </c>
      <c r="E192" t="inlineStr">
        <is>
          <t>≥ 10</t>
        </is>
      </c>
      <c r="F192" t="n">
        <v>5.32</v>
      </c>
      <c r="G192" t="n">
        <v>0</v>
      </c>
      <c r="H192" s="4" t="n">
        <v>5.3244</v>
      </c>
      <c r="I192" s="4">
        <f>IFERROR(IF(NOT(H192=""),ABS(ROUNDDOWN(F192-H192, 3 - (1+INT(LOG10(ABS(F192)))))),""),IF(AND(F192=0,NOT(F192="")),ABS(ROUNDDOWN(F192-H192,0)),""))</f>
        <v/>
      </c>
      <c r="J192" s="4">
        <f>IF(NOT(I192=""),IF(I192&lt;=G192,"match",IF(I192&lt;3*G192,"partial match","no match")),"")</f>
        <v/>
      </c>
      <c r="K192" t="inlineStr">
        <is>
          <t>cm_contrast_3D_avg</t>
        </is>
      </c>
    </row>
    <row r="193" ht="15" customHeight="1" s="10">
      <c r="A193" t="inlineStr">
        <is>
          <t>digital phantom</t>
        </is>
      </c>
      <c r="B193" t="inlineStr">
        <is>
          <t>Co-occurrence matrix (3D, averaged)</t>
        </is>
      </c>
      <c r="C193" t="inlineStr">
        <is>
          <t>Dissimilarity</t>
        </is>
      </c>
      <c r="D193" t="inlineStr">
        <is>
          <t>Dissimilarity</t>
        </is>
      </c>
      <c r="E193" t="inlineStr">
        <is>
          <t>≥ 10</t>
        </is>
      </c>
      <c r="F193" t="n">
        <v>1.43</v>
      </c>
      <c r="G193" t="n">
        <v>0</v>
      </c>
      <c r="H193" s="4" t="n">
        <v>1.4309</v>
      </c>
      <c r="I193" s="4">
        <f>IFERROR(IF(NOT(H193=""),ABS(ROUNDDOWN(F193-H193, 3 - (1+INT(LOG10(ABS(F193)))))),""),IF(AND(F193=0,NOT(F193="")),ABS(ROUNDDOWN(F193-H193,0)),""))</f>
        <v/>
      </c>
      <c r="J193" s="4">
        <f>IF(NOT(I193=""),IF(I193&lt;=G193,"match",IF(I193&lt;3*G193,"partial match","no match")),"")</f>
        <v/>
      </c>
      <c r="K193" t="inlineStr">
        <is>
          <t>cm_dissimilarity_3D_avg</t>
        </is>
      </c>
    </row>
    <row r="194" ht="15" customHeight="1" s="10">
      <c r="A194" t="inlineStr">
        <is>
          <t>digital phantom</t>
        </is>
      </c>
      <c r="B194" t="inlineStr">
        <is>
          <t>Co-occurrence matrix (3D, averaged)</t>
        </is>
      </c>
      <c r="C194" t="inlineStr">
        <is>
          <t>Inverse difference</t>
        </is>
      </c>
      <c r="D194" t="inlineStr">
        <is>
          <t>InverseDifference</t>
        </is>
      </c>
      <c r="E194" t="inlineStr">
        <is>
          <t>≥ 10</t>
        </is>
      </c>
      <c r="F194" t="n">
        <v>0.677</v>
      </c>
      <c r="G194" t="n">
        <v>0</v>
      </c>
      <c r="H194" s="4" t="n">
        <v>0.6766</v>
      </c>
      <c r="I194" s="4">
        <f>IFERROR(IF(NOT(H194=""),ABS(ROUNDDOWN(F194-H194, 3 - (1+INT(LOG10(ABS(F194)))))),""),IF(AND(F194=0,NOT(F194="")),ABS(ROUNDDOWN(F194-H194,0)),""))</f>
        <v/>
      </c>
      <c r="J194" s="4">
        <f>IF(NOT(I194=""),IF(I194&lt;=G194,"match",IF(I194&lt;3*G194,"partial match","no match")),"")</f>
        <v/>
      </c>
      <c r="K194" t="inlineStr">
        <is>
          <t>cm_inv_diff_3D_avg</t>
        </is>
      </c>
    </row>
    <row r="195" ht="15" customHeight="1" s="10">
      <c r="A195" t="inlineStr">
        <is>
          <t>digital phantom</t>
        </is>
      </c>
      <c r="B195" t="inlineStr">
        <is>
          <t>Co-occurrence matrix (3D, averaged)</t>
        </is>
      </c>
      <c r="C195" t="inlineStr">
        <is>
          <t>Inverse difference normalised</t>
        </is>
      </c>
      <c r="D195" t="inlineStr">
        <is>
          <t>NormalizedInverseDifference</t>
        </is>
      </c>
      <c r="E195" t="inlineStr">
        <is>
          <t>≥ 10</t>
        </is>
      </c>
      <c r="F195" t="n">
        <v>0.851</v>
      </c>
      <c r="G195" t="n">
        <v>0</v>
      </c>
      <c r="H195" s="4" t="n">
        <v>0.85067</v>
      </c>
      <c r="I195" s="4">
        <f>IFERROR(IF(NOT(H195=""),ABS(ROUNDDOWN(F195-H195, 3 - (1+INT(LOG10(ABS(F195)))))),""),IF(AND(F195=0,NOT(F195="")),ABS(ROUNDDOWN(F195-H195,0)),""))</f>
        <v/>
      </c>
      <c r="J195" s="4">
        <f>IF(NOT(I195=""),IF(I195&lt;=G195,"match",IF(I195&lt;3*G195,"partial match","no match")),"")</f>
        <v/>
      </c>
      <c r="K195" t="inlineStr">
        <is>
          <t>cm_inv_diff_norm_3D_avg</t>
        </is>
      </c>
    </row>
    <row r="196" ht="15" customHeight="1" s="10">
      <c r="A196" t="inlineStr">
        <is>
          <t>digital phantom</t>
        </is>
      </c>
      <c r="B196" t="inlineStr">
        <is>
          <t>Co-occurrence matrix (3D, averaged)</t>
        </is>
      </c>
      <c r="C196" t="inlineStr">
        <is>
          <t>Inverse difference moment</t>
        </is>
      </c>
      <c r="D196" t="inlineStr">
        <is>
          <t>InverseDifferenceMoment</t>
        </is>
      </c>
      <c r="E196" t="inlineStr">
        <is>
          <t>≥ 10</t>
        </is>
      </c>
      <c r="F196" t="n">
        <v>0.618</v>
      </c>
      <c r="G196" t="n">
        <v>0</v>
      </c>
      <c r="H196" s="4" t="n">
        <v>0.61773</v>
      </c>
      <c r="I196" s="4">
        <f>IFERROR(IF(NOT(H196=""),ABS(ROUNDDOWN(F196-H196, 3 - (1+INT(LOG10(ABS(F196)))))),""),IF(AND(F196=0,NOT(F196="")),ABS(ROUNDDOWN(F196-H196,0)),""))</f>
        <v/>
      </c>
      <c r="J196" s="4">
        <f>IF(NOT(I196=""),IF(I196&lt;=G196,"match",IF(I196&lt;3*G196,"partial match","no match")),"")</f>
        <v/>
      </c>
      <c r="K196" t="inlineStr">
        <is>
          <t>cm_inv_diff_mom_3D_avg</t>
        </is>
      </c>
    </row>
    <row r="197" ht="15" customHeight="1" s="10">
      <c r="A197" t="inlineStr">
        <is>
          <t>digital phantom</t>
        </is>
      </c>
      <c r="B197" t="inlineStr">
        <is>
          <t>Co-occurrence matrix (3D, averaged)</t>
        </is>
      </c>
      <c r="C197" t="inlineStr">
        <is>
          <t>Inverse difference moment normalised</t>
        </is>
      </c>
      <c r="D197" t="inlineStr">
        <is>
          <t>NormalizedInverseDifferenceMoment</t>
        </is>
      </c>
      <c r="E197" t="inlineStr">
        <is>
          <t>≥ 10</t>
        </is>
      </c>
      <c r="F197" t="n">
        <v>0.898</v>
      </c>
      <c r="G197" t="n">
        <v>0</v>
      </c>
      <c r="H197" s="4" t="n">
        <v>0.89844</v>
      </c>
      <c r="I197" s="4">
        <f>IFERROR(IF(NOT(H197=""),ABS(ROUNDDOWN(F197-H197, 3 - (1+INT(LOG10(ABS(F197)))))),""),IF(AND(F197=0,NOT(F197="")),ABS(ROUNDDOWN(F197-H197,0)),""))</f>
        <v/>
      </c>
      <c r="J197" s="4">
        <f>IF(NOT(I197=""),IF(I197&lt;=G197,"match",IF(I197&lt;3*G197,"partial match","no match")),"")</f>
        <v/>
      </c>
      <c r="K197" t="inlineStr">
        <is>
          <t>cm_inv_diff_mom_norm_3D_avg</t>
        </is>
      </c>
    </row>
    <row r="198" ht="15" customHeight="1" s="10">
      <c r="A198" t="inlineStr">
        <is>
          <t>digital phantom</t>
        </is>
      </c>
      <c r="B198" t="inlineStr">
        <is>
          <t>Co-occurrence matrix (3D, averaged)</t>
        </is>
      </c>
      <c r="C198" t="inlineStr">
        <is>
          <t>Inverse variance</t>
        </is>
      </c>
      <c r="D198" t="inlineStr">
        <is>
          <t>InverseVariance</t>
        </is>
      </c>
      <c r="E198" t="inlineStr">
        <is>
          <t>≥ 10</t>
        </is>
      </c>
      <c r="F198" t="n">
        <v>0.0604</v>
      </c>
      <c r="G198" t="n">
        <v>0</v>
      </c>
      <c r="H198" s="4" t="n">
        <v>0.06041</v>
      </c>
      <c r="I198" s="4">
        <f>IFERROR(IF(NOT(H198=""),ABS(ROUNDDOWN(F198-H198, 3 - (1+INT(LOG10(ABS(F198)))))),""),IF(AND(F198=0,NOT(F198="")),ABS(ROUNDDOWN(F198-H198,0)),""))</f>
        <v/>
      </c>
      <c r="J198" s="4">
        <f>IF(NOT(I198=""),IF(I198&lt;=G198,"match",IF(I198&lt;3*G198,"partial match","no match")),"")</f>
        <v/>
      </c>
      <c r="K198" t="inlineStr">
        <is>
          <t>cm_inv_var_3D_avg</t>
        </is>
      </c>
    </row>
    <row r="199" ht="15" customHeight="1" s="10">
      <c r="A199" t="inlineStr">
        <is>
          <t>digital phantom</t>
        </is>
      </c>
      <c r="B199" t="inlineStr">
        <is>
          <t>Co-occurrence matrix (3D, averaged)</t>
        </is>
      </c>
      <c r="C199" t="inlineStr">
        <is>
          <t>Correlation</t>
        </is>
      </c>
      <c r="D199" t="inlineStr">
        <is>
          <t>Correlation</t>
        </is>
      </c>
      <c r="E199" t="inlineStr">
        <is>
          <t>≥ 10</t>
        </is>
      </c>
      <c r="F199" t="n">
        <v>0.157</v>
      </c>
      <c r="G199" t="n">
        <v>0</v>
      </c>
      <c r="H199" s="4" t="n">
        <v>0.15735</v>
      </c>
      <c r="I199" s="4">
        <f>IFERROR(IF(NOT(H199=""),ABS(ROUNDDOWN(F199-H199, 3 - (1+INT(LOG10(ABS(F199)))))),""),IF(AND(F199=0,NOT(F199="")),ABS(ROUNDDOWN(F199-H199,0)),""))</f>
        <v/>
      </c>
      <c r="J199" s="4">
        <f>IF(NOT(I199=""),IF(I199&lt;=G199,"match",IF(I199&lt;3*G199,"partial match","no match")),"")</f>
        <v/>
      </c>
      <c r="K199" t="inlineStr">
        <is>
          <t>cm_corr_3D_avg</t>
        </is>
      </c>
    </row>
    <row r="200" ht="15" customHeight="1" s="10">
      <c r="A200" t="inlineStr">
        <is>
          <t>digital phantom</t>
        </is>
      </c>
      <c r="B200" t="inlineStr">
        <is>
          <t>Co-occurrence matrix (3D, averaged)</t>
        </is>
      </c>
      <c r="C200" t="inlineStr">
        <is>
          <t>Autocorrelation</t>
        </is>
      </c>
      <c r="D200" t="inlineStr">
        <is>
          <t>Autocorrection</t>
        </is>
      </c>
      <c r="E200" t="inlineStr">
        <is>
          <t>≥ 10</t>
        </is>
      </c>
      <c r="F200" t="n">
        <v>5.06</v>
      </c>
      <c r="G200" t="n">
        <v>0</v>
      </c>
      <c r="H200" s="4" t="n">
        <v>5.0554</v>
      </c>
      <c r="I200" s="4">
        <f>IFERROR(IF(NOT(H200=""),ABS(ROUNDDOWN(F200-H200, 3 - (1+INT(LOG10(ABS(F200)))))),""),IF(AND(F200=0,NOT(F200="")),ABS(ROUNDDOWN(F200-H200,0)),""))</f>
        <v/>
      </c>
      <c r="J200" s="4">
        <f>IF(NOT(I200=""),IF(I200&lt;=G200,"match",IF(I200&lt;3*G200,"partial match","no match")),"")</f>
        <v/>
      </c>
      <c r="K200" t="inlineStr">
        <is>
          <t>cm_auto_corr_3D_avg</t>
        </is>
      </c>
    </row>
    <row r="201" ht="15" customHeight="1" s="10">
      <c r="A201" t="inlineStr">
        <is>
          <t>digital phantom</t>
        </is>
      </c>
      <c r="B201" t="inlineStr">
        <is>
          <t>Co-occurrence matrix (3D, averaged)</t>
        </is>
      </c>
      <c r="C201" t="inlineStr">
        <is>
          <t>Cluster tendency</t>
        </is>
      </c>
      <c r="D201" t="inlineStr">
        <is>
          <t>ClusterTendency</t>
        </is>
      </c>
      <c r="E201" t="inlineStr">
        <is>
          <t>≥ 10</t>
        </is>
      </c>
      <c r="F201" t="n">
        <v>7.07</v>
      </c>
      <c r="G201" t="n">
        <v>0</v>
      </c>
      <c r="H201" s="4" t="n">
        <v>7.0728</v>
      </c>
      <c r="I201" s="4">
        <f>IFERROR(IF(NOT(H201=""),ABS(ROUNDDOWN(F201-H201, 3 - (1+INT(LOG10(ABS(F201)))))),""),IF(AND(F201=0,NOT(F201="")),ABS(ROUNDDOWN(F201-H201,0)),""))</f>
        <v/>
      </c>
      <c r="J201" s="4">
        <f>IF(NOT(I201=""),IF(I201&lt;=G201,"match",IF(I201&lt;3*G201,"partial match","no match")),"")</f>
        <v/>
      </c>
      <c r="K201" t="inlineStr">
        <is>
          <t>cm_clust_tend_3D_avg</t>
        </is>
      </c>
    </row>
    <row r="202" ht="15" customHeight="1" s="10">
      <c r="A202" t="inlineStr">
        <is>
          <t>digital phantom</t>
        </is>
      </c>
      <c r="B202" t="inlineStr">
        <is>
          <t>Co-occurrence matrix (3D, averaged)</t>
        </is>
      </c>
      <c r="C202" t="inlineStr">
        <is>
          <t>Cluster shade</t>
        </is>
      </c>
      <c r="D202" t="inlineStr">
        <is>
          <t>ClusterShade</t>
        </is>
      </c>
      <c r="E202" t="inlineStr">
        <is>
          <t>≥ 10</t>
        </is>
      </c>
      <c r="F202" t="n">
        <v>16.6</v>
      </c>
      <c r="G202" t="n">
        <v>0</v>
      </c>
      <c r="H202" s="4" t="n">
        <v>16.644</v>
      </c>
      <c r="I202" s="4">
        <f>IFERROR(IF(NOT(H202=""),ABS(ROUNDDOWN(F202-H202, 3 - (1+INT(LOG10(ABS(F202)))))),""),IF(AND(F202=0,NOT(F202="")),ABS(ROUNDDOWN(F202-H202,0)),""))</f>
        <v/>
      </c>
      <c r="J202" s="4">
        <f>IF(NOT(I202=""),IF(I202&lt;=G202,"match",IF(I202&lt;3*G202,"partial match","no match")),"")</f>
        <v/>
      </c>
      <c r="K202" t="inlineStr">
        <is>
          <t>cm_clust_shade_3D_avg</t>
        </is>
      </c>
    </row>
    <row r="203" ht="15" customHeight="1" s="10">
      <c r="A203" t="inlineStr">
        <is>
          <t>digital phantom</t>
        </is>
      </c>
      <c r="B203" t="inlineStr">
        <is>
          <t>Co-occurrence matrix (3D, averaged)</t>
        </is>
      </c>
      <c r="C203" t="inlineStr">
        <is>
          <t>Cluster prominence</t>
        </is>
      </c>
      <c r="D203" t="inlineStr">
        <is>
          <t>ClusterProminence</t>
        </is>
      </c>
      <c r="E203" t="inlineStr">
        <is>
          <t>≥ 10</t>
        </is>
      </c>
      <c r="F203" t="n">
        <v>145</v>
      </c>
      <c r="G203" t="n">
        <v>0</v>
      </c>
      <c r="H203" s="4" t="n">
        <v>144.7033</v>
      </c>
      <c r="I203" s="4">
        <f>IFERROR(IF(NOT(H203=""),ABS(ROUNDDOWN(F203-H203, 3 - (1+INT(LOG10(ABS(F203)))))),""),IF(AND(F203=0,NOT(F203="")),ABS(ROUNDDOWN(F203-H203,0)),""))</f>
        <v/>
      </c>
      <c r="J203" s="4">
        <f>IF(NOT(I203=""),IF(I203&lt;=G203,"match",IF(I203&lt;3*G203,"partial match","no match")),"")</f>
        <v/>
      </c>
      <c r="K203" t="inlineStr">
        <is>
          <t>cm_clust_prom_3D_avg</t>
        </is>
      </c>
    </row>
    <row r="204" ht="15" customHeight="1" s="10">
      <c r="A204" t="inlineStr">
        <is>
          <t>digital phantom</t>
        </is>
      </c>
      <c r="B204" t="inlineStr">
        <is>
          <t>Co-occurrence matrix (3D, averaged)</t>
        </is>
      </c>
      <c r="C204" t="inlineStr">
        <is>
          <t>Information correlation 1</t>
        </is>
      </c>
      <c r="D204" t="inlineStr">
        <is>
          <t>InformationalMeasureOfCorrelation1</t>
        </is>
      </c>
      <c r="E204" t="inlineStr">
        <is>
          <t>≥ 10</t>
        </is>
      </c>
      <c r="F204" t="n">
        <v>-0.157</v>
      </c>
      <c r="G204" t="n">
        <v>0</v>
      </c>
      <c r="H204" s="4" t="n">
        <v>-0.1568</v>
      </c>
      <c r="I204" s="4">
        <f>IFERROR(IF(NOT(H204=""),ABS(ROUNDDOWN(F204-H204, 3 - (1+INT(LOG10(ABS(F204)))))),""),IF(AND(F204=0,NOT(F204="")),ABS(ROUNDDOWN(F204-H204,0)),""))</f>
        <v/>
      </c>
      <c r="J204" s="4">
        <f>IF(NOT(I204=""),IF(I204&lt;=G204,"match",IF(I204&lt;3*G204,"partial match","no match")),"")</f>
        <v/>
      </c>
      <c r="K204" t="inlineStr">
        <is>
          <t>cm_info_corr1_3D_avg</t>
        </is>
      </c>
    </row>
    <row r="205" ht="15" customHeight="1" s="10">
      <c r="A205" t="inlineStr">
        <is>
          <t>digital phantom</t>
        </is>
      </c>
      <c r="B205" t="inlineStr">
        <is>
          <t>Co-occurrence matrix (3D, averaged)</t>
        </is>
      </c>
      <c r="C205" t="inlineStr">
        <is>
          <t>Information correlation 2</t>
        </is>
      </c>
      <c r="D205" t="inlineStr">
        <is>
          <t>InformationalMeasureOfCorrelation2</t>
        </is>
      </c>
      <c r="E205" t="inlineStr">
        <is>
          <t>≥ 10</t>
        </is>
      </c>
      <c r="F205" t="n">
        <v>0.52</v>
      </c>
      <c r="G205" t="n">
        <v>0</v>
      </c>
      <c r="H205" s="4" t="n">
        <v>0.51958</v>
      </c>
      <c r="I205" s="4">
        <f>IFERROR(IF(NOT(H205=""),ABS(ROUNDDOWN(F205-H205, 3 - (1+INT(LOG10(ABS(F205)))))),""),IF(AND(F205=0,NOT(F205="")),ABS(ROUNDDOWN(F205-H205,0)),""))</f>
        <v/>
      </c>
      <c r="J205" s="4">
        <f>IF(NOT(I205=""),IF(I205&lt;=G205,"match",IF(I205&lt;3*G205,"partial match","no match")),"")</f>
        <v/>
      </c>
      <c r="K205" t="inlineStr">
        <is>
          <t>cm_info_corr2_3D_avg</t>
        </is>
      </c>
    </row>
    <row r="206" ht="15" customHeight="1" s="10">
      <c r="A206" t="inlineStr">
        <is>
          <t>digital phantom</t>
        </is>
      </c>
      <c r="B206" t="inlineStr">
        <is>
          <t>Co-occurrence matrix (3D, merged)</t>
        </is>
      </c>
      <c r="C206" t="inlineStr">
        <is>
          <t>Joint maximum</t>
        </is>
      </c>
      <c r="E206" t="inlineStr">
        <is>
          <t>≥ 10</t>
        </is>
      </c>
      <c r="F206" t="n">
        <v>0.509</v>
      </c>
      <c r="G206" t="n">
        <v>0</v>
      </c>
      <c r="H206" s="4" t="n"/>
      <c r="I206" s="4">
        <f>IFERROR(IF(NOT(H206=""),ABS(ROUNDDOWN(F206-H206, 3 - (1+INT(LOG10(ABS(F206)))))),""),IF(AND(F206=0,NOT(F206="")),ABS(ROUNDDOWN(F206-H206,0)),""))</f>
        <v/>
      </c>
      <c r="J206" s="4">
        <f>IF(NOT(I206=""),IF(I206&lt;=G206,"match",IF(I206&lt;3*G206,"partial match","no match")),"")</f>
        <v/>
      </c>
      <c r="K206" t="inlineStr">
        <is>
          <t>cm_joint_max_3D_comb</t>
        </is>
      </c>
    </row>
    <row r="207" ht="15" customHeight="1" s="10">
      <c r="A207" t="inlineStr">
        <is>
          <t>digital phantom</t>
        </is>
      </c>
      <c r="B207" t="inlineStr">
        <is>
          <t>Co-occurrence matrix (3D, merged)</t>
        </is>
      </c>
      <c r="C207" t="inlineStr">
        <is>
          <t>Joint average</t>
        </is>
      </c>
      <c r="E207" t="inlineStr">
        <is>
          <t>≥ 10</t>
        </is>
      </c>
      <c r="F207" t="n">
        <v>2.15</v>
      </c>
      <c r="G207" t="n">
        <v>0</v>
      </c>
      <c r="H207" s="4" t="n"/>
      <c r="I207" s="4">
        <f>IFERROR(IF(NOT(H207=""),ABS(ROUNDDOWN(F207-H207, 3 - (1+INT(LOG10(ABS(F207)))))),""),IF(AND(F207=0,NOT(F207="")),ABS(ROUNDDOWN(F207-H207,0)),""))</f>
        <v/>
      </c>
      <c r="J207" s="4">
        <f>IF(NOT(I207=""),IF(I207&lt;=G207,"match",IF(I207&lt;3*G207,"partial match","no match")),"")</f>
        <v/>
      </c>
      <c r="K207" t="inlineStr">
        <is>
          <t>cm_joint_avg_3D_comb</t>
        </is>
      </c>
    </row>
    <row r="208" ht="15" customHeight="1" s="10">
      <c r="A208" t="inlineStr">
        <is>
          <t>digital phantom</t>
        </is>
      </c>
      <c r="B208" t="inlineStr">
        <is>
          <t>Co-occurrence matrix (3D, merged)</t>
        </is>
      </c>
      <c r="C208" t="inlineStr">
        <is>
          <t>Joint variance</t>
        </is>
      </c>
      <c r="E208" t="inlineStr">
        <is>
          <t>≥ 10</t>
        </is>
      </c>
      <c r="F208" t="n">
        <v>3.13</v>
      </c>
      <c r="G208" t="n">
        <v>0</v>
      </c>
      <c r="H208" s="4" t="n"/>
      <c r="I208" s="4">
        <f>IFERROR(IF(NOT(H208=""),ABS(ROUNDDOWN(F208-H208, 3 - (1+INT(LOG10(ABS(F208)))))),""),IF(AND(F208=0,NOT(F208="")),ABS(ROUNDDOWN(F208-H208,0)),""))</f>
        <v/>
      </c>
      <c r="J208" s="4">
        <f>IF(NOT(I208=""),IF(I208&lt;=G208,"match",IF(I208&lt;3*G208,"partial match","no match")),"")</f>
        <v/>
      </c>
      <c r="K208" t="inlineStr">
        <is>
          <t>cm_joint_var_3D_comb</t>
        </is>
      </c>
    </row>
    <row r="209" ht="15" customHeight="1" s="10">
      <c r="A209" t="inlineStr">
        <is>
          <t>digital phantom</t>
        </is>
      </c>
      <c r="B209" t="inlineStr">
        <is>
          <t>Co-occurrence matrix (3D, merged)</t>
        </is>
      </c>
      <c r="C209" t="inlineStr">
        <is>
          <t>Joint entropy</t>
        </is>
      </c>
      <c r="E209" t="inlineStr">
        <is>
          <t>≥ 10</t>
        </is>
      </c>
      <c r="F209" t="n">
        <v>2.57</v>
      </c>
      <c r="G209" t="n">
        <v>0</v>
      </c>
      <c r="H209" s="4" t="n"/>
      <c r="I209" s="4">
        <f>IFERROR(IF(NOT(H209=""),ABS(ROUNDDOWN(F209-H209, 3 - (1+INT(LOG10(ABS(F209)))))),""),IF(AND(F209=0,NOT(F209="")),ABS(ROUNDDOWN(F209-H209,0)),""))</f>
        <v/>
      </c>
      <c r="J209" s="4">
        <f>IF(NOT(I209=""),IF(I209&lt;=G209,"match",IF(I209&lt;3*G209,"partial match","no match")),"")</f>
        <v/>
      </c>
      <c r="K209" t="inlineStr">
        <is>
          <t>cm_joint_entr_3D_comb</t>
        </is>
      </c>
    </row>
    <row r="210" ht="15" customHeight="1" s="10">
      <c r="A210" t="inlineStr">
        <is>
          <t>digital phantom</t>
        </is>
      </c>
      <c r="B210" t="inlineStr">
        <is>
          <t>Co-occurrence matrix (3D, merged)</t>
        </is>
      </c>
      <c r="C210" t="inlineStr">
        <is>
          <t>Difference average</t>
        </is>
      </c>
      <c r="E210" t="inlineStr">
        <is>
          <t>≥ 10</t>
        </is>
      </c>
      <c r="F210" t="n">
        <v>1.38</v>
      </c>
      <c r="G210" t="n">
        <v>0</v>
      </c>
      <c r="H210" s="4" t="n"/>
      <c r="I210" s="4">
        <f>IFERROR(IF(NOT(H210=""),ABS(ROUNDDOWN(F210-H210, 3 - (1+INT(LOG10(ABS(F210)))))),""),IF(AND(F210=0,NOT(F210="")),ABS(ROUNDDOWN(F210-H210,0)),""))</f>
        <v/>
      </c>
      <c r="J210" s="4">
        <f>IF(NOT(I210=""),IF(I210&lt;=G210,"match",IF(I210&lt;3*G210,"partial match","no match")),"")</f>
        <v/>
      </c>
      <c r="K210" t="inlineStr">
        <is>
          <t>cm_diff_avg_3D_comb</t>
        </is>
      </c>
    </row>
    <row r="211" ht="15" customHeight="1" s="10">
      <c r="A211" t="inlineStr">
        <is>
          <t>digital phantom</t>
        </is>
      </c>
      <c r="B211" t="inlineStr">
        <is>
          <t>Co-occurrence matrix (3D, merged)</t>
        </is>
      </c>
      <c r="C211" t="inlineStr">
        <is>
          <t>Difference variance</t>
        </is>
      </c>
      <c r="E211" t="inlineStr">
        <is>
          <t>≥ 10</t>
        </is>
      </c>
      <c r="F211" t="n">
        <v>3.21</v>
      </c>
      <c r="G211" t="n">
        <v>0</v>
      </c>
      <c r="H211" s="4" t="n"/>
      <c r="I211" s="4">
        <f>IFERROR(IF(NOT(H211=""),ABS(ROUNDDOWN(F211-H211, 3 - (1+INT(LOG10(ABS(F211)))))),""),IF(AND(F211=0,NOT(F211="")),ABS(ROUNDDOWN(F211-H211,0)),""))</f>
        <v/>
      </c>
      <c r="J211" s="4">
        <f>IF(NOT(I211=""),IF(I211&lt;=G211,"match",IF(I211&lt;3*G211,"partial match","no match")),"")</f>
        <v/>
      </c>
      <c r="K211" t="inlineStr">
        <is>
          <t>cm_diff_var_3D_comb</t>
        </is>
      </c>
    </row>
    <row r="212" ht="15" customHeight="1" s="10">
      <c r="A212" t="inlineStr">
        <is>
          <t>digital phantom</t>
        </is>
      </c>
      <c r="B212" t="inlineStr">
        <is>
          <t>Co-occurrence matrix (3D, merged)</t>
        </is>
      </c>
      <c r="C212" t="inlineStr">
        <is>
          <t>Difference entropy</t>
        </is>
      </c>
      <c r="E212" t="inlineStr">
        <is>
          <t>≥ 10</t>
        </is>
      </c>
      <c r="F212" t="n">
        <v>1.64</v>
      </c>
      <c r="G212" t="n">
        <v>0</v>
      </c>
      <c r="H212" s="4" t="n"/>
      <c r="I212" s="4">
        <f>IFERROR(IF(NOT(H212=""),ABS(ROUNDDOWN(F212-H212, 3 - (1+INT(LOG10(ABS(F212)))))),""),IF(AND(F212=0,NOT(F212="")),ABS(ROUNDDOWN(F212-H212,0)),""))</f>
        <v/>
      </c>
      <c r="J212" s="4">
        <f>IF(NOT(I212=""),IF(I212&lt;=G212,"match",IF(I212&lt;3*G212,"partial match","no match")),"")</f>
        <v/>
      </c>
      <c r="K212" t="inlineStr">
        <is>
          <t>cm_diff_entr_3D_comb</t>
        </is>
      </c>
    </row>
    <row r="213" ht="15" customHeight="1" s="10">
      <c r="A213" t="inlineStr">
        <is>
          <t>digital phantom</t>
        </is>
      </c>
      <c r="B213" t="inlineStr">
        <is>
          <t>Co-occurrence matrix (3D, merged)</t>
        </is>
      </c>
      <c r="C213" t="inlineStr">
        <is>
          <t>Sum average</t>
        </is>
      </c>
      <c r="E213" t="inlineStr">
        <is>
          <t>≥ 10</t>
        </is>
      </c>
      <c r="F213" t="n">
        <v>4.3</v>
      </c>
      <c r="G213" t="n">
        <v>0</v>
      </c>
      <c r="H213" s="4" t="n"/>
      <c r="I213" s="4">
        <f>IFERROR(IF(NOT(H213=""),ABS(ROUNDDOWN(F213-H213, 3 - (1+INT(LOG10(ABS(F213)))))),""),IF(AND(F213=0,NOT(F213="")),ABS(ROUNDDOWN(F213-H213,0)),""))</f>
        <v/>
      </c>
      <c r="J213" s="4">
        <f>IF(NOT(I213=""),IF(I213&lt;=G213,"match",IF(I213&lt;3*G213,"partial match","no match")),"")</f>
        <v/>
      </c>
      <c r="K213" t="inlineStr">
        <is>
          <t>cm_sum_avg_3D_comb</t>
        </is>
      </c>
    </row>
    <row r="214" ht="15" customHeight="1" s="10">
      <c r="A214" t="inlineStr">
        <is>
          <t>digital phantom</t>
        </is>
      </c>
      <c r="B214" t="inlineStr">
        <is>
          <t>Co-occurrence matrix (3D, merged)</t>
        </is>
      </c>
      <c r="C214" t="inlineStr">
        <is>
          <t>Sum variance</t>
        </is>
      </c>
      <c r="E214" t="inlineStr">
        <is>
          <t>≥ 10</t>
        </is>
      </c>
      <c r="F214" t="n">
        <v>7.41</v>
      </c>
      <c r="G214" t="n">
        <v>0</v>
      </c>
      <c r="H214" s="4" t="n"/>
      <c r="I214" s="4">
        <f>IFERROR(IF(NOT(H214=""),ABS(ROUNDDOWN(F214-H214, 3 - (1+INT(LOG10(ABS(F214)))))),""),IF(AND(F214=0,NOT(F214="")),ABS(ROUNDDOWN(F214-H214,0)),""))</f>
        <v/>
      </c>
      <c r="J214" s="4">
        <f>IF(NOT(I214=""),IF(I214&lt;=G214,"match",IF(I214&lt;3*G214,"partial match","no match")),"")</f>
        <v/>
      </c>
      <c r="K214" t="inlineStr">
        <is>
          <t>cm_sum_var_3D_comb</t>
        </is>
      </c>
    </row>
    <row r="215" ht="15" customHeight="1" s="10">
      <c r="A215" t="inlineStr">
        <is>
          <t>digital phantom</t>
        </is>
      </c>
      <c r="B215" t="inlineStr">
        <is>
          <t>Co-occurrence matrix (3D, merged)</t>
        </is>
      </c>
      <c r="C215" t="inlineStr">
        <is>
          <t>Sum entropy</t>
        </is>
      </c>
      <c r="E215" t="inlineStr">
        <is>
          <t>≥ 10</t>
        </is>
      </c>
      <c r="F215" t="n">
        <v>2.11</v>
      </c>
      <c r="G215" t="n">
        <v>0</v>
      </c>
      <c r="H215" s="4" t="n"/>
      <c r="I215" s="4">
        <f>IFERROR(IF(NOT(H215=""),ABS(ROUNDDOWN(F215-H215, 3 - (1+INT(LOG10(ABS(F215)))))),""),IF(AND(F215=0,NOT(F215="")),ABS(ROUNDDOWN(F215-H215,0)),""))</f>
        <v/>
      </c>
      <c r="J215" s="4">
        <f>IF(NOT(I215=""),IF(I215&lt;=G215,"match",IF(I215&lt;3*G215,"partial match","no match")),"")</f>
        <v/>
      </c>
      <c r="K215" t="inlineStr">
        <is>
          <t>cm_sum_entr_3D_comb</t>
        </is>
      </c>
    </row>
    <row r="216" ht="15" customHeight="1" s="10">
      <c r="A216" t="inlineStr">
        <is>
          <t>digital phantom</t>
        </is>
      </c>
      <c r="B216" t="inlineStr">
        <is>
          <t>Co-occurrence matrix (3D, merged)</t>
        </is>
      </c>
      <c r="C216" t="inlineStr">
        <is>
          <t>Angular second moment</t>
        </is>
      </c>
      <c r="E216" t="inlineStr">
        <is>
          <t>≥ 10</t>
        </is>
      </c>
      <c r="F216" t="n">
        <v>0.291</v>
      </c>
      <c r="G216" t="n">
        <v>0</v>
      </c>
      <c r="H216" s="4" t="n"/>
      <c r="I216" s="4">
        <f>IFERROR(IF(NOT(H216=""),ABS(ROUNDDOWN(F216-H216, 3 - (1+INT(LOG10(ABS(F216)))))),""),IF(AND(F216=0,NOT(F216="")),ABS(ROUNDDOWN(F216-H216,0)),""))</f>
        <v/>
      </c>
      <c r="J216" s="4">
        <f>IF(NOT(I216=""),IF(I216&lt;=G216,"match",IF(I216&lt;3*G216,"partial match","no match")),"")</f>
        <v/>
      </c>
      <c r="K216" t="inlineStr">
        <is>
          <t>cm_energy_3D_comb</t>
        </is>
      </c>
    </row>
    <row r="217" ht="15" customHeight="1" s="10">
      <c r="A217" t="inlineStr">
        <is>
          <t>digital phantom</t>
        </is>
      </c>
      <c r="B217" t="inlineStr">
        <is>
          <t>Co-occurrence matrix (3D, merged)</t>
        </is>
      </c>
      <c r="C217" t="inlineStr">
        <is>
          <t>Contrast</t>
        </is>
      </c>
      <c r="E217" t="inlineStr">
        <is>
          <t>≥ 10</t>
        </is>
      </c>
      <c r="F217" t="n">
        <v>5.12</v>
      </c>
      <c r="G217" t="n">
        <v>0</v>
      </c>
      <c r="H217" s="4" t="n"/>
      <c r="I217" s="4">
        <f>IFERROR(IF(NOT(H217=""),ABS(ROUNDDOWN(F217-H217, 3 - (1+INT(LOG10(ABS(F217)))))),""),IF(AND(F217=0,NOT(F217="")),ABS(ROUNDDOWN(F217-H217,0)),""))</f>
        <v/>
      </c>
      <c r="J217" s="4">
        <f>IF(NOT(I217=""),IF(I217&lt;=G217,"match",IF(I217&lt;3*G217,"partial match","no match")),"")</f>
        <v/>
      </c>
      <c r="K217" t="inlineStr">
        <is>
          <t>cm_contrast_3D_comb</t>
        </is>
      </c>
    </row>
    <row r="218" ht="15" customHeight="1" s="10">
      <c r="A218" t="inlineStr">
        <is>
          <t>digital phantom</t>
        </is>
      </c>
      <c r="B218" t="inlineStr">
        <is>
          <t>Co-occurrence matrix (3D, merged)</t>
        </is>
      </c>
      <c r="C218" t="inlineStr">
        <is>
          <t>Dissimilarity</t>
        </is>
      </c>
      <c r="E218" t="inlineStr">
        <is>
          <t>≥ 10</t>
        </is>
      </c>
      <c r="F218" t="n">
        <v>1.38</v>
      </c>
      <c r="G218" t="n">
        <v>0</v>
      </c>
      <c r="H218" s="4" t="n"/>
      <c r="I218" s="4">
        <f>IFERROR(IF(NOT(H218=""),ABS(ROUNDDOWN(F218-H218, 3 - (1+INT(LOG10(ABS(F218)))))),""),IF(AND(F218=0,NOT(F218="")),ABS(ROUNDDOWN(F218-H218,0)),""))</f>
        <v/>
      </c>
      <c r="J218" s="4">
        <f>IF(NOT(I218=""),IF(I218&lt;=G218,"match",IF(I218&lt;3*G218,"partial match","no match")),"")</f>
        <v/>
      </c>
      <c r="K218" t="inlineStr">
        <is>
          <t>cm_dissimilarity_3D_comb</t>
        </is>
      </c>
    </row>
    <row r="219" ht="15" customHeight="1" s="10">
      <c r="A219" t="inlineStr">
        <is>
          <t>digital phantom</t>
        </is>
      </c>
      <c r="B219" t="inlineStr">
        <is>
          <t>Co-occurrence matrix (3D, merged)</t>
        </is>
      </c>
      <c r="C219" t="inlineStr">
        <is>
          <t>Inverse difference</t>
        </is>
      </c>
      <c r="E219" t="inlineStr">
        <is>
          <t>≥ 10</t>
        </is>
      </c>
      <c r="F219" t="n">
        <v>0.6879999999999999</v>
      </c>
      <c r="G219" t="n">
        <v>0</v>
      </c>
      <c r="H219" s="4" t="n"/>
      <c r="I219" s="4">
        <f>IFERROR(IF(NOT(H219=""),ABS(ROUNDDOWN(F219-H219, 3 - (1+INT(LOG10(ABS(F219)))))),""),IF(AND(F219=0,NOT(F219="")),ABS(ROUNDDOWN(F219-H219,0)),""))</f>
        <v/>
      </c>
      <c r="J219" s="4">
        <f>IF(NOT(I219=""),IF(I219&lt;=G219,"match",IF(I219&lt;3*G219,"partial match","no match")),"")</f>
        <v/>
      </c>
      <c r="K219" t="inlineStr">
        <is>
          <t>cm_inv_diff_3D_comb</t>
        </is>
      </c>
    </row>
    <row r="220" ht="15" customHeight="1" s="10">
      <c r="A220" t="inlineStr">
        <is>
          <t>digital phantom</t>
        </is>
      </c>
      <c r="B220" t="inlineStr">
        <is>
          <t>Co-occurrence matrix (3D, merged)</t>
        </is>
      </c>
      <c r="C220" t="inlineStr">
        <is>
          <t>Inverse difference normalised</t>
        </is>
      </c>
      <c r="E220" t="inlineStr">
        <is>
          <t>≥ 10</t>
        </is>
      </c>
      <c r="F220" t="n">
        <v>0.856</v>
      </c>
      <c r="G220" t="n">
        <v>0</v>
      </c>
      <c r="H220" s="4" t="n"/>
      <c r="I220" s="4">
        <f>IFERROR(IF(NOT(H220=""),ABS(ROUNDDOWN(F220-H220, 3 - (1+INT(LOG10(ABS(F220)))))),""),IF(AND(F220=0,NOT(F220="")),ABS(ROUNDDOWN(F220-H220,0)),""))</f>
        <v/>
      </c>
      <c r="J220" s="4">
        <f>IF(NOT(I220=""),IF(I220&lt;=G220,"match",IF(I220&lt;3*G220,"partial match","no match")),"")</f>
        <v/>
      </c>
      <c r="K220" t="inlineStr">
        <is>
          <t>cm_inv_diff_norm_3D_comb</t>
        </is>
      </c>
    </row>
    <row r="221" ht="15" customHeight="1" s="10">
      <c r="A221" t="inlineStr">
        <is>
          <t>digital phantom</t>
        </is>
      </c>
      <c r="B221" t="inlineStr">
        <is>
          <t>Co-occurrence matrix (3D, merged)</t>
        </is>
      </c>
      <c r="C221" t="inlineStr">
        <is>
          <t>Inverse difference moment</t>
        </is>
      </c>
      <c r="E221" t="inlineStr">
        <is>
          <t>≥ 10</t>
        </is>
      </c>
      <c r="F221" t="n">
        <v>0.631</v>
      </c>
      <c r="G221" t="n">
        <v>0</v>
      </c>
      <c r="H221" s="4" t="n"/>
      <c r="I221" s="4">
        <f>IFERROR(IF(NOT(H221=""),ABS(ROUNDDOWN(F221-H221, 3 - (1+INT(LOG10(ABS(F221)))))),""),IF(AND(F221=0,NOT(F221="")),ABS(ROUNDDOWN(F221-H221,0)),""))</f>
        <v/>
      </c>
      <c r="J221" s="4">
        <f>IF(NOT(I221=""),IF(I221&lt;=G221,"match",IF(I221&lt;3*G221,"partial match","no match")),"")</f>
        <v/>
      </c>
      <c r="K221" t="inlineStr">
        <is>
          <t>cm_inv_diff_mom_3D_comb</t>
        </is>
      </c>
    </row>
    <row r="222" ht="15" customHeight="1" s="10">
      <c r="A222" t="inlineStr">
        <is>
          <t>digital phantom</t>
        </is>
      </c>
      <c r="B222" t="inlineStr">
        <is>
          <t>Co-occurrence matrix (3D, merged)</t>
        </is>
      </c>
      <c r="C222" t="inlineStr">
        <is>
          <t>Inverse difference moment normalised</t>
        </is>
      </c>
      <c r="E222" t="inlineStr">
        <is>
          <t>≥ 10</t>
        </is>
      </c>
      <c r="F222" t="n">
        <v>0.902</v>
      </c>
      <c r="G222" t="n">
        <v>0</v>
      </c>
      <c r="H222" s="4" t="n"/>
      <c r="I222" s="4">
        <f>IFERROR(IF(NOT(H222=""),ABS(ROUNDDOWN(F222-H222, 3 - (1+INT(LOG10(ABS(F222)))))),""),IF(AND(F222=0,NOT(F222="")),ABS(ROUNDDOWN(F222-H222,0)),""))</f>
        <v/>
      </c>
      <c r="J222" s="4">
        <f>IF(NOT(I222=""),IF(I222&lt;=G222,"match",IF(I222&lt;3*G222,"partial match","no match")),"")</f>
        <v/>
      </c>
      <c r="K222" t="inlineStr">
        <is>
          <t>cm_inv_diff_mom_norm_3D_comb</t>
        </is>
      </c>
    </row>
    <row r="223" ht="15" customHeight="1" s="10">
      <c r="A223" t="inlineStr">
        <is>
          <t>digital phantom</t>
        </is>
      </c>
      <c r="B223" t="inlineStr">
        <is>
          <t>Co-occurrence matrix (3D, merged)</t>
        </is>
      </c>
      <c r="C223" t="inlineStr">
        <is>
          <t>Inverse variance</t>
        </is>
      </c>
      <c r="E223" t="inlineStr">
        <is>
          <t>≥ 10</t>
        </is>
      </c>
      <c r="F223" t="n">
        <v>0.0574</v>
      </c>
      <c r="G223" t="n">
        <v>0</v>
      </c>
      <c r="H223" s="4" t="n"/>
      <c r="I223" s="4">
        <f>IFERROR(IF(NOT(H223=""),ABS(ROUNDDOWN(F223-H223, 3 - (1+INT(LOG10(ABS(F223)))))),""),IF(AND(F223=0,NOT(F223="")),ABS(ROUNDDOWN(F223-H223,0)),""))</f>
        <v/>
      </c>
      <c r="J223" s="4">
        <f>IF(NOT(I223=""),IF(I223&lt;=G223,"match",IF(I223&lt;3*G223,"partial match","no match")),"")</f>
        <v/>
      </c>
      <c r="K223" t="inlineStr">
        <is>
          <t>cm_inv_var_3D_comb</t>
        </is>
      </c>
    </row>
    <row r="224" ht="15" customHeight="1" s="10">
      <c r="A224" t="inlineStr">
        <is>
          <t>digital phantom</t>
        </is>
      </c>
      <c r="B224" t="inlineStr">
        <is>
          <t>Co-occurrence matrix (3D, merged)</t>
        </is>
      </c>
      <c r="C224" t="inlineStr">
        <is>
          <t>Correlation</t>
        </is>
      </c>
      <c r="E224" t="inlineStr">
        <is>
          <t>≥ 10</t>
        </is>
      </c>
      <c r="F224" t="n">
        <v>0.183</v>
      </c>
      <c r="G224" t="n">
        <v>0</v>
      </c>
      <c r="H224" s="4" t="n"/>
      <c r="I224" s="4">
        <f>IFERROR(IF(NOT(H224=""),ABS(ROUNDDOWN(F224-H224, 3 - (1+INT(LOG10(ABS(F224)))))),""),IF(AND(F224=0,NOT(F224="")),ABS(ROUNDDOWN(F224-H224,0)),""))</f>
        <v/>
      </c>
      <c r="J224" s="4">
        <f>IF(NOT(I224=""),IF(I224&lt;=G224,"match",IF(I224&lt;3*G224,"partial match","no match")),"")</f>
        <v/>
      </c>
      <c r="K224" t="inlineStr">
        <is>
          <t>cm_corr_3D_comb</t>
        </is>
      </c>
    </row>
    <row r="225" ht="15" customHeight="1" s="10">
      <c r="A225" t="inlineStr">
        <is>
          <t>digital phantom</t>
        </is>
      </c>
      <c r="B225" t="inlineStr">
        <is>
          <t>Co-occurrence matrix (3D, merged)</t>
        </is>
      </c>
      <c r="C225" t="inlineStr">
        <is>
          <t>Autocorrelation</t>
        </is>
      </c>
      <c r="E225" t="inlineStr">
        <is>
          <t>≥ 10</t>
        </is>
      </c>
      <c r="F225" t="n">
        <v>5.19</v>
      </c>
      <c r="G225" t="n">
        <v>0</v>
      </c>
      <c r="H225" s="4" t="n"/>
      <c r="I225" s="4">
        <f>IFERROR(IF(NOT(H225=""),ABS(ROUNDDOWN(F225-H225, 3 - (1+INT(LOG10(ABS(F225)))))),""),IF(AND(F225=0,NOT(F225="")),ABS(ROUNDDOWN(F225-H225,0)),""))</f>
        <v/>
      </c>
      <c r="J225" s="4">
        <f>IF(NOT(I225=""),IF(I225&lt;=G225,"match",IF(I225&lt;3*G225,"partial match","no match")),"")</f>
        <v/>
      </c>
      <c r="K225" t="inlineStr">
        <is>
          <t>cm_auto_corr_3D_comb</t>
        </is>
      </c>
    </row>
    <row r="226" ht="15" customHeight="1" s="10">
      <c r="A226" t="inlineStr">
        <is>
          <t>digital phantom</t>
        </is>
      </c>
      <c r="B226" t="inlineStr">
        <is>
          <t>Co-occurrence matrix (3D, merged)</t>
        </is>
      </c>
      <c r="C226" t="inlineStr">
        <is>
          <t>Cluster tendency</t>
        </is>
      </c>
      <c r="E226" t="inlineStr">
        <is>
          <t>≥ 10</t>
        </is>
      </c>
      <c r="F226" t="n">
        <v>7.41</v>
      </c>
      <c r="G226" t="n">
        <v>0</v>
      </c>
      <c r="H226" s="4" t="n"/>
      <c r="I226" s="4">
        <f>IFERROR(IF(NOT(H226=""),ABS(ROUNDDOWN(F226-H226, 3 - (1+INT(LOG10(ABS(F226)))))),""),IF(AND(F226=0,NOT(F226="")),ABS(ROUNDDOWN(F226-H226,0)),""))</f>
        <v/>
      </c>
      <c r="J226" s="4">
        <f>IF(NOT(I226=""),IF(I226&lt;=G226,"match",IF(I226&lt;3*G226,"partial match","no match")),"")</f>
        <v/>
      </c>
      <c r="K226" t="inlineStr">
        <is>
          <t>cm_clust_tend_3D_comb</t>
        </is>
      </c>
    </row>
    <row r="227" ht="15" customHeight="1" s="10">
      <c r="A227" t="inlineStr">
        <is>
          <t>digital phantom</t>
        </is>
      </c>
      <c r="B227" t="inlineStr">
        <is>
          <t>Co-occurrence matrix (3D, merged)</t>
        </is>
      </c>
      <c r="C227" t="inlineStr">
        <is>
          <t>Cluster shade</t>
        </is>
      </c>
      <c r="E227" t="inlineStr">
        <is>
          <t>≥ 10</t>
        </is>
      </c>
      <c r="F227" t="n">
        <v>17.4</v>
      </c>
      <c r="G227" t="n">
        <v>0</v>
      </c>
      <c r="H227" s="4" t="n"/>
      <c r="I227" s="4">
        <f>IFERROR(IF(NOT(H227=""),ABS(ROUNDDOWN(F227-H227, 3 - (1+INT(LOG10(ABS(F227)))))),""),IF(AND(F227=0,NOT(F227="")),ABS(ROUNDDOWN(F227-H227,0)),""))</f>
        <v/>
      </c>
      <c r="J227" s="4">
        <f>IF(NOT(I227=""),IF(I227&lt;=G227,"match",IF(I227&lt;3*G227,"partial match","no match")),"")</f>
        <v/>
      </c>
      <c r="K227" t="inlineStr">
        <is>
          <t>cm_clust_shade_3D_comb</t>
        </is>
      </c>
    </row>
    <row r="228" ht="15" customHeight="1" s="10">
      <c r="A228" t="inlineStr">
        <is>
          <t>digital phantom</t>
        </is>
      </c>
      <c r="B228" t="inlineStr">
        <is>
          <t>Co-occurrence matrix (3D, merged)</t>
        </is>
      </c>
      <c r="C228" t="inlineStr">
        <is>
          <t>Cluster prominence</t>
        </is>
      </c>
      <c r="E228" t="inlineStr">
        <is>
          <t>≥ 10</t>
        </is>
      </c>
      <c r="F228" t="n">
        <v>147</v>
      </c>
      <c r="G228" t="n">
        <v>0</v>
      </c>
      <c r="H228" s="4" t="n"/>
      <c r="I228" s="4">
        <f>IFERROR(IF(NOT(H228=""),ABS(ROUNDDOWN(F228-H228, 3 - (1+INT(LOG10(ABS(F228)))))),""),IF(AND(F228=0,NOT(F228="")),ABS(ROUNDDOWN(F228-H228,0)),""))</f>
        <v/>
      </c>
      <c r="J228" s="4">
        <f>IF(NOT(I228=""),IF(I228&lt;=G228,"match",IF(I228&lt;3*G228,"partial match","no match")),"")</f>
        <v/>
      </c>
      <c r="K228" t="inlineStr">
        <is>
          <t>cm_clust_prom_3D_comb</t>
        </is>
      </c>
    </row>
    <row r="229" ht="15" customHeight="1" s="10">
      <c r="A229" t="inlineStr">
        <is>
          <t>digital phantom</t>
        </is>
      </c>
      <c r="B229" t="inlineStr">
        <is>
          <t>Co-occurrence matrix (3D, merged)</t>
        </is>
      </c>
      <c r="C229" t="inlineStr">
        <is>
          <t>Information correlation 1</t>
        </is>
      </c>
      <c r="E229" t="inlineStr">
        <is>
          <t>≥ 10</t>
        </is>
      </c>
      <c r="F229" t="n">
        <v>-0.0288</v>
      </c>
      <c r="G229" t="n">
        <v>0</v>
      </c>
      <c r="H229" s="4" t="n"/>
      <c r="I229" s="4">
        <f>IFERROR(IF(NOT(H229=""),ABS(ROUNDDOWN(F229-H229, 3 - (1+INT(LOG10(ABS(F229)))))),""),IF(AND(F229=0,NOT(F229="")),ABS(ROUNDDOWN(F229-H229,0)),""))</f>
        <v/>
      </c>
      <c r="J229" s="4">
        <f>IF(NOT(I229=""),IF(I229&lt;=G229,"match",IF(I229&lt;3*G229,"partial match","no match")),"")</f>
        <v/>
      </c>
      <c r="K229" t="inlineStr">
        <is>
          <t>cm_info_corr1_3D_comb</t>
        </is>
      </c>
    </row>
    <row r="230" ht="15" customHeight="1" s="10">
      <c r="A230" t="inlineStr">
        <is>
          <t>digital phantom</t>
        </is>
      </c>
      <c r="B230" t="inlineStr">
        <is>
          <t>Co-occurrence matrix (3D, merged)</t>
        </is>
      </c>
      <c r="C230" t="inlineStr">
        <is>
          <t>Information correlation 2</t>
        </is>
      </c>
      <c r="E230" t="inlineStr">
        <is>
          <t>≥ 10</t>
        </is>
      </c>
      <c r="F230" t="n">
        <v>0.269</v>
      </c>
      <c r="G230" t="n">
        <v>0</v>
      </c>
      <c r="H230" s="4" t="n"/>
      <c r="I230" s="4">
        <f>IFERROR(IF(NOT(H230=""),ABS(ROUNDDOWN(F230-H230, 3 - (1+INT(LOG10(ABS(F230)))))),""),IF(AND(F230=0,NOT(F230="")),ABS(ROUNDDOWN(F230-H230,0)),""))</f>
        <v/>
      </c>
      <c r="J230" s="4">
        <f>IF(NOT(I230=""),IF(I230&lt;=G230,"match",IF(I230&lt;3*G230,"partial match","no match")),"")</f>
        <v/>
      </c>
      <c r="K230" t="inlineStr">
        <is>
          <t>cm_info_corr2_3D_comb</t>
        </is>
      </c>
    </row>
    <row r="231" ht="15" customHeight="1" s="10">
      <c r="A231" t="inlineStr">
        <is>
          <t>digital phantom</t>
        </is>
      </c>
      <c r="B231" t="inlineStr">
        <is>
          <t>Run length matrix (2D, averaged)</t>
        </is>
      </c>
      <c r="C231" t="inlineStr">
        <is>
          <t>Short runs emphasis</t>
        </is>
      </c>
      <c r="E231" t="inlineStr">
        <is>
          <t>6-9</t>
        </is>
      </c>
      <c r="F231" t="n">
        <v>0.641</v>
      </c>
      <c r="G231" t="n">
        <v>0</v>
      </c>
      <c r="H231" s="4" t="n"/>
      <c r="I231" s="4">
        <f>IFERROR(IF(NOT(H231=""),ABS(ROUNDDOWN(F231-H231, 3 - (1+INT(LOG10(ABS(F231)))))),""),IF(AND(F231=0,NOT(F231="")),ABS(ROUNDDOWN(F231-H231,0)),""))</f>
        <v/>
      </c>
      <c r="J231" s="4">
        <f>IF(NOT(I231=""),IF(I231&lt;=G231,"match",IF(I231&lt;3*G231,"partial match","no match")),"")</f>
        <v/>
      </c>
      <c r="K231" t="inlineStr">
        <is>
          <t>rlm_sre_2D_avg</t>
        </is>
      </c>
    </row>
    <row r="232" ht="15" customHeight="1" s="10">
      <c r="A232" t="inlineStr">
        <is>
          <t>digital phantom</t>
        </is>
      </c>
      <c r="B232" t="inlineStr">
        <is>
          <t>Run length matrix (2D, averaged)</t>
        </is>
      </c>
      <c r="C232" t="inlineStr">
        <is>
          <t>Long runs emphasis</t>
        </is>
      </c>
      <c r="E232" t="inlineStr">
        <is>
          <t>6-9</t>
        </is>
      </c>
      <c r="F232" t="n">
        <v>3.78</v>
      </c>
      <c r="G232" t="n">
        <v>0</v>
      </c>
      <c r="H232" s="4" t="n"/>
      <c r="I232" s="4">
        <f>IFERROR(IF(NOT(H232=""),ABS(ROUNDDOWN(F232-H232, 3 - (1+INT(LOG10(ABS(F232)))))),""),IF(AND(F232=0,NOT(F232="")),ABS(ROUNDDOWN(F232-H232,0)),""))</f>
        <v/>
      </c>
      <c r="J232" s="4">
        <f>IF(NOT(I232=""),IF(I232&lt;=G232,"match",IF(I232&lt;3*G232,"partial match","no match")),"")</f>
        <v/>
      </c>
      <c r="K232" t="inlineStr">
        <is>
          <t>rlm_lre_2D_avg</t>
        </is>
      </c>
    </row>
    <row r="233" ht="15" customHeight="1" s="10">
      <c r="A233" t="inlineStr">
        <is>
          <t>digital phantom</t>
        </is>
      </c>
      <c r="B233" t="inlineStr">
        <is>
          <t>Run length matrix (2D, averaged)</t>
        </is>
      </c>
      <c r="C233" t="inlineStr">
        <is>
          <t>Low grey level run emphasis</t>
        </is>
      </c>
      <c r="E233" t="inlineStr">
        <is>
          <t>6-9</t>
        </is>
      </c>
      <c r="F233" t="n">
        <v>0.604</v>
      </c>
      <c r="G233" t="n">
        <v>0</v>
      </c>
      <c r="H233" s="4" t="n"/>
      <c r="I233" s="4">
        <f>IFERROR(IF(NOT(H233=""),ABS(ROUNDDOWN(F233-H233, 3 - (1+INT(LOG10(ABS(F233)))))),""),IF(AND(F233=0,NOT(F233="")),ABS(ROUNDDOWN(F233-H233,0)),""))</f>
        <v/>
      </c>
      <c r="J233" s="4">
        <f>IF(NOT(I233=""),IF(I233&lt;=G233,"match",IF(I233&lt;3*G233,"partial match","no match")),"")</f>
        <v/>
      </c>
      <c r="K233" t="inlineStr">
        <is>
          <t>rlm_lgre_2D_avg</t>
        </is>
      </c>
    </row>
    <row r="234" ht="15" customHeight="1" s="10">
      <c r="A234" t="inlineStr">
        <is>
          <t>digital phantom</t>
        </is>
      </c>
      <c r="B234" t="inlineStr">
        <is>
          <t>Run length matrix (2D, averaged)</t>
        </is>
      </c>
      <c r="C234" t="inlineStr">
        <is>
          <t>High grey level run emphasis</t>
        </is>
      </c>
      <c r="E234" t="inlineStr">
        <is>
          <t>6-9</t>
        </is>
      </c>
      <c r="F234" t="n">
        <v>9.82</v>
      </c>
      <c r="G234" t="n">
        <v>0</v>
      </c>
      <c r="H234" s="4" t="n"/>
      <c r="I234" s="4">
        <f>IFERROR(IF(NOT(H234=""),ABS(ROUNDDOWN(F234-H234, 3 - (1+INT(LOG10(ABS(F234)))))),""),IF(AND(F234=0,NOT(F234="")),ABS(ROUNDDOWN(F234-H234,0)),""))</f>
        <v/>
      </c>
      <c r="J234" s="4">
        <f>IF(NOT(I234=""),IF(I234&lt;=G234,"match",IF(I234&lt;3*G234,"partial match","no match")),"")</f>
        <v/>
      </c>
      <c r="K234" t="inlineStr">
        <is>
          <t>rlm_hgre_2D_avg</t>
        </is>
      </c>
    </row>
    <row r="235" ht="15" customHeight="1" s="10">
      <c r="A235" t="inlineStr">
        <is>
          <t>digital phantom</t>
        </is>
      </c>
      <c r="B235" t="inlineStr">
        <is>
          <t>Run length matrix (2D, averaged)</t>
        </is>
      </c>
      <c r="C235" t="inlineStr">
        <is>
          <t>Short run low grey level emphasis</t>
        </is>
      </c>
      <c r="E235" t="inlineStr">
        <is>
          <t>6-9</t>
        </is>
      </c>
      <c r="F235" t="n">
        <v>0.294</v>
      </c>
      <c r="G235" t="n">
        <v>0</v>
      </c>
      <c r="H235" s="4" t="n"/>
      <c r="I235" s="4">
        <f>IFERROR(IF(NOT(H235=""),ABS(ROUNDDOWN(F235-H235, 3 - (1+INT(LOG10(ABS(F235)))))),""),IF(AND(F235=0,NOT(F235="")),ABS(ROUNDDOWN(F235-H235,0)),""))</f>
        <v/>
      </c>
      <c r="J235" s="4">
        <f>IF(NOT(I235=""),IF(I235&lt;=G235,"match",IF(I235&lt;3*G235,"partial match","no match")),"")</f>
        <v/>
      </c>
      <c r="K235" t="inlineStr">
        <is>
          <t>rlm_srlge_2D_avg</t>
        </is>
      </c>
    </row>
    <row r="236" ht="15" customHeight="1" s="10">
      <c r="A236" t="inlineStr">
        <is>
          <t>digital phantom</t>
        </is>
      </c>
      <c r="B236" t="inlineStr">
        <is>
          <t>Run length matrix (2D, averaged)</t>
        </is>
      </c>
      <c r="C236" t="inlineStr">
        <is>
          <t>Short run high grey level emphasis</t>
        </is>
      </c>
      <c r="E236" t="inlineStr">
        <is>
          <t>6-9</t>
        </is>
      </c>
      <c r="F236" t="n">
        <v>8.57</v>
      </c>
      <c r="G236" t="n">
        <v>0</v>
      </c>
      <c r="H236" s="4" t="n"/>
      <c r="I236" s="4">
        <f>IFERROR(IF(NOT(H236=""),ABS(ROUNDDOWN(F236-H236, 3 - (1+INT(LOG10(ABS(F236)))))),""),IF(AND(F236=0,NOT(F236="")),ABS(ROUNDDOWN(F236-H236,0)),""))</f>
        <v/>
      </c>
      <c r="J236" s="4">
        <f>IF(NOT(I236=""),IF(I236&lt;=G236,"match",IF(I236&lt;3*G236,"partial match","no match")),"")</f>
        <v/>
      </c>
      <c r="K236" t="inlineStr">
        <is>
          <t>rlm_srhge_2D_avg</t>
        </is>
      </c>
    </row>
    <row r="237" ht="15" customHeight="1" s="10">
      <c r="A237" t="inlineStr">
        <is>
          <t>digital phantom</t>
        </is>
      </c>
      <c r="B237" t="inlineStr">
        <is>
          <t>Run length matrix (2D, averaged)</t>
        </is>
      </c>
      <c r="C237" t="inlineStr">
        <is>
          <t>Long run low grey level emphasis</t>
        </is>
      </c>
      <c r="E237" t="inlineStr">
        <is>
          <t>6-9</t>
        </is>
      </c>
      <c r="F237" t="n">
        <v>3.14</v>
      </c>
      <c r="G237" t="n">
        <v>0</v>
      </c>
      <c r="H237" s="4" t="n"/>
      <c r="I237" s="4">
        <f>IFERROR(IF(NOT(H237=""),ABS(ROUNDDOWN(F237-H237, 3 - (1+INT(LOG10(ABS(F237)))))),""),IF(AND(F237=0,NOT(F237="")),ABS(ROUNDDOWN(F237-H237,0)),""))</f>
        <v/>
      </c>
      <c r="J237" s="4">
        <f>IF(NOT(I237=""),IF(I237&lt;=G237,"match",IF(I237&lt;3*G237,"partial match","no match")),"")</f>
        <v/>
      </c>
      <c r="K237" t="inlineStr">
        <is>
          <t>rlm_lrlge_2D_avg</t>
        </is>
      </c>
    </row>
    <row r="238" ht="15" customHeight="1" s="10">
      <c r="A238" t="inlineStr">
        <is>
          <t>digital phantom</t>
        </is>
      </c>
      <c r="B238" t="inlineStr">
        <is>
          <t>Run length matrix (2D, averaged)</t>
        </is>
      </c>
      <c r="C238" t="inlineStr">
        <is>
          <t>Long run high grey level emphasis</t>
        </is>
      </c>
      <c r="E238" t="inlineStr">
        <is>
          <t>6-9</t>
        </is>
      </c>
      <c r="F238" t="n">
        <v>17.4</v>
      </c>
      <c r="G238" t="n">
        <v>0</v>
      </c>
      <c r="H238" s="4" t="n"/>
      <c r="I238" s="4">
        <f>IFERROR(IF(NOT(H238=""),ABS(ROUNDDOWN(F238-H238, 3 - (1+INT(LOG10(ABS(F238)))))),""),IF(AND(F238=0,NOT(F238="")),ABS(ROUNDDOWN(F238-H238,0)),""))</f>
        <v/>
      </c>
      <c r="J238" s="4">
        <f>IF(NOT(I238=""),IF(I238&lt;=G238,"match",IF(I238&lt;3*G238,"partial match","no match")),"")</f>
        <v/>
      </c>
      <c r="K238" t="inlineStr">
        <is>
          <t>rlm_lrhge_2D_avg</t>
        </is>
      </c>
    </row>
    <row r="239" ht="15" customHeight="1" s="10">
      <c r="A239" t="inlineStr">
        <is>
          <t>digital phantom</t>
        </is>
      </c>
      <c r="B239" t="inlineStr">
        <is>
          <t>Run length matrix (2D, averaged)</t>
        </is>
      </c>
      <c r="C239" t="inlineStr">
        <is>
          <t>Grey level non-uniformity</t>
        </is>
      </c>
      <c r="E239" t="inlineStr">
        <is>
          <t>6-9</t>
        </is>
      </c>
      <c r="F239" t="n">
        <v>5.2</v>
      </c>
      <c r="G239" t="n">
        <v>0</v>
      </c>
      <c r="H239" s="4" t="n"/>
      <c r="I239" s="4">
        <f>IFERROR(IF(NOT(H239=""),ABS(ROUNDDOWN(F239-H239, 3 - (1+INT(LOG10(ABS(F239)))))),""),IF(AND(F239=0,NOT(F239="")),ABS(ROUNDDOWN(F239-H239,0)),""))</f>
        <v/>
      </c>
      <c r="J239" s="4">
        <f>IF(NOT(I239=""),IF(I239&lt;=G239,"match",IF(I239&lt;3*G239,"partial match","no match")),"")</f>
        <v/>
      </c>
      <c r="K239" t="inlineStr">
        <is>
          <t>rlm_glnu_2D_avg</t>
        </is>
      </c>
    </row>
    <row r="240" ht="15" customHeight="1" s="10">
      <c r="A240" t="inlineStr">
        <is>
          <t>digital phantom</t>
        </is>
      </c>
      <c r="B240" t="inlineStr">
        <is>
          <t>Run length matrix (2D, averaged)</t>
        </is>
      </c>
      <c r="C240" t="inlineStr">
        <is>
          <t>Grey level non-uniformity normalised</t>
        </is>
      </c>
      <c r="E240" t="inlineStr">
        <is>
          <t>6-9</t>
        </is>
      </c>
      <c r="F240" t="n">
        <v>0.46</v>
      </c>
      <c r="G240" t="n">
        <v>0</v>
      </c>
      <c r="H240" s="4" t="n"/>
      <c r="I240" s="4">
        <f>IFERROR(IF(NOT(H240=""),ABS(ROUNDDOWN(F240-H240, 3 - (1+INT(LOG10(ABS(F240)))))),""),IF(AND(F240=0,NOT(F240="")),ABS(ROUNDDOWN(F240-H240,0)),""))</f>
        <v/>
      </c>
      <c r="J240" s="4">
        <f>IF(NOT(I240=""),IF(I240&lt;=G240,"match",IF(I240&lt;3*G240,"partial match","no match")),"")</f>
        <v/>
      </c>
      <c r="K240" t="inlineStr">
        <is>
          <t>rlm_glnu_norm_2D_avg</t>
        </is>
      </c>
    </row>
    <row r="241" ht="15" customHeight="1" s="10">
      <c r="A241" t="inlineStr">
        <is>
          <t>digital phantom</t>
        </is>
      </c>
      <c r="B241" t="inlineStr">
        <is>
          <t>Run length matrix (2D, averaged)</t>
        </is>
      </c>
      <c r="C241" t="inlineStr">
        <is>
          <t>Run length non-uniformity</t>
        </is>
      </c>
      <c r="E241" t="inlineStr">
        <is>
          <t>6-9</t>
        </is>
      </c>
      <c r="F241" t="n">
        <v>6.12</v>
      </c>
      <c r="G241" t="n">
        <v>0</v>
      </c>
      <c r="H241" s="4" t="n"/>
      <c r="I241" s="4">
        <f>IFERROR(IF(NOT(H241=""),ABS(ROUNDDOWN(F241-H241, 3 - (1+INT(LOG10(ABS(F241)))))),""),IF(AND(F241=0,NOT(F241="")),ABS(ROUNDDOWN(F241-H241,0)),""))</f>
        <v/>
      </c>
      <c r="J241" s="4">
        <f>IF(NOT(I241=""),IF(I241&lt;=G241,"match",IF(I241&lt;3*G241,"partial match","no match")),"")</f>
        <v/>
      </c>
      <c r="K241" t="inlineStr">
        <is>
          <t>rlm_rlnu_2D_avg</t>
        </is>
      </c>
    </row>
    <row r="242" ht="15" customHeight="1" s="10">
      <c r="A242" t="inlineStr">
        <is>
          <t>digital phantom</t>
        </is>
      </c>
      <c r="B242" t="inlineStr">
        <is>
          <t>Run length matrix (2D, averaged)</t>
        </is>
      </c>
      <c r="C242" t="inlineStr">
        <is>
          <t>Run length non-uniformity normalised</t>
        </is>
      </c>
      <c r="E242" t="inlineStr">
        <is>
          <t>6-9</t>
        </is>
      </c>
      <c r="F242" t="n">
        <v>0.492</v>
      </c>
      <c r="G242" t="n">
        <v>0</v>
      </c>
      <c r="H242" s="4" t="n"/>
      <c r="I242" s="4">
        <f>IFERROR(IF(NOT(H242=""),ABS(ROUNDDOWN(F242-H242, 3 - (1+INT(LOG10(ABS(F242)))))),""),IF(AND(F242=0,NOT(F242="")),ABS(ROUNDDOWN(F242-H242,0)),""))</f>
        <v/>
      </c>
      <c r="J242" s="4">
        <f>IF(NOT(I242=""),IF(I242&lt;=G242,"match",IF(I242&lt;3*G242,"partial match","no match")),"")</f>
        <v/>
      </c>
      <c r="K242" t="inlineStr">
        <is>
          <t>rlm_rlnu_norm_2D_avg</t>
        </is>
      </c>
    </row>
    <row r="243" ht="15" customHeight="1" s="10">
      <c r="A243" t="inlineStr">
        <is>
          <t>digital phantom</t>
        </is>
      </c>
      <c r="B243" t="inlineStr">
        <is>
          <t>Run length matrix (2D, averaged)</t>
        </is>
      </c>
      <c r="C243" t="inlineStr">
        <is>
          <t>Run percentage</t>
        </is>
      </c>
      <c r="E243" t="inlineStr">
        <is>
          <t>6-9</t>
        </is>
      </c>
      <c r="F243" t="n">
        <v>0.627</v>
      </c>
      <c r="G243" t="n">
        <v>0</v>
      </c>
      <c r="H243" s="4" t="n"/>
      <c r="I243" s="4">
        <f>IFERROR(IF(NOT(H243=""),ABS(ROUNDDOWN(F243-H243, 3 - (1+INT(LOG10(ABS(F243)))))),""),IF(AND(F243=0,NOT(F243="")),ABS(ROUNDDOWN(F243-H243,0)),""))</f>
        <v/>
      </c>
      <c r="J243" s="4">
        <f>IF(NOT(I243=""),IF(I243&lt;=G243,"match",IF(I243&lt;3*G243,"partial match","no match")),"")</f>
        <v/>
      </c>
      <c r="K243" t="inlineStr">
        <is>
          <t>rlm_r_perc_2D_avg</t>
        </is>
      </c>
    </row>
    <row r="244" ht="15" customHeight="1" s="10">
      <c r="A244" t="inlineStr">
        <is>
          <t>digital phantom</t>
        </is>
      </c>
      <c r="B244" t="inlineStr">
        <is>
          <t>Run length matrix (2D, averaged)</t>
        </is>
      </c>
      <c r="C244" t="inlineStr">
        <is>
          <t>Grey level variance</t>
        </is>
      </c>
      <c r="E244" t="inlineStr">
        <is>
          <t>6-9</t>
        </is>
      </c>
      <c r="F244" t="n">
        <v>3.35</v>
      </c>
      <c r="G244" t="n">
        <v>0</v>
      </c>
      <c r="H244" s="4" t="n"/>
      <c r="I244" s="4">
        <f>IFERROR(IF(NOT(H244=""),ABS(ROUNDDOWN(F244-H244, 3 - (1+INT(LOG10(ABS(F244)))))),""),IF(AND(F244=0,NOT(F244="")),ABS(ROUNDDOWN(F244-H244,0)),""))</f>
        <v/>
      </c>
      <c r="J244" s="4">
        <f>IF(NOT(I244=""),IF(I244&lt;=G244,"match",IF(I244&lt;3*G244,"partial match","no match")),"")</f>
        <v/>
      </c>
      <c r="K244" t="inlineStr">
        <is>
          <t>rlm_gl_var_2D_avg</t>
        </is>
      </c>
    </row>
    <row r="245" ht="15" customHeight="1" s="10">
      <c r="A245" t="inlineStr">
        <is>
          <t>digital phantom</t>
        </is>
      </c>
      <c r="B245" t="inlineStr">
        <is>
          <t>Run length matrix (2D, averaged)</t>
        </is>
      </c>
      <c r="C245" t="inlineStr">
        <is>
          <t>Run length variance</t>
        </is>
      </c>
      <c r="E245" t="inlineStr">
        <is>
          <t>6-9</t>
        </is>
      </c>
      <c r="F245" t="n">
        <v>0.761</v>
      </c>
      <c r="G245" t="n">
        <v>0</v>
      </c>
      <c r="H245" s="4" t="n"/>
      <c r="I245" s="4">
        <f>IFERROR(IF(NOT(H245=""),ABS(ROUNDDOWN(F245-H245, 3 - (1+INT(LOG10(ABS(F245)))))),""),IF(AND(F245=0,NOT(F245="")),ABS(ROUNDDOWN(F245-H245,0)),""))</f>
        <v/>
      </c>
      <c r="J245" s="4">
        <f>IF(NOT(I245=""),IF(I245&lt;=G245,"match",IF(I245&lt;3*G245,"partial match","no match")),"")</f>
        <v/>
      </c>
      <c r="K245" t="inlineStr">
        <is>
          <t>rlm_rl_var_2D_avg</t>
        </is>
      </c>
    </row>
    <row r="246" ht="15" customHeight="1" s="10">
      <c r="A246" t="inlineStr">
        <is>
          <t>digital phantom</t>
        </is>
      </c>
      <c r="B246" t="inlineStr">
        <is>
          <t>Run length matrix (2D, averaged)</t>
        </is>
      </c>
      <c r="C246" t="inlineStr">
        <is>
          <t>Run entropy</t>
        </is>
      </c>
      <c r="E246" t="inlineStr">
        <is>
          <t>6-9</t>
        </is>
      </c>
      <c r="F246" t="n">
        <v>2.17</v>
      </c>
      <c r="G246" t="n">
        <v>0</v>
      </c>
      <c r="H246" s="4" t="n"/>
      <c r="I246" s="4">
        <f>IFERROR(IF(NOT(H246=""),ABS(ROUNDDOWN(F246-H246, 3 - (1+INT(LOG10(ABS(F246)))))),""),IF(AND(F246=0,NOT(F246="")),ABS(ROUNDDOWN(F246-H246,0)),""))</f>
        <v/>
      </c>
      <c r="J246" s="4">
        <f>IF(NOT(I246=""),IF(I246&lt;=G246,"match",IF(I246&lt;3*G246,"partial match","no match")),"")</f>
        <v/>
      </c>
      <c r="K246" t="inlineStr">
        <is>
          <t>rlm_rl_entr_2D_avg</t>
        </is>
      </c>
    </row>
    <row r="247" ht="15" customHeight="1" s="10">
      <c r="A247" t="inlineStr">
        <is>
          <t>digital phantom</t>
        </is>
      </c>
      <c r="B247" t="inlineStr">
        <is>
          <t>Run length matrix (2D, slice-merged)</t>
        </is>
      </c>
      <c r="C247" t="inlineStr">
        <is>
          <t>Short runs emphasis</t>
        </is>
      </c>
      <c r="E247" t="inlineStr">
        <is>
          <t>6-9</t>
        </is>
      </c>
      <c r="F247" t="n">
        <v>0.661</v>
      </c>
      <c r="G247" t="n">
        <v>0</v>
      </c>
      <c r="H247" s="4" t="n"/>
      <c r="I247" s="4">
        <f>IFERROR(IF(NOT(H247=""),ABS(ROUNDDOWN(F247-H247, 3 - (1+INT(LOG10(ABS(F247)))))),""),IF(AND(F247=0,NOT(F247="")),ABS(ROUNDDOWN(F247-H247,0)),""))</f>
        <v/>
      </c>
      <c r="J247" s="4">
        <f>IF(NOT(I247=""),IF(I247&lt;=G247,"match",IF(I247&lt;3*G247,"partial match","no match")),"")</f>
        <v/>
      </c>
      <c r="K247" t="inlineStr">
        <is>
          <t>rlm_sre_2D_comb</t>
        </is>
      </c>
    </row>
    <row r="248" ht="15" customHeight="1" s="10">
      <c r="A248" t="inlineStr">
        <is>
          <t>digital phantom</t>
        </is>
      </c>
      <c r="B248" t="inlineStr">
        <is>
          <t>Run length matrix (2D, slice-merged)</t>
        </is>
      </c>
      <c r="C248" t="inlineStr">
        <is>
          <t>Long runs emphasis</t>
        </is>
      </c>
      <c r="E248" t="inlineStr">
        <is>
          <t>6-9</t>
        </is>
      </c>
      <c r="F248" t="n">
        <v>3.51</v>
      </c>
      <c r="G248" t="n">
        <v>0</v>
      </c>
      <c r="H248" s="4" t="n"/>
      <c r="I248" s="4">
        <f>IFERROR(IF(NOT(H248=""),ABS(ROUNDDOWN(F248-H248, 3 - (1+INT(LOG10(ABS(F248)))))),""),IF(AND(F248=0,NOT(F248="")),ABS(ROUNDDOWN(F248-H248,0)),""))</f>
        <v/>
      </c>
      <c r="J248" s="4">
        <f>IF(NOT(I248=""),IF(I248&lt;=G248,"match",IF(I248&lt;3*G248,"partial match","no match")),"")</f>
        <v/>
      </c>
      <c r="K248" t="inlineStr">
        <is>
          <t>rlm_lre_2D_comb</t>
        </is>
      </c>
    </row>
    <row r="249" ht="15" customHeight="1" s="10">
      <c r="A249" t="inlineStr">
        <is>
          <t>digital phantom</t>
        </is>
      </c>
      <c r="B249" t="inlineStr">
        <is>
          <t>Run length matrix (2D, slice-merged)</t>
        </is>
      </c>
      <c r="C249" t="inlineStr">
        <is>
          <t>Low grey level run emphasis</t>
        </is>
      </c>
      <c r="E249" t="inlineStr">
        <is>
          <t>6-9</t>
        </is>
      </c>
      <c r="F249" t="n">
        <v>0.609</v>
      </c>
      <c r="G249" t="n">
        <v>0</v>
      </c>
      <c r="H249" s="4" t="n"/>
      <c r="I249" s="4">
        <f>IFERROR(IF(NOT(H249=""),ABS(ROUNDDOWN(F249-H249, 3 - (1+INT(LOG10(ABS(F249)))))),""),IF(AND(F249=0,NOT(F249="")),ABS(ROUNDDOWN(F249-H249,0)),""))</f>
        <v/>
      </c>
      <c r="J249" s="4">
        <f>IF(NOT(I249=""),IF(I249&lt;=G249,"match",IF(I249&lt;3*G249,"partial match","no match")),"")</f>
        <v/>
      </c>
      <c r="K249" t="inlineStr">
        <is>
          <t>rlm_lgre_2D_comb</t>
        </is>
      </c>
    </row>
    <row r="250" ht="15" customHeight="1" s="10">
      <c r="A250" t="inlineStr">
        <is>
          <t>digital phantom</t>
        </is>
      </c>
      <c r="B250" t="inlineStr">
        <is>
          <t>Run length matrix (2D, slice-merged)</t>
        </is>
      </c>
      <c r="C250" t="inlineStr">
        <is>
          <t>High grey level run emphasis</t>
        </is>
      </c>
      <c r="E250" t="inlineStr">
        <is>
          <t>6-9</t>
        </is>
      </c>
      <c r="F250" t="n">
        <v>9.74</v>
      </c>
      <c r="G250" t="n">
        <v>0</v>
      </c>
      <c r="H250" s="4" t="n"/>
      <c r="I250" s="4">
        <f>IFERROR(IF(NOT(H250=""),ABS(ROUNDDOWN(F250-H250, 3 - (1+INT(LOG10(ABS(F250)))))),""),IF(AND(F250=0,NOT(F250="")),ABS(ROUNDDOWN(F250-H250,0)),""))</f>
        <v/>
      </c>
      <c r="J250" s="4">
        <f>IF(NOT(I250=""),IF(I250&lt;=G250,"match",IF(I250&lt;3*G250,"partial match","no match")),"")</f>
        <v/>
      </c>
      <c r="K250" t="inlineStr">
        <is>
          <t>rlm_hgre_2D_comb</t>
        </is>
      </c>
    </row>
    <row r="251" ht="15" customHeight="1" s="10">
      <c r="A251" t="inlineStr">
        <is>
          <t>digital phantom</t>
        </is>
      </c>
      <c r="B251" t="inlineStr">
        <is>
          <t>Run length matrix (2D, slice-merged)</t>
        </is>
      </c>
      <c r="C251" t="inlineStr">
        <is>
          <t>Short run low grey level emphasis</t>
        </is>
      </c>
      <c r="E251" t="inlineStr">
        <is>
          <t>6-9</t>
        </is>
      </c>
      <c r="F251" t="n">
        <v>0.311</v>
      </c>
      <c r="G251" t="n">
        <v>0</v>
      </c>
      <c r="H251" s="4" t="n"/>
      <c r="I251" s="4">
        <f>IFERROR(IF(NOT(H251=""),ABS(ROUNDDOWN(F251-H251, 3 - (1+INT(LOG10(ABS(F251)))))),""),IF(AND(F251=0,NOT(F251="")),ABS(ROUNDDOWN(F251-H251,0)),""))</f>
        <v/>
      </c>
      <c r="J251" s="4">
        <f>IF(NOT(I251=""),IF(I251&lt;=G251,"match",IF(I251&lt;3*G251,"partial match","no match")),"")</f>
        <v/>
      </c>
      <c r="K251" t="inlineStr">
        <is>
          <t>rlm_srlge_2D_comb</t>
        </is>
      </c>
    </row>
    <row r="252" ht="15" customHeight="1" s="10">
      <c r="A252" t="inlineStr">
        <is>
          <t>digital phantom</t>
        </is>
      </c>
      <c r="B252" t="inlineStr">
        <is>
          <t>Run length matrix (2D, slice-merged)</t>
        </is>
      </c>
      <c r="C252" t="inlineStr">
        <is>
          <t>Short run high grey level emphasis</t>
        </is>
      </c>
      <c r="E252" t="inlineStr">
        <is>
          <t>6-9</t>
        </is>
      </c>
      <c r="F252" t="n">
        <v>8.67</v>
      </c>
      <c r="G252" t="n">
        <v>0</v>
      </c>
      <c r="H252" s="4" t="n"/>
      <c r="I252" s="4">
        <f>IFERROR(IF(NOT(H252=""),ABS(ROUNDDOWN(F252-H252, 3 - (1+INT(LOG10(ABS(F252)))))),""),IF(AND(F252=0,NOT(F252="")),ABS(ROUNDDOWN(F252-H252,0)),""))</f>
        <v/>
      </c>
      <c r="J252" s="4">
        <f>IF(NOT(I252=""),IF(I252&lt;=G252,"match",IF(I252&lt;3*G252,"partial match","no match")),"")</f>
        <v/>
      </c>
      <c r="K252" t="inlineStr">
        <is>
          <t>rlm_srhge_2D_comb</t>
        </is>
      </c>
    </row>
    <row r="253" ht="15" customHeight="1" s="10">
      <c r="A253" t="inlineStr">
        <is>
          <t>digital phantom</t>
        </is>
      </c>
      <c r="B253" t="inlineStr">
        <is>
          <t>Run length matrix (2D, slice-merged)</t>
        </is>
      </c>
      <c r="C253" t="inlineStr">
        <is>
          <t>Long run low grey level emphasis</t>
        </is>
      </c>
      <c r="E253" t="inlineStr">
        <is>
          <t>6-9</t>
        </is>
      </c>
      <c r="F253" t="n">
        <v>2.92</v>
      </c>
      <c r="G253" t="n">
        <v>0</v>
      </c>
      <c r="H253" s="4" t="n"/>
      <c r="I253" s="4">
        <f>IFERROR(IF(NOT(H253=""),ABS(ROUNDDOWN(F253-H253, 3 - (1+INT(LOG10(ABS(F253)))))),""),IF(AND(F253=0,NOT(F253="")),ABS(ROUNDDOWN(F253-H253,0)),""))</f>
        <v/>
      </c>
      <c r="J253" s="4">
        <f>IF(NOT(I253=""),IF(I253&lt;=G253,"match",IF(I253&lt;3*G253,"partial match","no match")),"")</f>
        <v/>
      </c>
      <c r="K253" t="inlineStr">
        <is>
          <t>rlm_lrlge_2D_comb</t>
        </is>
      </c>
    </row>
    <row r="254" ht="15" customHeight="1" s="10">
      <c r="A254" t="inlineStr">
        <is>
          <t>digital phantom</t>
        </is>
      </c>
      <c r="B254" t="inlineStr">
        <is>
          <t>Run length matrix (2D, slice-merged)</t>
        </is>
      </c>
      <c r="C254" t="inlineStr">
        <is>
          <t>Long run high grey level emphasis</t>
        </is>
      </c>
      <c r="E254" t="inlineStr">
        <is>
          <t>6-9</t>
        </is>
      </c>
      <c r="F254" t="n">
        <v>16.1</v>
      </c>
      <c r="G254" t="n">
        <v>0</v>
      </c>
      <c r="H254" s="4" t="n"/>
      <c r="I254" s="4">
        <f>IFERROR(IF(NOT(H254=""),ABS(ROUNDDOWN(F254-H254, 3 - (1+INT(LOG10(ABS(F254)))))),""),IF(AND(F254=0,NOT(F254="")),ABS(ROUNDDOWN(F254-H254,0)),""))</f>
        <v/>
      </c>
      <c r="J254" s="4">
        <f>IF(NOT(I254=""),IF(I254&lt;=G254,"match",IF(I254&lt;3*G254,"partial match","no match")),"")</f>
        <v/>
      </c>
      <c r="K254" t="inlineStr">
        <is>
          <t>rlm_lrhge_2D_comb</t>
        </is>
      </c>
    </row>
    <row r="255" ht="15" customHeight="1" s="10">
      <c r="A255" t="inlineStr">
        <is>
          <t>digital phantom</t>
        </is>
      </c>
      <c r="B255" t="inlineStr">
        <is>
          <t>Run length matrix (2D, slice-merged)</t>
        </is>
      </c>
      <c r="C255" t="inlineStr">
        <is>
          <t>Grey level non-uniformity</t>
        </is>
      </c>
      <c r="E255" t="inlineStr">
        <is>
          <t>6-9</t>
        </is>
      </c>
      <c r="F255" t="n">
        <v>20.5</v>
      </c>
      <c r="G255" t="n">
        <v>0</v>
      </c>
      <c r="H255" s="4" t="n"/>
      <c r="I255" s="4">
        <f>IFERROR(IF(NOT(H255=""),ABS(ROUNDDOWN(F255-H255, 3 - (1+INT(LOG10(ABS(F255)))))),""),IF(AND(F255=0,NOT(F255="")),ABS(ROUNDDOWN(F255-H255,0)),""))</f>
        <v/>
      </c>
      <c r="J255" s="4">
        <f>IF(NOT(I255=""),IF(I255&lt;=G255,"match",IF(I255&lt;3*G255,"partial match","no match")),"")</f>
        <v/>
      </c>
      <c r="K255" t="inlineStr">
        <is>
          <t>rlm_glnu_2D_comb</t>
        </is>
      </c>
    </row>
    <row r="256" ht="15" customHeight="1" s="10">
      <c r="A256" t="inlineStr">
        <is>
          <t>digital phantom</t>
        </is>
      </c>
      <c r="B256" t="inlineStr">
        <is>
          <t>Run length matrix (2D, slice-merged)</t>
        </is>
      </c>
      <c r="C256" t="inlineStr">
        <is>
          <t>Grey level non-uniformity normalised</t>
        </is>
      </c>
      <c r="E256" t="inlineStr">
        <is>
          <t>6-9</t>
        </is>
      </c>
      <c r="F256" t="n">
        <v>0.456</v>
      </c>
      <c r="G256" t="n">
        <v>0</v>
      </c>
      <c r="H256" s="4" t="n"/>
      <c r="I256" s="4">
        <f>IFERROR(IF(NOT(H256=""),ABS(ROUNDDOWN(F256-H256, 3 - (1+INT(LOG10(ABS(F256)))))),""),IF(AND(F256=0,NOT(F256="")),ABS(ROUNDDOWN(F256-H256,0)),""))</f>
        <v/>
      </c>
      <c r="J256" s="4">
        <f>IF(NOT(I256=""),IF(I256&lt;=G256,"match",IF(I256&lt;3*G256,"partial match","no match")),"")</f>
        <v/>
      </c>
      <c r="K256" t="inlineStr">
        <is>
          <t>rlm_glnu_norm_2D_comb</t>
        </is>
      </c>
    </row>
    <row r="257" ht="15" customHeight="1" s="10">
      <c r="A257" t="inlineStr">
        <is>
          <t>digital phantom</t>
        </is>
      </c>
      <c r="B257" t="inlineStr">
        <is>
          <t>Run length matrix (2D, slice-merged)</t>
        </is>
      </c>
      <c r="C257" t="inlineStr">
        <is>
          <t>Run length non-uniformity</t>
        </is>
      </c>
      <c r="E257" t="inlineStr">
        <is>
          <t>6-9</t>
        </is>
      </c>
      <c r="F257" t="n">
        <v>21.6</v>
      </c>
      <c r="G257" t="n">
        <v>0</v>
      </c>
      <c r="H257" s="4" t="n"/>
      <c r="I257" s="4">
        <f>IFERROR(IF(NOT(H257=""),ABS(ROUNDDOWN(F257-H257, 3 - (1+INT(LOG10(ABS(F257)))))),""),IF(AND(F257=0,NOT(F257="")),ABS(ROUNDDOWN(F257-H257,0)),""))</f>
        <v/>
      </c>
      <c r="J257" s="4">
        <f>IF(NOT(I257=""),IF(I257&lt;=G257,"match",IF(I257&lt;3*G257,"partial match","no match")),"")</f>
        <v/>
      </c>
      <c r="K257" t="inlineStr">
        <is>
          <t>rlm_rlnu_2D_comb</t>
        </is>
      </c>
    </row>
    <row r="258" ht="15" customHeight="1" s="10">
      <c r="A258" t="inlineStr">
        <is>
          <t>digital phantom</t>
        </is>
      </c>
      <c r="B258" t="inlineStr">
        <is>
          <t>Run length matrix (2D, slice-merged)</t>
        </is>
      </c>
      <c r="C258" t="inlineStr">
        <is>
          <t>Run length non-uniformity normalised</t>
        </is>
      </c>
      <c r="E258" t="inlineStr">
        <is>
          <t>6-9</t>
        </is>
      </c>
      <c r="F258" t="n">
        <v>0.441</v>
      </c>
      <c r="G258" t="n">
        <v>0</v>
      </c>
      <c r="H258" s="4" t="n"/>
      <c r="I258" s="4">
        <f>IFERROR(IF(NOT(H258=""),ABS(ROUNDDOWN(F258-H258, 3 - (1+INT(LOG10(ABS(F258)))))),""),IF(AND(F258=0,NOT(F258="")),ABS(ROUNDDOWN(F258-H258,0)),""))</f>
        <v/>
      </c>
      <c r="J258" s="4">
        <f>IF(NOT(I258=""),IF(I258&lt;=G258,"match",IF(I258&lt;3*G258,"partial match","no match")),"")</f>
        <v/>
      </c>
      <c r="K258" t="inlineStr">
        <is>
          <t>rlm_rlnu_norm_2D_comb</t>
        </is>
      </c>
    </row>
    <row r="259" ht="15" customHeight="1" s="10">
      <c r="A259" t="inlineStr">
        <is>
          <t>digital phantom</t>
        </is>
      </c>
      <c r="B259" t="inlineStr">
        <is>
          <t>Run length matrix (2D, slice-merged)</t>
        </is>
      </c>
      <c r="C259" t="inlineStr">
        <is>
          <t>Run percentage</t>
        </is>
      </c>
      <c r="E259" t="inlineStr">
        <is>
          <t>6-9</t>
        </is>
      </c>
      <c r="F259" t="n">
        <v>0.627</v>
      </c>
      <c r="G259" t="n">
        <v>0</v>
      </c>
      <c r="H259" s="4" t="n"/>
      <c r="I259" s="4">
        <f>IFERROR(IF(NOT(H259=""),ABS(ROUNDDOWN(F259-H259, 3 - (1+INT(LOG10(ABS(F259)))))),""),IF(AND(F259=0,NOT(F259="")),ABS(ROUNDDOWN(F259-H259,0)),""))</f>
        <v/>
      </c>
      <c r="J259" s="4">
        <f>IF(NOT(I259=""),IF(I259&lt;=G259,"match",IF(I259&lt;3*G259,"partial match","no match")),"")</f>
        <v/>
      </c>
      <c r="K259" t="inlineStr">
        <is>
          <t>rlm_r_perc_2D_comb</t>
        </is>
      </c>
    </row>
    <row r="260" ht="15" customHeight="1" s="10">
      <c r="A260" t="inlineStr">
        <is>
          <t>digital phantom</t>
        </is>
      </c>
      <c r="B260" t="inlineStr">
        <is>
          <t>Run length matrix (2D, slice-merged)</t>
        </is>
      </c>
      <c r="C260" t="inlineStr">
        <is>
          <t>Grey level variance</t>
        </is>
      </c>
      <c r="E260" t="inlineStr">
        <is>
          <t>6-9</t>
        </is>
      </c>
      <c r="F260" t="n">
        <v>3.37</v>
      </c>
      <c r="G260" t="n">
        <v>0</v>
      </c>
      <c r="H260" s="4" t="n"/>
      <c r="I260" s="4">
        <f>IFERROR(IF(NOT(H260=""),ABS(ROUNDDOWN(F260-H260, 3 - (1+INT(LOG10(ABS(F260)))))),""),IF(AND(F260=0,NOT(F260="")),ABS(ROUNDDOWN(F260-H260,0)),""))</f>
        <v/>
      </c>
      <c r="J260" s="4">
        <f>IF(NOT(I260=""),IF(I260&lt;=G260,"match",IF(I260&lt;3*G260,"partial match","no match")),"")</f>
        <v/>
      </c>
      <c r="K260" t="inlineStr">
        <is>
          <t>rlm_gl_var_2D_comb</t>
        </is>
      </c>
    </row>
    <row r="261" ht="15" customHeight="1" s="10">
      <c r="A261" t="inlineStr">
        <is>
          <t>digital phantom</t>
        </is>
      </c>
      <c r="B261" t="inlineStr">
        <is>
          <t>Run length matrix (2D, slice-merged)</t>
        </is>
      </c>
      <c r="C261" t="inlineStr">
        <is>
          <t>Run length variance</t>
        </is>
      </c>
      <c r="E261" t="inlineStr">
        <is>
          <t>6-9</t>
        </is>
      </c>
      <c r="F261" t="n">
        <v>0.778</v>
      </c>
      <c r="G261" t="n">
        <v>0</v>
      </c>
      <c r="H261" s="4" t="n"/>
      <c r="I261" s="4">
        <f>IFERROR(IF(NOT(H261=""),ABS(ROUNDDOWN(F261-H261, 3 - (1+INT(LOG10(ABS(F261)))))),""),IF(AND(F261=0,NOT(F261="")),ABS(ROUNDDOWN(F261-H261,0)),""))</f>
        <v/>
      </c>
      <c r="J261" s="4">
        <f>IF(NOT(I261=""),IF(I261&lt;=G261,"match",IF(I261&lt;3*G261,"partial match","no match")),"")</f>
        <v/>
      </c>
      <c r="K261" t="inlineStr">
        <is>
          <t>rlm_rl_var_2D_comb</t>
        </is>
      </c>
    </row>
    <row r="262" ht="15" customHeight="1" s="10">
      <c r="A262" t="inlineStr">
        <is>
          <t>digital phantom</t>
        </is>
      </c>
      <c r="B262" t="inlineStr">
        <is>
          <t>Run length matrix (2D, slice-merged)</t>
        </is>
      </c>
      <c r="C262" t="inlineStr">
        <is>
          <t>Run entropy</t>
        </is>
      </c>
      <c r="E262" t="inlineStr">
        <is>
          <t>6-9</t>
        </is>
      </c>
      <c r="F262" t="n">
        <v>2.57</v>
      </c>
      <c r="G262" t="n">
        <v>0</v>
      </c>
      <c r="H262" s="4" t="n"/>
      <c r="I262" s="4">
        <f>IFERROR(IF(NOT(H262=""),ABS(ROUNDDOWN(F262-H262, 3 - (1+INT(LOG10(ABS(F262)))))),""),IF(AND(F262=0,NOT(F262="")),ABS(ROUNDDOWN(F262-H262,0)),""))</f>
        <v/>
      </c>
      <c r="J262" s="4">
        <f>IF(NOT(I262=""),IF(I262&lt;=G262,"match",IF(I262&lt;3*G262,"partial match","no match")),"")</f>
        <v/>
      </c>
      <c r="K262" t="inlineStr">
        <is>
          <t>rlm_rl_entr_2D_comb</t>
        </is>
      </c>
    </row>
    <row r="263" ht="15" customHeight="1" s="10">
      <c r="A263" t="inlineStr">
        <is>
          <t>digital phantom</t>
        </is>
      </c>
      <c r="B263" t="inlineStr">
        <is>
          <t>Run length matrix (2.5D, direction-merged)</t>
        </is>
      </c>
      <c r="C263" t="inlineStr">
        <is>
          <t>Short runs emphasis</t>
        </is>
      </c>
      <c r="E263" t="inlineStr">
        <is>
          <t>&lt; 3</t>
        </is>
      </c>
      <c r="H263" s="4" t="n"/>
      <c r="I263" s="4">
        <f>IFERROR(IF(NOT(H263=""),ABS(ROUNDDOWN(F263-H263, 3 - (1+INT(LOG10(ABS(F263)))))),""),IF(AND(F263=0,NOT(F263="")),ABS(ROUNDDOWN(F263-H263,0)),""))</f>
        <v/>
      </c>
      <c r="J263" s="4">
        <f>IF(NOT(I263=""),IF(I263&lt;=G263,"match",IF(I263&lt;3*G263,"partial match","no match")),"")</f>
        <v/>
      </c>
      <c r="K263" t="inlineStr">
        <is>
          <t>rlm_sre_2_5D_avg</t>
        </is>
      </c>
    </row>
    <row r="264" ht="15" customHeight="1" s="10">
      <c r="A264" t="inlineStr">
        <is>
          <t>digital phantom</t>
        </is>
      </c>
      <c r="B264" t="inlineStr">
        <is>
          <t>Run length matrix (2.5D, direction-merged)</t>
        </is>
      </c>
      <c r="C264" t="inlineStr">
        <is>
          <t>Long runs emphasis</t>
        </is>
      </c>
      <c r="E264" t="inlineStr">
        <is>
          <t>&lt; 3</t>
        </is>
      </c>
      <c r="H264" s="4" t="n"/>
      <c r="I264" s="4">
        <f>IFERROR(IF(NOT(H264=""),ABS(ROUNDDOWN(F264-H264, 3 - (1+INT(LOG10(ABS(F264)))))),""),IF(AND(F264=0,NOT(F264="")),ABS(ROUNDDOWN(F264-H264,0)),""))</f>
        <v/>
      </c>
      <c r="J264" s="4">
        <f>IF(NOT(I264=""),IF(I264&lt;=G264,"match",IF(I264&lt;3*G264,"partial match","no match")),"")</f>
        <v/>
      </c>
      <c r="K264" t="inlineStr">
        <is>
          <t>rlm_lre_2_5D_avg</t>
        </is>
      </c>
    </row>
    <row r="265" ht="15" customHeight="1" s="10">
      <c r="A265" t="inlineStr">
        <is>
          <t>digital phantom</t>
        </is>
      </c>
      <c r="B265" t="inlineStr">
        <is>
          <t>Run length matrix (2.5D, direction-merged)</t>
        </is>
      </c>
      <c r="C265" t="inlineStr">
        <is>
          <t>Low grey level run emphasis</t>
        </is>
      </c>
      <c r="E265" t="inlineStr">
        <is>
          <t>&lt; 3</t>
        </is>
      </c>
      <c r="H265" s="4" t="n"/>
      <c r="I265" s="4">
        <f>IFERROR(IF(NOT(H265=""),ABS(ROUNDDOWN(F265-H265, 3 - (1+INT(LOG10(ABS(F265)))))),""),IF(AND(F265=0,NOT(F265="")),ABS(ROUNDDOWN(F265-H265,0)),""))</f>
        <v/>
      </c>
      <c r="J265" s="4">
        <f>IF(NOT(I265=""),IF(I265&lt;=G265,"match",IF(I265&lt;3*G265,"partial match","no match")),"")</f>
        <v/>
      </c>
      <c r="K265" t="inlineStr">
        <is>
          <t>rlm_lgre_2_5D_avg</t>
        </is>
      </c>
    </row>
    <row r="266" ht="15" customHeight="1" s="10">
      <c r="A266" t="inlineStr">
        <is>
          <t>digital phantom</t>
        </is>
      </c>
      <c r="B266" t="inlineStr">
        <is>
          <t>Run length matrix (2.5D, direction-merged)</t>
        </is>
      </c>
      <c r="C266" t="inlineStr">
        <is>
          <t>High grey level run emphasis</t>
        </is>
      </c>
      <c r="E266" t="inlineStr">
        <is>
          <t>&lt; 3</t>
        </is>
      </c>
      <c r="H266" s="4" t="n"/>
      <c r="I266" s="4">
        <f>IFERROR(IF(NOT(H266=""),ABS(ROUNDDOWN(F266-H266, 3 - (1+INT(LOG10(ABS(F266)))))),""),IF(AND(F266=0,NOT(F266="")),ABS(ROUNDDOWN(F266-H266,0)),""))</f>
        <v/>
      </c>
      <c r="J266" s="4">
        <f>IF(NOT(I266=""),IF(I266&lt;=G266,"match",IF(I266&lt;3*G266,"partial match","no match")),"")</f>
        <v/>
      </c>
      <c r="K266" t="inlineStr">
        <is>
          <t>rlm_hgre_2_5D_avg</t>
        </is>
      </c>
    </row>
    <row r="267" ht="15" customHeight="1" s="10">
      <c r="A267" t="inlineStr">
        <is>
          <t>digital phantom</t>
        </is>
      </c>
      <c r="B267" t="inlineStr">
        <is>
          <t>Run length matrix (2.5D, direction-merged)</t>
        </is>
      </c>
      <c r="C267" t="inlineStr">
        <is>
          <t>Short run low grey level emphasis</t>
        </is>
      </c>
      <c r="E267" t="inlineStr">
        <is>
          <t>&lt; 3</t>
        </is>
      </c>
      <c r="H267" s="4" t="n"/>
      <c r="I267" s="4">
        <f>IFERROR(IF(NOT(H267=""),ABS(ROUNDDOWN(F267-H267, 3 - (1+INT(LOG10(ABS(F267)))))),""),IF(AND(F267=0,NOT(F267="")),ABS(ROUNDDOWN(F267-H267,0)),""))</f>
        <v/>
      </c>
      <c r="J267" s="4">
        <f>IF(NOT(I267=""),IF(I267&lt;=G267,"match",IF(I267&lt;3*G267,"partial match","no match")),"")</f>
        <v/>
      </c>
      <c r="K267" t="inlineStr">
        <is>
          <t>rlm_srlge_2_5D_avg</t>
        </is>
      </c>
    </row>
    <row r="268" ht="15" customHeight="1" s="10">
      <c r="A268" t="inlineStr">
        <is>
          <t>digital phantom</t>
        </is>
      </c>
      <c r="B268" t="inlineStr">
        <is>
          <t>Run length matrix (2.5D, direction-merged)</t>
        </is>
      </c>
      <c r="C268" t="inlineStr">
        <is>
          <t>Short run high grey level emphasis</t>
        </is>
      </c>
      <c r="E268" t="inlineStr">
        <is>
          <t>&lt; 3</t>
        </is>
      </c>
      <c r="H268" s="4" t="n"/>
      <c r="I268" s="4">
        <f>IFERROR(IF(NOT(H268=""),ABS(ROUNDDOWN(F268-H268, 3 - (1+INT(LOG10(ABS(F268)))))),""),IF(AND(F268=0,NOT(F268="")),ABS(ROUNDDOWN(F268-H268,0)),""))</f>
        <v/>
      </c>
      <c r="J268" s="4">
        <f>IF(NOT(I268=""),IF(I268&lt;=G268,"match",IF(I268&lt;3*G268,"partial match","no match")),"")</f>
        <v/>
      </c>
      <c r="K268" t="inlineStr">
        <is>
          <t>rlm_srhge_2_5D_avg</t>
        </is>
      </c>
    </row>
    <row r="269" ht="15" customHeight="1" s="10">
      <c r="A269" t="inlineStr">
        <is>
          <t>digital phantom</t>
        </is>
      </c>
      <c r="B269" t="inlineStr">
        <is>
          <t>Run length matrix (2.5D, direction-merged)</t>
        </is>
      </c>
      <c r="C269" t="inlineStr">
        <is>
          <t>Long run low grey level emphasis</t>
        </is>
      </c>
      <c r="E269" t="inlineStr">
        <is>
          <t>&lt; 3</t>
        </is>
      </c>
      <c r="H269" s="4" t="n"/>
      <c r="I269" s="4">
        <f>IFERROR(IF(NOT(H269=""),ABS(ROUNDDOWN(F269-H269, 3 - (1+INT(LOG10(ABS(F269)))))),""),IF(AND(F269=0,NOT(F269="")),ABS(ROUNDDOWN(F269-H269,0)),""))</f>
        <v/>
      </c>
      <c r="J269" s="4">
        <f>IF(NOT(I269=""),IF(I269&lt;=G269,"match",IF(I269&lt;3*G269,"partial match","no match")),"")</f>
        <v/>
      </c>
      <c r="K269" t="inlineStr">
        <is>
          <t>rlm_lrlge_2_5D_avg</t>
        </is>
      </c>
    </row>
    <row r="270" ht="15" customHeight="1" s="10">
      <c r="A270" t="inlineStr">
        <is>
          <t>digital phantom</t>
        </is>
      </c>
      <c r="B270" t="inlineStr">
        <is>
          <t>Run length matrix (2.5D, direction-merged)</t>
        </is>
      </c>
      <c r="C270" t="inlineStr">
        <is>
          <t>Long run high grey level emphasis</t>
        </is>
      </c>
      <c r="E270" t="inlineStr">
        <is>
          <t>&lt; 3</t>
        </is>
      </c>
      <c r="H270" s="4" t="n"/>
      <c r="I270" s="4">
        <f>IFERROR(IF(NOT(H270=""),ABS(ROUNDDOWN(F270-H270, 3 - (1+INT(LOG10(ABS(F270)))))),""),IF(AND(F270=0,NOT(F270="")),ABS(ROUNDDOWN(F270-H270,0)),""))</f>
        <v/>
      </c>
      <c r="J270" s="4">
        <f>IF(NOT(I270=""),IF(I270&lt;=G270,"match",IF(I270&lt;3*G270,"partial match","no match")),"")</f>
        <v/>
      </c>
      <c r="K270" t="inlineStr">
        <is>
          <t>rlm_lrhge_2_5D_avg</t>
        </is>
      </c>
    </row>
    <row r="271" ht="15" customHeight="1" s="10">
      <c r="A271" t="inlineStr">
        <is>
          <t>digital phantom</t>
        </is>
      </c>
      <c r="B271" t="inlineStr">
        <is>
          <t>Run length matrix (2.5D, direction-merged)</t>
        </is>
      </c>
      <c r="C271" t="inlineStr">
        <is>
          <t>Grey level non-uniformity</t>
        </is>
      </c>
      <c r="E271" t="inlineStr">
        <is>
          <t>&lt; 3</t>
        </is>
      </c>
      <c r="H271" s="4" t="n"/>
      <c r="I271" s="4">
        <f>IFERROR(IF(NOT(H271=""),ABS(ROUNDDOWN(F271-H271, 3 - (1+INT(LOG10(ABS(F271)))))),""),IF(AND(F271=0,NOT(F271="")),ABS(ROUNDDOWN(F271-H271,0)),""))</f>
        <v/>
      </c>
      <c r="J271" s="4">
        <f>IF(NOT(I271=""),IF(I271&lt;=G271,"match",IF(I271&lt;3*G271,"partial match","no match")),"")</f>
        <v/>
      </c>
      <c r="K271" t="inlineStr">
        <is>
          <t>rlm_glnu_2_5D_avg</t>
        </is>
      </c>
    </row>
    <row r="272" ht="15" customHeight="1" s="10">
      <c r="A272" t="inlineStr">
        <is>
          <t>digital phantom</t>
        </is>
      </c>
      <c r="B272" t="inlineStr">
        <is>
          <t>Run length matrix (2.5D, direction-merged)</t>
        </is>
      </c>
      <c r="C272" t="inlineStr">
        <is>
          <t>Grey level non-uniformity normalised</t>
        </is>
      </c>
      <c r="E272" t="inlineStr">
        <is>
          <t>&lt; 3</t>
        </is>
      </c>
      <c r="H272" s="4" t="n"/>
      <c r="I272" s="4">
        <f>IFERROR(IF(NOT(H272=""),ABS(ROUNDDOWN(F272-H272, 3 - (1+INT(LOG10(ABS(F272)))))),""),IF(AND(F272=0,NOT(F272="")),ABS(ROUNDDOWN(F272-H272,0)),""))</f>
        <v/>
      </c>
      <c r="J272" s="4">
        <f>IF(NOT(I272=""),IF(I272&lt;=G272,"match",IF(I272&lt;3*G272,"partial match","no match")),"")</f>
        <v/>
      </c>
      <c r="K272" t="inlineStr">
        <is>
          <t>rlm_glnu_norm_2_5D_avg</t>
        </is>
      </c>
    </row>
    <row r="273" ht="15" customHeight="1" s="10">
      <c r="A273" t="inlineStr">
        <is>
          <t>digital phantom</t>
        </is>
      </c>
      <c r="B273" t="inlineStr">
        <is>
          <t>Run length matrix (2.5D, direction-merged)</t>
        </is>
      </c>
      <c r="C273" t="inlineStr">
        <is>
          <t>Run length non-uniformity</t>
        </is>
      </c>
      <c r="E273" t="inlineStr">
        <is>
          <t>&lt; 3</t>
        </is>
      </c>
      <c r="H273" s="4" t="n"/>
      <c r="I273" s="4">
        <f>IFERROR(IF(NOT(H273=""),ABS(ROUNDDOWN(F273-H273, 3 - (1+INT(LOG10(ABS(F273)))))),""),IF(AND(F273=0,NOT(F273="")),ABS(ROUNDDOWN(F273-H273,0)),""))</f>
        <v/>
      </c>
      <c r="J273" s="4">
        <f>IF(NOT(I273=""),IF(I273&lt;=G273,"match",IF(I273&lt;3*G273,"partial match","no match")),"")</f>
        <v/>
      </c>
      <c r="K273" t="inlineStr">
        <is>
          <t>rlm_rlnu_2_5D_avg</t>
        </is>
      </c>
    </row>
    <row r="274" ht="15" customHeight="1" s="10">
      <c r="A274" t="inlineStr">
        <is>
          <t>digital phantom</t>
        </is>
      </c>
      <c r="B274" t="inlineStr">
        <is>
          <t>Run length matrix (2.5D, direction-merged)</t>
        </is>
      </c>
      <c r="C274" t="inlineStr">
        <is>
          <t>Run length non-uniformity normalised</t>
        </is>
      </c>
      <c r="E274" t="inlineStr">
        <is>
          <t>&lt; 3</t>
        </is>
      </c>
      <c r="H274" s="4" t="n"/>
      <c r="I274" s="4">
        <f>IFERROR(IF(NOT(H274=""),ABS(ROUNDDOWN(F274-H274, 3 - (1+INT(LOG10(ABS(F274)))))),""),IF(AND(F274=0,NOT(F274="")),ABS(ROUNDDOWN(F274-H274,0)),""))</f>
        <v/>
      </c>
      <c r="J274" s="4">
        <f>IF(NOT(I274=""),IF(I274&lt;=G274,"match",IF(I274&lt;3*G274,"partial match","no match")),"")</f>
        <v/>
      </c>
      <c r="K274" t="inlineStr">
        <is>
          <t>rlm_rlnu_norm_2_5D_avg</t>
        </is>
      </c>
    </row>
    <row r="275" ht="15" customHeight="1" s="10">
      <c r="A275" t="inlineStr">
        <is>
          <t>digital phantom</t>
        </is>
      </c>
      <c r="B275" t="inlineStr">
        <is>
          <t>Run length matrix (2.5D, direction-merged)</t>
        </is>
      </c>
      <c r="C275" t="inlineStr">
        <is>
          <t>Run percentage</t>
        </is>
      </c>
      <c r="E275" t="inlineStr">
        <is>
          <t>&lt; 3</t>
        </is>
      </c>
      <c r="H275" s="4" t="n"/>
      <c r="I275" s="4">
        <f>IFERROR(IF(NOT(H275=""),ABS(ROUNDDOWN(F275-H275, 3 - (1+INT(LOG10(ABS(F275)))))),""),IF(AND(F275=0,NOT(F275="")),ABS(ROUNDDOWN(F275-H275,0)),""))</f>
        <v/>
      </c>
      <c r="J275" s="4">
        <f>IF(NOT(I275=""),IF(I275&lt;=G275,"match",IF(I275&lt;3*G275,"partial match","no match")),"")</f>
        <v/>
      </c>
      <c r="K275" t="inlineStr">
        <is>
          <t>rlm_r_perc_2_5D_avg</t>
        </is>
      </c>
    </row>
    <row r="276" ht="15" customHeight="1" s="10">
      <c r="A276" t="inlineStr">
        <is>
          <t>digital phantom</t>
        </is>
      </c>
      <c r="B276" t="inlineStr">
        <is>
          <t>Run length matrix (2.5D, direction-merged)</t>
        </is>
      </c>
      <c r="C276" t="inlineStr">
        <is>
          <t>Grey level variance</t>
        </is>
      </c>
      <c r="E276" t="inlineStr">
        <is>
          <t>&lt; 3</t>
        </is>
      </c>
      <c r="H276" s="4" t="n"/>
      <c r="I276" s="4">
        <f>IFERROR(IF(NOT(H276=""),ABS(ROUNDDOWN(F276-H276, 3 - (1+INT(LOG10(ABS(F276)))))),""),IF(AND(F276=0,NOT(F276="")),ABS(ROUNDDOWN(F276-H276,0)),""))</f>
        <v/>
      </c>
      <c r="J276" s="4">
        <f>IF(NOT(I276=""),IF(I276&lt;=G276,"match",IF(I276&lt;3*G276,"partial match","no match")),"")</f>
        <v/>
      </c>
      <c r="K276" t="inlineStr">
        <is>
          <t>rlm_gl_var_2_5D_avg</t>
        </is>
      </c>
    </row>
    <row r="277" ht="15" customHeight="1" s="10">
      <c r="A277" t="inlineStr">
        <is>
          <t>digital phantom</t>
        </is>
      </c>
      <c r="B277" t="inlineStr">
        <is>
          <t>Run length matrix (2.5D, direction-merged)</t>
        </is>
      </c>
      <c r="C277" t="inlineStr">
        <is>
          <t>Run length variance</t>
        </is>
      </c>
      <c r="E277" t="inlineStr">
        <is>
          <t>&lt; 3</t>
        </is>
      </c>
      <c r="H277" s="4" t="n"/>
      <c r="I277" s="4">
        <f>IFERROR(IF(NOT(H277=""),ABS(ROUNDDOWN(F277-H277, 3 - (1+INT(LOG10(ABS(F277)))))),""),IF(AND(F277=0,NOT(F277="")),ABS(ROUNDDOWN(F277-H277,0)),""))</f>
        <v/>
      </c>
      <c r="J277" s="4">
        <f>IF(NOT(I277=""),IF(I277&lt;=G277,"match",IF(I277&lt;3*G277,"partial match","no match")),"")</f>
        <v/>
      </c>
      <c r="K277" t="inlineStr">
        <is>
          <t>rlm_rl_var_2_5D_avg</t>
        </is>
      </c>
    </row>
    <row r="278" ht="15" customHeight="1" s="10">
      <c r="A278" t="inlineStr">
        <is>
          <t>digital phantom</t>
        </is>
      </c>
      <c r="B278" t="inlineStr">
        <is>
          <t>Run length matrix (2.5D, direction-merged)</t>
        </is>
      </c>
      <c r="C278" t="inlineStr">
        <is>
          <t>Run entropy</t>
        </is>
      </c>
      <c r="E278" t="inlineStr">
        <is>
          <t>&lt; 3</t>
        </is>
      </c>
      <c r="H278" s="4" t="n"/>
      <c r="I278" s="4">
        <f>IFERROR(IF(NOT(H278=""),ABS(ROUNDDOWN(F278-H278, 3 - (1+INT(LOG10(ABS(F278)))))),""),IF(AND(F278=0,NOT(F278="")),ABS(ROUNDDOWN(F278-H278,0)),""))</f>
        <v/>
      </c>
      <c r="J278" s="4">
        <f>IF(NOT(I278=""),IF(I278&lt;=G278,"match",IF(I278&lt;3*G278,"partial match","no match")),"")</f>
        <v/>
      </c>
      <c r="K278" t="inlineStr">
        <is>
          <t>rlm_rl_entr_2_5D_avg</t>
        </is>
      </c>
    </row>
    <row r="279" ht="15" customHeight="1" s="10">
      <c r="A279" t="inlineStr">
        <is>
          <t>digital phantom</t>
        </is>
      </c>
      <c r="B279" t="inlineStr">
        <is>
          <t>Run length matrix (2.5D, merged)</t>
        </is>
      </c>
      <c r="C279" t="inlineStr">
        <is>
          <t>Short runs emphasis</t>
        </is>
      </c>
      <c r="E279" t="inlineStr">
        <is>
          <t>&lt; 3</t>
        </is>
      </c>
      <c r="H279" s="4" t="n"/>
      <c r="I279" s="4">
        <f>IFERROR(IF(NOT(H279=""),ABS(ROUNDDOWN(F279-H279, 3 - (1+INT(LOG10(ABS(F279)))))),""),IF(AND(F279=0,NOT(F279="")),ABS(ROUNDDOWN(F279-H279,0)),""))</f>
        <v/>
      </c>
      <c r="J279" s="4">
        <f>IF(NOT(I279=""),IF(I279&lt;=G279,"match",IF(I279&lt;3*G279,"partial match","no match")),"")</f>
        <v/>
      </c>
      <c r="K279" t="inlineStr">
        <is>
          <t>rlm_sre_2_5D_comb</t>
        </is>
      </c>
    </row>
    <row r="280" ht="15" customHeight="1" s="10">
      <c r="A280" t="inlineStr">
        <is>
          <t>digital phantom</t>
        </is>
      </c>
      <c r="B280" t="inlineStr">
        <is>
          <t>Run length matrix (2.5D, merged)</t>
        </is>
      </c>
      <c r="C280" t="inlineStr">
        <is>
          <t>Long runs emphasis</t>
        </is>
      </c>
      <c r="E280" t="inlineStr">
        <is>
          <t>&lt; 3</t>
        </is>
      </c>
      <c r="H280" s="4" t="n"/>
      <c r="I280" s="4">
        <f>IFERROR(IF(NOT(H280=""),ABS(ROUNDDOWN(F280-H280, 3 - (1+INT(LOG10(ABS(F280)))))),""),IF(AND(F280=0,NOT(F280="")),ABS(ROUNDDOWN(F280-H280,0)),""))</f>
        <v/>
      </c>
      <c r="J280" s="4">
        <f>IF(NOT(I280=""),IF(I280&lt;=G280,"match",IF(I280&lt;3*G280,"partial match","no match")),"")</f>
        <v/>
      </c>
      <c r="K280" t="inlineStr">
        <is>
          <t>rlm_lre_2_5D_comb</t>
        </is>
      </c>
    </row>
    <row r="281" ht="15" customHeight="1" s="10">
      <c r="A281" t="inlineStr">
        <is>
          <t>digital phantom</t>
        </is>
      </c>
      <c r="B281" t="inlineStr">
        <is>
          <t>Run length matrix (2.5D, merged)</t>
        </is>
      </c>
      <c r="C281" t="inlineStr">
        <is>
          <t>Low grey level run emphasis</t>
        </is>
      </c>
      <c r="E281" t="inlineStr">
        <is>
          <t>&lt; 3</t>
        </is>
      </c>
      <c r="H281" s="4" t="n"/>
      <c r="I281" s="4">
        <f>IFERROR(IF(NOT(H281=""),ABS(ROUNDDOWN(F281-H281, 3 - (1+INT(LOG10(ABS(F281)))))),""),IF(AND(F281=0,NOT(F281="")),ABS(ROUNDDOWN(F281-H281,0)),""))</f>
        <v/>
      </c>
      <c r="J281" s="4">
        <f>IF(NOT(I281=""),IF(I281&lt;=G281,"match",IF(I281&lt;3*G281,"partial match","no match")),"")</f>
        <v/>
      </c>
      <c r="K281" t="inlineStr">
        <is>
          <t>rlm_lgre_2_5D_comb</t>
        </is>
      </c>
    </row>
    <row r="282" ht="15" customHeight="1" s="10">
      <c r="A282" t="inlineStr">
        <is>
          <t>digital phantom</t>
        </is>
      </c>
      <c r="B282" t="inlineStr">
        <is>
          <t>Run length matrix (2.5D, merged)</t>
        </is>
      </c>
      <c r="C282" t="inlineStr">
        <is>
          <t>High grey level run emphasis</t>
        </is>
      </c>
      <c r="E282" t="inlineStr">
        <is>
          <t>&lt; 3</t>
        </is>
      </c>
      <c r="H282" s="4" t="n"/>
      <c r="I282" s="4">
        <f>IFERROR(IF(NOT(H282=""),ABS(ROUNDDOWN(F282-H282, 3 - (1+INT(LOG10(ABS(F282)))))),""),IF(AND(F282=0,NOT(F282="")),ABS(ROUNDDOWN(F282-H282,0)),""))</f>
        <v/>
      </c>
      <c r="J282" s="4">
        <f>IF(NOT(I282=""),IF(I282&lt;=G282,"match",IF(I282&lt;3*G282,"partial match","no match")),"")</f>
        <v/>
      </c>
      <c r="K282" t="inlineStr">
        <is>
          <t>rlm_hgre_2_5D_comb</t>
        </is>
      </c>
    </row>
    <row r="283" ht="15" customHeight="1" s="10">
      <c r="A283" t="inlineStr">
        <is>
          <t>digital phantom</t>
        </is>
      </c>
      <c r="B283" t="inlineStr">
        <is>
          <t>Run length matrix (2.5D, merged)</t>
        </is>
      </c>
      <c r="C283" t="inlineStr">
        <is>
          <t>Short run low grey level emphasis</t>
        </is>
      </c>
      <c r="E283" t="inlineStr">
        <is>
          <t>&lt; 3</t>
        </is>
      </c>
      <c r="H283" s="4" t="n"/>
      <c r="I283" s="4">
        <f>IFERROR(IF(NOT(H283=""),ABS(ROUNDDOWN(F283-H283, 3 - (1+INT(LOG10(ABS(F283)))))),""),IF(AND(F283=0,NOT(F283="")),ABS(ROUNDDOWN(F283-H283,0)),""))</f>
        <v/>
      </c>
      <c r="J283" s="4">
        <f>IF(NOT(I283=""),IF(I283&lt;=G283,"match",IF(I283&lt;3*G283,"partial match","no match")),"")</f>
        <v/>
      </c>
      <c r="K283" t="inlineStr">
        <is>
          <t>rlm_srlge_2_5D_comb</t>
        </is>
      </c>
    </row>
    <row r="284" ht="15" customHeight="1" s="10">
      <c r="A284" t="inlineStr">
        <is>
          <t>digital phantom</t>
        </is>
      </c>
      <c r="B284" t="inlineStr">
        <is>
          <t>Run length matrix (2.5D, merged)</t>
        </is>
      </c>
      <c r="C284" t="inlineStr">
        <is>
          <t>Short run high grey level emphasis</t>
        </is>
      </c>
      <c r="E284" t="inlineStr">
        <is>
          <t>&lt; 3</t>
        </is>
      </c>
      <c r="H284" s="4" t="n"/>
      <c r="I284" s="4">
        <f>IFERROR(IF(NOT(H284=""),ABS(ROUNDDOWN(F284-H284, 3 - (1+INT(LOG10(ABS(F284)))))),""),IF(AND(F284=0,NOT(F284="")),ABS(ROUNDDOWN(F284-H284,0)),""))</f>
        <v/>
      </c>
      <c r="J284" s="4">
        <f>IF(NOT(I284=""),IF(I284&lt;=G284,"match",IF(I284&lt;3*G284,"partial match","no match")),"")</f>
        <v/>
      </c>
      <c r="K284" t="inlineStr">
        <is>
          <t>rlm_srhge_2_5D_comb</t>
        </is>
      </c>
    </row>
    <row r="285" ht="15" customHeight="1" s="10">
      <c r="A285" t="inlineStr">
        <is>
          <t>digital phantom</t>
        </is>
      </c>
      <c r="B285" t="inlineStr">
        <is>
          <t>Run length matrix (2.5D, merged)</t>
        </is>
      </c>
      <c r="C285" t="inlineStr">
        <is>
          <t>Long run low grey level emphasis</t>
        </is>
      </c>
      <c r="E285" t="inlineStr">
        <is>
          <t>&lt; 3</t>
        </is>
      </c>
      <c r="H285" s="4" t="n"/>
      <c r="I285" s="4">
        <f>IFERROR(IF(NOT(H285=""),ABS(ROUNDDOWN(F285-H285, 3 - (1+INT(LOG10(ABS(F285)))))),""),IF(AND(F285=0,NOT(F285="")),ABS(ROUNDDOWN(F285-H285,0)),""))</f>
        <v/>
      </c>
      <c r="J285" s="4">
        <f>IF(NOT(I285=""),IF(I285&lt;=G285,"match",IF(I285&lt;3*G285,"partial match","no match")),"")</f>
        <v/>
      </c>
      <c r="K285" t="inlineStr">
        <is>
          <t>rlm_lrlge_2_5D_comb</t>
        </is>
      </c>
    </row>
    <row r="286" ht="15" customHeight="1" s="10">
      <c r="A286" t="inlineStr">
        <is>
          <t>digital phantom</t>
        </is>
      </c>
      <c r="B286" t="inlineStr">
        <is>
          <t>Run length matrix (2.5D, merged)</t>
        </is>
      </c>
      <c r="C286" t="inlineStr">
        <is>
          <t>Long run high grey level emphasis</t>
        </is>
      </c>
      <c r="E286" t="inlineStr">
        <is>
          <t>&lt; 3</t>
        </is>
      </c>
      <c r="H286" s="4" t="n"/>
      <c r="I286" s="4">
        <f>IFERROR(IF(NOT(H286=""),ABS(ROUNDDOWN(F286-H286, 3 - (1+INT(LOG10(ABS(F286)))))),""),IF(AND(F286=0,NOT(F286="")),ABS(ROUNDDOWN(F286-H286,0)),""))</f>
        <v/>
      </c>
      <c r="J286" s="4">
        <f>IF(NOT(I286=""),IF(I286&lt;=G286,"match",IF(I286&lt;3*G286,"partial match","no match")),"")</f>
        <v/>
      </c>
      <c r="K286" t="inlineStr">
        <is>
          <t>rlm_lrhge_2_5D_comb</t>
        </is>
      </c>
    </row>
    <row r="287" ht="15" customHeight="1" s="10">
      <c r="A287" t="inlineStr">
        <is>
          <t>digital phantom</t>
        </is>
      </c>
      <c r="B287" t="inlineStr">
        <is>
          <t>Run length matrix (2.5D, merged)</t>
        </is>
      </c>
      <c r="C287" t="inlineStr">
        <is>
          <t>Grey level non-uniformity</t>
        </is>
      </c>
      <c r="E287" t="inlineStr">
        <is>
          <t>&lt; 3</t>
        </is>
      </c>
      <c r="H287" s="4" t="n"/>
      <c r="I287" s="4">
        <f>IFERROR(IF(NOT(H287=""),ABS(ROUNDDOWN(F287-H287, 3 - (1+INT(LOG10(ABS(F287)))))),""),IF(AND(F287=0,NOT(F287="")),ABS(ROUNDDOWN(F287-H287,0)),""))</f>
        <v/>
      </c>
      <c r="J287" s="4">
        <f>IF(NOT(I287=""),IF(I287&lt;=G287,"match",IF(I287&lt;3*G287,"partial match","no match")),"")</f>
        <v/>
      </c>
      <c r="K287" t="inlineStr">
        <is>
          <t>rlm_glnu_2_5D_comb</t>
        </is>
      </c>
    </row>
    <row r="288" ht="15" customHeight="1" s="10">
      <c r="A288" t="inlineStr">
        <is>
          <t>digital phantom</t>
        </is>
      </c>
      <c r="B288" t="inlineStr">
        <is>
          <t>Run length matrix (2.5D, merged)</t>
        </is>
      </c>
      <c r="C288" t="inlineStr">
        <is>
          <t>Grey level non-uniformity normalised</t>
        </is>
      </c>
      <c r="E288" t="inlineStr">
        <is>
          <t>&lt; 3</t>
        </is>
      </c>
      <c r="H288" s="4" t="n"/>
      <c r="I288" s="4">
        <f>IFERROR(IF(NOT(H288=""),ABS(ROUNDDOWN(F288-H288, 3 - (1+INT(LOG10(ABS(F288)))))),""),IF(AND(F288=0,NOT(F288="")),ABS(ROUNDDOWN(F288-H288,0)),""))</f>
        <v/>
      </c>
      <c r="J288" s="4">
        <f>IF(NOT(I288=""),IF(I288&lt;=G288,"match",IF(I288&lt;3*G288,"partial match","no match")),"")</f>
        <v/>
      </c>
      <c r="K288" t="inlineStr">
        <is>
          <t>rlm_glnu_norm_2_5D_comb</t>
        </is>
      </c>
    </row>
    <row r="289" ht="15" customHeight="1" s="10">
      <c r="A289" t="inlineStr">
        <is>
          <t>digital phantom</t>
        </is>
      </c>
      <c r="B289" t="inlineStr">
        <is>
          <t>Run length matrix (2.5D, merged)</t>
        </is>
      </c>
      <c r="C289" t="inlineStr">
        <is>
          <t>Run length non-uniformity</t>
        </is>
      </c>
      <c r="E289" t="inlineStr">
        <is>
          <t>&lt; 3</t>
        </is>
      </c>
      <c r="H289" s="4" t="n"/>
      <c r="I289" s="4">
        <f>IFERROR(IF(NOT(H289=""),ABS(ROUNDDOWN(F289-H289, 3 - (1+INT(LOG10(ABS(F289)))))),""),IF(AND(F289=0,NOT(F289="")),ABS(ROUNDDOWN(F289-H289,0)),""))</f>
        <v/>
      </c>
      <c r="J289" s="4">
        <f>IF(NOT(I289=""),IF(I289&lt;=G289,"match",IF(I289&lt;3*G289,"partial match","no match")),"")</f>
        <v/>
      </c>
      <c r="K289" t="inlineStr">
        <is>
          <t>rlm_rlnu_2_5D_comb</t>
        </is>
      </c>
    </row>
    <row r="290" ht="15" customHeight="1" s="10">
      <c r="A290" t="inlineStr">
        <is>
          <t>digital phantom</t>
        </is>
      </c>
      <c r="B290" t="inlineStr">
        <is>
          <t>Run length matrix (2.5D, merged)</t>
        </is>
      </c>
      <c r="C290" t="inlineStr">
        <is>
          <t>Run length non-uniformity normalised</t>
        </is>
      </c>
      <c r="E290" t="inlineStr">
        <is>
          <t>&lt; 3</t>
        </is>
      </c>
      <c r="H290" s="4" t="n"/>
      <c r="I290" s="4">
        <f>IFERROR(IF(NOT(H290=""),ABS(ROUNDDOWN(F290-H290, 3 - (1+INT(LOG10(ABS(F290)))))),""),IF(AND(F290=0,NOT(F290="")),ABS(ROUNDDOWN(F290-H290,0)),""))</f>
        <v/>
      </c>
      <c r="J290" s="4">
        <f>IF(NOT(I290=""),IF(I290&lt;=G290,"match",IF(I290&lt;3*G290,"partial match","no match")),"")</f>
        <v/>
      </c>
      <c r="K290" t="inlineStr">
        <is>
          <t>rlm_rlnu_norm_2_5D_comb</t>
        </is>
      </c>
    </row>
    <row r="291" ht="15" customHeight="1" s="10">
      <c r="A291" t="inlineStr">
        <is>
          <t>digital phantom</t>
        </is>
      </c>
      <c r="B291" t="inlineStr">
        <is>
          <t>Run length matrix (2.5D, merged)</t>
        </is>
      </c>
      <c r="C291" t="inlineStr">
        <is>
          <t>Run percentage</t>
        </is>
      </c>
      <c r="E291" t="inlineStr">
        <is>
          <t>&lt; 3</t>
        </is>
      </c>
      <c r="H291" s="4" t="n"/>
      <c r="I291" s="4">
        <f>IFERROR(IF(NOT(H291=""),ABS(ROUNDDOWN(F291-H291, 3 - (1+INT(LOG10(ABS(F291)))))),""),IF(AND(F291=0,NOT(F291="")),ABS(ROUNDDOWN(F291-H291,0)),""))</f>
        <v/>
      </c>
      <c r="J291" s="4">
        <f>IF(NOT(I291=""),IF(I291&lt;=G291,"match",IF(I291&lt;3*G291,"partial match","no match")),"")</f>
        <v/>
      </c>
      <c r="K291" t="inlineStr">
        <is>
          <t>rlm_r_perc_2_5D_comb</t>
        </is>
      </c>
    </row>
    <row r="292" ht="15" customHeight="1" s="10">
      <c r="A292" t="inlineStr">
        <is>
          <t>digital phantom</t>
        </is>
      </c>
      <c r="B292" t="inlineStr">
        <is>
          <t>Run length matrix (2.5D, merged)</t>
        </is>
      </c>
      <c r="C292" t="inlineStr">
        <is>
          <t>Grey level variance</t>
        </is>
      </c>
      <c r="E292" t="inlineStr">
        <is>
          <t>&lt; 3</t>
        </is>
      </c>
      <c r="H292" s="4" t="n"/>
      <c r="I292" s="4">
        <f>IFERROR(IF(NOT(H292=""),ABS(ROUNDDOWN(F292-H292, 3 - (1+INT(LOG10(ABS(F292)))))),""),IF(AND(F292=0,NOT(F292="")),ABS(ROUNDDOWN(F292-H292,0)),""))</f>
        <v/>
      </c>
      <c r="J292" s="4">
        <f>IF(NOT(I292=""),IF(I292&lt;=G292,"match",IF(I292&lt;3*G292,"partial match","no match")),"")</f>
        <v/>
      </c>
      <c r="K292" t="inlineStr">
        <is>
          <t>rlm_gl_var_2_5D_comb</t>
        </is>
      </c>
    </row>
    <row r="293" ht="15" customHeight="1" s="10">
      <c r="A293" t="inlineStr">
        <is>
          <t>digital phantom</t>
        </is>
      </c>
      <c r="B293" t="inlineStr">
        <is>
          <t>Run length matrix (2.5D, merged)</t>
        </is>
      </c>
      <c r="C293" t="inlineStr">
        <is>
          <t>Run length variance</t>
        </is>
      </c>
      <c r="E293" t="inlineStr">
        <is>
          <t>&lt; 3</t>
        </is>
      </c>
      <c r="H293" s="4" t="n"/>
      <c r="I293" s="4">
        <f>IFERROR(IF(NOT(H293=""),ABS(ROUNDDOWN(F293-H293, 3 - (1+INT(LOG10(ABS(F293)))))),""),IF(AND(F293=0,NOT(F293="")),ABS(ROUNDDOWN(F293-H293,0)),""))</f>
        <v/>
      </c>
      <c r="J293" s="4">
        <f>IF(NOT(I293=""),IF(I293&lt;=G293,"match",IF(I293&lt;3*G293,"partial match","no match")),"")</f>
        <v/>
      </c>
      <c r="K293" t="inlineStr">
        <is>
          <t>rlm_rl_var_2_5D_comb</t>
        </is>
      </c>
    </row>
    <row r="294" ht="15" customHeight="1" s="10">
      <c r="A294" t="inlineStr">
        <is>
          <t>digital phantom</t>
        </is>
      </c>
      <c r="B294" t="inlineStr">
        <is>
          <t>Run length matrix (2.5D, merged)</t>
        </is>
      </c>
      <c r="C294" t="inlineStr">
        <is>
          <t>Run entropy</t>
        </is>
      </c>
      <c r="E294" t="inlineStr">
        <is>
          <t>&lt; 3</t>
        </is>
      </c>
      <c r="H294" s="4" t="n"/>
      <c r="I294" s="4">
        <f>IFERROR(IF(NOT(H294=""),ABS(ROUNDDOWN(F294-H294, 3 - (1+INT(LOG10(ABS(F294)))))),""),IF(AND(F294=0,NOT(F294="")),ABS(ROUNDDOWN(F294-H294,0)),""))</f>
        <v/>
      </c>
      <c r="J294" s="4">
        <f>IF(NOT(I294=""),IF(I294&lt;=G294,"match",IF(I294&lt;3*G294,"partial match","no match")),"")</f>
        <v/>
      </c>
      <c r="K294" t="inlineStr">
        <is>
          <t>rlm_rl_entr_2_5D_comb</t>
        </is>
      </c>
    </row>
    <row r="295" ht="15" customHeight="1" s="10">
      <c r="A295" t="inlineStr">
        <is>
          <t>digital phantom</t>
        </is>
      </c>
      <c r="B295" s="11" t="inlineStr">
        <is>
          <t>Run length matrix (3D, averaged)</t>
        </is>
      </c>
      <c r="C295" t="inlineStr">
        <is>
          <t>Short runs emphasis</t>
        </is>
      </c>
      <c r="D295" t="inlineStr">
        <is>
          <t>ShortRunEmphasis</t>
        </is>
      </c>
      <c r="E295" t="inlineStr">
        <is>
          <t>≥ 10</t>
        </is>
      </c>
      <c r="F295" t="n">
        <v>0.705</v>
      </c>
      <c r="G295" t="n">
        <v>0</v>
      </c>
      <c r="H295" s="4" t="n">
        <v>0.70523</v>
      </c>
      <c r="I295" s="4">
        <f>IFERROR(IF(NOT(H295=""),ABS(ROUNDDOWN(F295-H295, 3 - (1+INT(LOG10(ABS(F295)))))),""),IF(AND(F295=0,NOT(F295="")),ABS(ROUNDDOWN(F295-H295,0)),""))</f>
        <v/>
      </c>
      <c r="J295" s="4">
        <f>IF(NOT(I295=""),IF(I295&lt;=G295,"match",IF(I295&lt;3*G295,"partial match","no match")),"")</f>
        <v/>
      </c>
      <c r="K295" t="inlineStr">
        <is>
          <t>rlm_sre_3D_avg</t>
        </is>
      </c>
    </row>
    <row r="296" ht="15" customHeight="1" s="10">
      <c r="A296" t="inlineStr">
        <is>
          <t>digital phantom</t>
        </is>
      </c>
      <c r="B296" t="inlineStr">
        <is>
          <t>Run length matrix (3D, averaged)</t>
        </is>
      </c>
      <c r="C296" t="inlineStr">
        <is>
          <t>Long runs emphasis</t>
        </is>
      </c>
      <c r="D296" t="inlineStr">
        <is>
          <t>LongRunEmphasis</t>
        </is>
      </c>
      <c r="E296" t="inlineStr">
        <is>
          <t>≥ 10</t>
        </is>
      </c>
      <c r="F296" t="n">
        <v>3.06</v>
      </c>
      <c r="G296" t="n">
        <v>0</v>
      </c>
      <c r="H296" s="4" t="n">
        <v>3.0611</v>
      </c>
      <c r="I296" s="4">
        <f>IFERROR(IF(NOT(H296=""),ABS(ROUNDDOWN(F296-H296, 3 - (1+INT(LOG10(ABS(F296)))))),""),IF(AND(F296=0,NOT(F296="")),ABS(ROUNDDOWN(F296-H296,0)),""))</f>
        <v/>
      </c>
      <c r="J296" s="4">
        <f>IF(NOT(I296=""),IF(I296&lt;=G296,"match",IF(I296&lt;3*G296,"partial match","no match")),"")</f>
        <v/>
      </c>
      <c r="K296" t="inlineStr">
        <is>
          <t>rlm_lre_3D_avg</t>
        </is>
      </c>
    </row>
    <row r="297" ht="15" customHeight="1" s="10">
      <c r="A297" t="inlineStr">
        <is>
          <t>digital phantom</t>
        </is>
      </c>
      <c r="B297" t="inlineStr">
        <is>
          <t>Run length matrix (3D, averaged)</t>
        </is>
      </c>
      <c r="C297" t="inlineStr">
        <is>
          <t>Low grey level run emphasis</t>
        </is>
      </c>
      <c r="D297" t="inlineStr">
        <is>
          <t>LowGrayLevelRunEmphasis</t>
        </is>
      </c>
      <c r="E297" t="inlineStr">
        <is>
          <t>≥ 10</t>
        </is>
      </c>
      <c r="F297" t="n">
        <v>0.603</v>
      </c>
      <c r="G297" t="n">
        <v>0</v>
      </c>
      <c r="H297" s="4" t="n">
        <v>0.6029</v>
      </c>
      <c r="I297" s="4">
        <f>IFERROR(IF(NOT(H297=""),ABS(ROUNDDOWN(F297-H297, 3 - (1+INT(LOG10(ABS(F297)))))),""),IF(AND(F297=0,NOT(F297="")),ABS(ROUNDDOWN(F297-H297,0)),""))</f>
        <v/>
      </c>
      <c r="J297" s="4">
        <f>IF(NOT(I297=""),IF(I297&lt;=G297,"match",IF(I297&lt;3*G297,"partial match","no match")),"")</f>
        <v/>
      </c>
      <c r="K297" t="inlineStr">
        <is>
          <t>rlm_lgre_3D_avg</t>
        </is>
      </c>
    </row>
    <row r="298" ht="15" customHeight="1" s="10">
      <c r="A298" t="inlineStr">
        <is>
          <t>digital phantom</t>
        </is>
      </c>
      <c r="B298" t="inlineStr">
        <is>
          <t>Run length matrix (3D, averaged)</t>
        </is>
      </c>
      <c r="C298" t="inlineStr">
        <is>
          <t>High grey level run emphasis</t>
        </is>
      </c>
      <c r="D298" t="inlineStr">
        <is>
          <t>HighGrayLevelRunEmphasis</t>
        </is>
      </c>
      <c r="E298" t="inlineStr">
        <is>
          <t>≥ 10</t>
        </is>
      </c>
      <c r="F298" t="n">
        <v>9.699999999999999</v>
      </c>
      <c r="G298" t="n">
        <v>0</v>
      </c>
      <c r="H298" s="4" t="n">
        <v>9.6976</v>
      </c>
      <c r="I298" s="4">
        <f>IFERROR(IF(NOT(H298=""),ABS(ROUNDDOWN(F298-H298, 3 - (1+INT(LOG10(ABS(F298)))))),""),IF(AND(F298=0,NOT(F298="")),ABS(ROUNDDOWN(F298-H298,0)),""))</f>
        <v/>
      </c>
      <c r="J298" s="4">
        <f>IF(NOT(I298=""),IF(I298&lt;=G298,"match",IF(I298&lt;3*G298,"partial match","no match")),"")</f>
        <v/>
      </c>
      <c r="K298" t="inlineStr">
        <is>
          <t>rlm_hgre_3D_avg</t>
        </is>
      </c>
    </row>
    <row r="299" ht="15" customHeight="1" s="10">
      <c r="A299" t="inlineStr">
        <is>
          <t>digital phantom</t>
        </is>
      </c>
      <c r="B299" t="inlineStr">
        <is>
          <t>Run length matrix (3D, averaged)</t>
        </is>
      </c>
      <c r="C299" t="inlineStr">
        <is>
          <t>Short run low grey level emphasis</t>
        </is>
      </c>
      <c r="D299" t="inlineStr">
        <is>
          <t>ShortRunLowGrayLevelEmphasis</t>
        </is>
      </c>
      <c r="E299" t="inlineStr">
        <is>
          <t>≥ 10</t>
        </is>
      </c>
      <c r="F299" t="n">
        <v>0.352</v>
      </c>
      <c r="G299" t="n">
        <v>0</v>
      </c>
      <c r="H299" s="4" t="n">
        <v>0.35158</v>
      </c>
      <c r="I299" s="4">
        <f>IFERROR(IF(NOT(H299=""),ABS(ROUNDDOWN(F299-H299, 3 - (1+INT(LOG10(ABS(F299)))))),""),IF(AND(F299=0,NOT(F299="")),ABS(ROUNDDOWN(F299-H299,0)),""))</f>
        <v/>
      </c>
      <c r="J299" s="4">
        <f>IF(NOT(I299=""),IF(I299&lt;=G299,"match",IF(I299&lt;3*G299,"partial match","no match")),"")</f>
        <v/>
      </c>
      <c r="K299" t="inlineStr">
        <is>
          <t>rlm_srlge_3D_avg</t>
        </is>
      </c>
    </row>
    <row r="300" ht="15" customHeight="1" s="10">
      <c r="A300" t="inlineStr">
        <is>
          <t>digital phantom</t>
        </is>
      </c>
      <c r="B300" t="inlineStr">
        <is>
          <t>Run length matrix (3D, averaged)</t>
        </is>
      </c>
      <c r="C300" t="inlineStr">
        <is>
          <t>Short run high grey level emphasis</t>
        </is>
      </c>
      <c r="D300" t="inlineStr">
        <is>
          <t>ShortRunHighGrayLevelEmphasis</t>
        </is>
      </c>
      <c r="E300" t="inlineStr">
        <is>
          <t>≥ 10</t>
        </is>
      </c>
      <c r="F300" t="n">
        <v>8.539999999999999</v>
      </c>
      <c r="G300" t="n">
        <v>0</v>
      </c>
      <c r="H300" s="4" t="n">
        <v>8.5396</v>
      </c>
      <c r="I300" s="4">
        <f>IFERROR(IF(NOT(H300=""),ABS(ROUNDDOWN(F300-H300, 3 - (1+INT(LOG10(ABS(F300)))))),""),IF(AND(F300=0,NOT(F300="")),ABS(ROUNDDOWN(F300-H300,0)),""))</f>
        <v/>
      </c>
      <c r="J300" s="4">
        <f>IF(NOT(I300=""),IF(I300&lt;=G300,"match",IF(I300&lt;3*G300,"partial match","no match")),"")</f>
        <v/>
      </c>
      <c r="K300" t="inlineStr">
        <is>
          <t>rlm_srhge_3D_avg</t>
        </is>
      </c>
    </row>
    <row r="301" ht="15" customHeight="1" s="10">
      <c r="A301" t="inlineStr">
        <is>
          <t>digital phantom</t>
        </is>
      </c>
      <c r="B301" t="inlineStr">
        <is>
          <t>Run length matrix (3D, averaged)</t>
        </is>
      </c>
      <c r="C301" t="inlineStr">
        <is>
          <t>Long run low grey level emphasis</t>
        </is>
      </c>
      <c r="D301" t="inlineStr">
        <is>
          <t>LongRunLowGrayLevelEmphasis</t>
        </is>
      </c>
      <c r="E301" t="inlineStr">
        <is>
          <t>≥ 10</t>
        </is>
      </c>
      <c r="F301" t="n">
        <v>2.39</v>
      </c>
      <c r="G301" t="n">
        <v>0</v>
      </c>
      <c r="H301" s="4" t="n">
        <v>2.39096</v>
      </c>
      <c r="I301" s="4">
        <f>IFERROR(IF(NOT(H301=""),ABS(ROUNDDOWN(F301-H301, 3 - (1+INT(LOG10(ABS(F301)))))),""),IF(AND(F301=0,NOT(F301="")),ABS(ROUNDDOWN(F301-H301,0)),""))</f>
        <v/>
      </c>
      <c r="J301" s="4">
        <f>IF(NOT(I301=""),IF(I301&lt;=G301,"match",IF(I301&lt;3*G301,"partial match","no match")),"")</f>
        <v/>
      </c>
      <c r="K301" t="inlineStr">
        <is>
          <t>rlm_lrlge_3D_avg</t>
        </is>
      </c>
    </row>
    <row r="302" ht="15" customHeight="1" s="10">
      <c r="A302" t="inlineStr">
        <is>
          <t>digital phantom</t>
        </is>
      </c>
      <c r="B302" t="inlineStr">
        <is>
          <t>Run length matrix (3D, averaged)</t>
        </is>
      </c>
      <c r="C302" t="inlineStr">
        <is>
          <t>Long run high grey level emphasis</t>
        </is>
      </c>
      <c r="D302" t="inlineStr">
        <is>
          <t>LongRunHighGrayLevelEmphasis</t>
        </is>
      </c>
      <c r="E302" t="inlineStr">
        <is>
          <t>≥ 10</t>
        </is>
      </c>
      <c r="F302" t="n">
        <v>17.6</v>
      </c>
      <c r="G302" t="n">
        <v>0</v>
      </c>
      <c r="H302" s="4" t="n">
        <v>17.56618</v>
      </c>
      <c r="I302" s="4">
        <f>IFERROR(IF(NOT(H302=""),ABS(ROUNDDOWN(F302-H302, 3 - (1+INT(LOG10(ABS(F302)))))),""),IF(AND(F302=0,NOT(F302="")),ABS(ROUNDDOWN(F302-H302,0)),""))</f>
        <v/>
      </c>
      <c r="J302" s="4">
        <f>IF(NOT(I302=""),IF(I302&lt;=G302,"match",IF(I302&lt;3*G302,"partial match","no match")),"")</f>
        <v/>
      </c>
      <c r="K302" t="inlineStr">
        <is>
          <t>rlm_lrhge_3D_avg</t>
        </is>
      </c>
    </row>
    <row r="303" ht="15" customHeight="1" s="10">
      <c r="A303" t="inlineStr">
        <is>
          <t>digital phantom</t>
        </is>
      </c>
      <c r="B303" t="inlineStr">
        <is>
          <t>Run length matrix (3D, averaged)</t>
        </is>
      </c>
      <c r="C303" t="inlineStr">
        <is>
          <t>Grey level non-uniformity</t>
        </is>
      </c>
      <c r="D303" t="inlineStr">
        <is>
          <t>GrayLevelNonUniformity</t>
        </is>
      </c>
      <c r="E303" t="inlineStr">
        <is>
          <t>≥ 10</t>
        </is>
      </c>
      <c r="F303" t="n">
        <v>21.8</v>
      </c>
      <c r="G303" t="n">
        <v>0</v>
      </c>
      <c r="H303" s="4" t="n">
        <v>21.7762</v>
      </c>
      <c r="I303" s="4">
        <f>IFERROR(IF(NOT(H303=""),ABS(ROUNDDOWN(F303-H303, 3 - (1+INT(LOG10(ABS(F303)))))),""),IF(AND(F303=0,NOT(F303="")),ABS(ROUNDDOWN(F303-H303,0)),""))</f>
        <v/>
      </c>
      <c r="J303" s="4">
        <f>IF(NOT(I303=""),IF(I303&lt;=G303,"match",IF(I303&lt;3*G303,"partial match","no match")),"")</f>
        <v/>
      </c>
      <c r="K303" t="inlineStr">
        <is>
          <t>rlm_glnu_3D_avg</t>
        </is>
      </c>
    </row>
    <row r="304" ht="15" customHeight="1" s="10">
      <c r="A304" t="inlineStr">
        <is>
          <t>digital phantom</t>
        </is>
      </c>
      <c r="B304" t="inlineStr">
        <is>
          <t>Run length matrix (3D, averaged)</t>
        </is>
      </c>
      <c r="C304" t="inlineStr">
        <is>
          <t>Grey level non-uniformity normalised</t>
        </is>
      </c>
      <c r="D304" t="inlineStr">
        <is>
          <t>GrayLevelNonUniformityNormalized</t>
        </is>
      </c>
      <c r="E304" t="inlineStr">
        <is>
          <t>≥ 10</t>
        </is>
      </c>
      <c r="F304" t="n">
        <v>0.43</v>
      </c>
      <c r="G304" t="n">
        <v>0</v>
      </c>
      <c r="H304" s="4" t="n">
        <v>0.430175</v>
      </c>
      <c r="I304" s="4">
        <f>IFERROR(IF(NOT(H304=""),ABS(ROUNDDOWN(F304-H304, 3 - (1+INT(LOG10(ABS(F304)))))),""),IF(AND(F304=0,NOT(F304="")),ABS(ROUNDDOWN(F304-H304,0)),""))</f>
        <v/>
      </c>
      <c r="J304" s="4">
        <f>IF(NOT(I304=""),IF(I304&lt;=G304,"match",IF(I304&lt;3*G304,"partial match","no match")),"")</f>
        <v/>
      </c>
      <c r="K304" t="inlineStr">
        <is>
          <t>rlm_glnu_norm_3D_avg</t>
        </is>
      </c>
    </row>
    <row r="305" ht="15" customHeight="1" s="10">
      <c r="A305" t="inlineStr">
        <is>
          <t>digital phantom</t>
        </is>
      </c>
      <c r="B305" t="inlineStr">
        <is>
          <t>Run length matrix (3D, averaged)</t>
        </is>
      </c>
      <c r="C305" t="inlineStr">
        <is>
          <t>Run length non-uniformity</t>
        </is>
      </c>
      <c r="D305" t="inlineStr">
        <is>
          <t>RunLengthNonUniformity</t>
        </is>
      </c>
      <c r="E305" t="inlineStr">
        <is>
          <t>≥ 10</t>
        </is>
      </c>
      <c r="F305" t="n">
        <v>26.9</v>
      </c>
      <c r="G305" t="n">
        <v>0</v>
      </c>
      <c r="H305" s="4" t="n">
        <v>26.85335</v>
      </c>
      <c r="I305" s="4">
        <f>IFERROR(IF(NOT(H305=""),ABS(ROUNDDOWN(F305-H305, 3 - (1+INT(LOG10(ABS(F305)))))),""),IF(AND(F305=0,NOT(F305="")),ABS(ROUNDDOWN(F305-H305,0)),""))</f>
        <v/>
      </c>
      <c r="J305" s="4">
        <f>IF(NOT(I305=""),IF(I305&lt;=G305,"match",IF(I305&lt;3*G305,"partial match","no match")),"")</f>
        <v/>
      </c>
      <c r="K305" t="inlineStr">
        <is>
          <t>rlm_rlnu_3D_avg</t>
        </is>
      </c>
    </row>
    <row r="306" ht="15" customHeight="1" s="10">
      <c r="A306" t="inlineStr">
        <is>
          <t>digital phantom</t>
        </is>
      </c>
      <c r="B306" t="inlineStr">
        <is>
          <t>Run length matrix (3D, averaged)</t>
        </is>
      </c>
      <c r="C306" t="inlineStr">
        <is>
          <t>Run length non-uniformity normalised</t>
        </is>
      </c>
      <c r="D306" t="inlineStr">
        <is>
          <t>RunLengthNonUniformityNormalized</t>
        </is>
      </c>
      <c r="E306" t="inlineStr">
        <is>
          <t>≥ 10</t>
        </is>
      </c>
      <c r="F306" t="n">
        <v>0.513</v>
      </c>
      <c r="G306" t="n">
        <v>0</v>
      </c>
      <c r="H306" s="4" t="n">
        <v>0.5127699999999999</v>
      </c>
      <c r="I306" s="4">
        <f>IFERROR(IF(NOT(H306=""),ABS(ROUNDDOWN(F306-H306, 3 - (1+INT(LOG10(ABS(F306)))))),""),IF(AND(F306=0,NOT(F306="")),ABS(ROUNDDOWN(F306-H306,0)),""))</f>
        <v/>
      </c>
      <c r="J306" s="4">
        <f>IF(NOT(I306=""),IF(I306&lt;=G306,"match",IF(I306&lt;3*G306,"partial match","no match")),"")</f>
        <v/>
      </c>
      <c r="K306" t="inlineStr">
        <is>
          <t>rlm_rlnu_norm_3D_avg</t>
        </is>
      </c>
    </row>
    <row r="307" ht="15" customHeight="1" s="10">
      <c r="A307" t="inlineStr">
        <is>
          <t>digital phantom</t>
        </is>
      </c>
      <c r="B307" t="inlineStr">
        <is>
          <t>Run length matrix (3D, averaged)</t>
        </is>
      </c>
      <c r="C307" t="inlineStr">
        <is>
          <t>Run percentage</t>
        </is>
      </c>
      <c r="D307" t="inlineStr">
        <is>
          <t>RunPercentage</t>
        </is>
      </c>
      <c r="E307" t="inlineStr">
        <is>
          <t>≥ 10</t>
        </is>
      </c>
      <c r="F307" t="n">
        <v>0.68</v>
      </c>
      <c r="G307" t="n">
        <v>0</v>
      </c>
      <c r="H307" s="4" t="n">
        <v>0.67983</v>
      </c>
      <c r="I307" s="4">
        <f>IFERROR(IF(NOT(H307=""),ABS(ROUNDDOWN(F307-H307, 3 - (1+INT(LOG10(ABS(F307)))))),""),IF(AND(F307=0,NOT(F307="")),ABS(ROUNDDOWN(F307-H307,0)),""))</f>
        <v/>
      </c>
      <c r="J307" s="4">
        <f>IF(NOT(I307=""),IF(I307&lt;=G307,"match",IF(I307&lt;3*G307,"partial match","no match")),"")</f>
        <v/>
      </c>
      <c r="K307" t="inlineStr">
        <is>
          <t>rlm_r_perc_3D_avg</t>
        </is>
      </c>
    </row>
    <row r="308" ht="15" customHeight="1" s="10">
      <c r="A308" t="inlineStr">
        <is>
          <t>digital phantom</t>
        </is>
      </c>
      <c r="B308" t="inlineStr">
        <is>
          <t>Run length matrix (3D, averaged)</t>
        </is>
      </c>
      <c r="C308" t="inlineStr">
        <is>
          <t>Grey level variance</t>
        </is>
      </c>
      <c r="D308" t="inlineStr">
        <is>
          <t>GrayLevelVariance</t>
        </is>
      </c>
      <c r="E308" t="inlineStr">
        <is>
          <t>≥ 10</t>
        </is>
      </c>
      <c r="F308" t="n">
        <v>3.46</v>
      </c>
      <c r="G308" t="n">
        <v>0</v>
      </c>
      <c r="H308" s="4" t="n">
        <v>3.464978</v>
      </c>
      <c r="I308" s="4">
        <f>IFERROR(IF(NOT(H308=""),ABS(ROUNDDOWN(F308-H308, 3 - (1+INT(LOG10(ABS(F308)))))),""),IF(AND(F308=0,NOT(F308="")),ABS(ROUNDDOWN(F308-H308,0)),""))</f>
        <v/>
      </c>
      <c r="J308" s="4">
        <f>IF(NOT(I308=""),IF(I308&lt;=G308,"match",IF(I308&lt;3*G308,"partial match","no match")),"")</f>
        <v/>
      </c>
      <c r="K308" t="inlineStr">
        <is>
          <t>rlm_gl_var_3D_avg</t>
        </is>
      </c>
    </row>
    <row r="309" ht="15" customHeight="1" s="10">
      <c r="A309" t="inlineStr">
        <is>
          <t>digital phantom</t>
        </is>
      </c>
      <c r="B309" t="inlineStr">
        <is>
          <t>Run length matrix (3D, averaged)</t>
        </is>
      </c>
      <c r="C309" t="inlineStr">
        <is>
          <t>Run length variance</t>
        </is>
      </c>
      <c r="D309" t="inlineStr">
        <is>
          <t>RunLengthVariance</t>
        </is>
      </c>
      <c r="E309" t="inlineStr">
        <is>
          <t>≥ 10</t>
        </is>
      </c>
      <c r="F309" t="n">
        <v>0.574</v>
      </c>
      <c r="G309" t="n">
        <v>0</v>
      </c>
      <c r="H309" s="4" t="n">
        <v>0.5735422</v>
      </c>
      <c r="I309" s="4">
        <f>IFERROR(IF(NOT(H309=""),ABS(ROUNDDOWN(F309-H309, 3 - (1+INT(LOG10(ABS(F309)))))),""),IF(AND(F309=0,NOT(F309="")),ABS(ROUNDDOWN(F309-H309,0)),""))</f>
        <v/>
      </c>
      <c r="J309" s="4">
        <f>IF(NOT(I309=""),IF(I309&lt;=G309,"match",IF(I309&lt;3*G309,"partial match","no match")),"")</f>
        <v/>
      </c>
      <c r="K309" t="inlineStr">
        <is>
          <t>rlm_rl_var_3D_avg</t>
        </is>
      </c>
    </row>
    <row r="310" ht="15" customHeight="1" s="10">
      <c r="A310" t="inlineStr">
        <is>
          <t>digital phantom</t>
        </is>
      </c>
      <c r="B310" t="inlineStr">
        <is>
          <t>Run length matrix (3D, averaged)</t>
        </is>
      </c>
      <c r="C310" t="inlineStr">
        <is>
          <t>Run entropy</t>
        </is>
      </c>
      <c r="D310" t="inlineStr">
        <is>
          <t>RunEntropy</t>
        </is>
      </c>
      <c r="E310" t="inlineStr">
        <is>
          <t>≥ 10</t>
        </is>
      </c>
      <c r="F310" t="n">
        <v>2.43</v>
      </c>
      <c r="G310" t="n">
        <v>0</v>
      </c>
      <c r="H310" s="4" t="n">
        <v>2.432074</v>
      </c>
      <c r="I310" s="4">
        <f>IFERROR(IF(NOT(H310=""),ABS(ROUNDDOWN(F310-H310, 3 - (1+INT(LOG10(ABS(F310)))))),""),IF(AND(F310=0,NOT(F310="")),ABS(ROUNDDOWN(F310-H310,0)),""))</f>
        <v/>
      </c>
      <c r="J310" s="4">
        <f>IF(NOT(I310=""),IF(I310&lt;=G310,"match",IF(I310&lt;3*G310,"partial match","no match")),"")</f>
        <v/>
      </c>
      <c r="K310" t="inlineStr">
        <is>
          <t>rlm_rl_entr_3D_avg</t>
        </is>
      </c>
    </row>
    <row r="311" ht="15" customHeight="1" s="10">
      <c r="A311" t="inlineStr">
        <is>
          <t>digital phantom</t>
        </is>
      </c>
      <c r="B311" t="inlineStr">
        <is>
          <t>Run length matrix (3D, merged)</t>
        </is>
      </c>
      <c r="C311" t="inlineStr">
        <is>
          <t>Short runs emphasis</t>
        </is>
      </c>
      <c r="E311" t="inlineStr">
        <is>
          <t>≥ 10</t>
        </is>
      </c>
      <c r="F311" t="n">
        <v>0.729</v>
      </c>
      <c r="G311" t="n">
        <v>0</v>
      </c>
      <c r="H311" s="4" t="n"/>
      <c r="I311" s="4">
        <f>IFERROR(IF(NOT(H311=""),ABS(ROUNDDOWN(F311-H311, 3 - (1+INT(LOG10(ABS(F311)))))),""),IF(AND(F311=0,NOT(F311="")),ABS(ROUNDDOWN(F311-H311,0)),""))</f>
        <v/>
      </c>
      <c r="J311" s="4">
        <f>IF(NOT(I311=""),IF(I311&lt;=G311,"match",IF(I311&lt;3*G311,"partial match","no match")),"")</f>
        <v/>
      </c>
      <c r="K311" t="inlineStr">
        <is>
          <t>rlm_sre_3D_comb</t>
        </is>
      </c>
    </row>
    <row r="312" ht="15" customHeight="1" s="10">
      <c r="A312" t="inlineStr">
        <is>
          <t>digital phantom</t>
        </is>
      </c>
      <c r="B312" t="inlineStr">
        <is>
          <t>Run length matrix (3D, merged)</t>
        </is>
      </c>
      <c r="C312" t="inlineStr">
        <is>
          <t>Long runs emphasis</t>
        </is>
      </c>
      <c r="E312" t="inlineStr">
        <is>
          <t>≥ 10</t>
        </is>
      </c>
      <c r="F312" t="n">
        <v>2.76</v>
      </c>
      <c r="G312" t="n">
        <v>0</v>
      </c>
      <c r="H312" s="4" t="n"/>
      <c r="I312" s="4">
        <f>IFERROR(IF(NOT(H312=""),ABS(ROUNDDOWN(F312-H312, 3 - (1+INT(LOG10(ABS(F312)))))),""),IF(AND(F312=0,NOT(F312="")),ABS(ROUNDDOWN(F312-H312,0)),""))</f>
        <v/>
      </c>
      <c r="J312" s="4">
        <f>IF(NOT(I312=""),IF(I312&lt;=G312,"match",IF(I312&lt;3*G312,"partial match","no match")),"")</f>
        <v/>
      </c>
      <c r="K312" t="inlineStr">
        <is>
          <t>rlm_lre_3D_comb</t>
        </is>
      </c>
    </row>
    <row r="313" ht="15" customHeight="1" s="10">
      <c r="A313" t="inlineStr">
        <is>
          <t>digital phantom</t>
        </is>
      </c>
      <c r="B313" t="inlineStr">
        <is>
          <t>Run length matrix (3D, merged)</t>
        </is>
      </c>
      <c r="C313" t="inlineStr">
        <is>
          <t>Low grey level run emphasis</t>
        </is>
      </c>
      <c r="E313" t="inlineStr">
        <is>
          <t>≥ 10</t>
        </is>
      </c>
      <c r="F313" t="n">
        <v>0.607</v>
      </c>
      <c r="G313" t="n">
        <v>0</v>
      </c>
      <c r="H313" s="4" t="n"/>
      <c r="I313" s="4">
        <f>IFERROR(IF(NOT(H313=""),ABS(ROUNDDOWN(F313-H313, 3 - (1+INT(LOG10(ABS(F313)))))),""),IF(AND(F313=0,NOT(F313="")),ABS(ROUNDDOWN(F313-H313,0)),""))</f>
        <v/>
      </c>
      <c r="J313" s="4">
        <f>IF(NOT(I313=""),IF(I313&lt;=G313,"match",IF(I313&lt;3*G313,"partial match","no match")),"")</f>
        <v/>
      </c>
      <c r="K313" t="inlineStr">
        <is>
          <t>rlm_lgre_3D_comb</t>
        </is>
      </c>
    </row>
    <row r="314" ht="15" customHeight="1" s="10">
      <c r="A314" t="inlineStr">
        <is>
          <t>digital phantom</t>
        </is>
      </c>
      <c r="B314" t="inlineStr">
        <is>
          <t>Run length matrix (3D, merged)</t>
        </is>
      </c>
      <c r="C314" t="inlineStr">
        <is>
          <t>High grey level run emphasis</t>
        </is>
      </c>
      <c r="E314" t="inlineStr">
        <is>
          <t>≥ 10</t>
        </is>
      </c>
      <c r="F314" t="n">
        <v>9.640000000000001</v>
      </c>
      <c r="G314" t="n">
        <v>0</v>
      </c>
      <c r="H314" s="4" t="n"/>
      <c r="I314" s="4">
        <f>IFERROR(IF(NOT(H314=""),ABS(ROUNDDOWN(F314-H314, 3 - (1+INT(LOG10(ABS(F314)))))),""),IF(AND(F314=0,NOT(F314="")),ABS(ROUNDDOWN(F314-H314,0)),""))</f>
        <v/>
      </c>
      <c r="J314" s="4">
        <f>IF(NOT(I314=""),IF(I314&lt;=G314,"match",IF(I314&lt;3*G314,"partial match","no match")),"")</f>
        <v/>
      </c>
      <c r="K314" t="inlineStr">
        <is>
          <t>rlm_hgre_3D_comb</t>
        </is>
      </c>
    </row>
    <row r="315" ht="15" customHeight="1" s="10">
      <c r="A315" t="inlineStr">
        <is>
          <t>digital phantom</t>
        </is>
      </c>
      <c r="B315" t="inlineStr">
        <is>
          <t>Run length matrix (3D, merged)</t>
        </is>
      </c>
      <c r="C315" t="inlineStr">
        <is>
          <t>Short run low grey level emphasis</t>
        </is>
      </c>
      <c r="E315" t="inlineStr">
        <is>
          <t>≥ 10</t>
        </is>
      </c>
      <c r="F315" t="n">
        <v>0.372</v>
      </c>
      <c r="G315" t="n">
        <v>0</v>
      </c>
      <c r="H315" s="4" t="n"/>
      <c r="I315" s="4">
        <f>IFERROR(IF(NOT(H315=""),ABS(ROUNDDOWN(F315-H315, 3 - (1+INT(LOG10(ABS(F315)))))),""),IF(AND(F315=0,NOT(F315="")),ABS(ROUNDDOWN(F315-H315,0)),""))</f>
        <v/>
      </c>
      <c r="J315" s="4">
        <f>IF(NOT(I315=""),IF(I315&lt;=G315,"match",IF(I315&lt;3*G315,"partial match","no match")),"")</f>
        <v/>
      </c>
      <c r="K315" t="inlineStr">
        <is>
          <t>rlm_srlge_3D_comb</t>
        </is>
      </c>
    </row>
    <row r="316" ht="15" customHeight="1" s="10">
      <c r="A316" t="inlineStr">
        <is>
          <t>digital phantom</t>
        </is>
      </c>
      <c r="B316" t="inlineStr">
        <is>
          <t>Run length matrix (3D, merged)</t>
        </is>
      </c>
      <c r="C316" t="inlineStr">
        <is>
          <t>Short run high grey level emphasis</t>
        </is>
      </c>
      <c r="E316" t="inlineStr">
        <is>
          <t>≥ 10</t>
        </is>
      </c>
      <c r="F316" t="n">
        <v>8.67</v>
      </c>
      <c r="G316" t="n">
        <v>0</v>
      </c>
      <c r="H316" s="4" t="n"/>
      <c r="I316" s="4">
        <f>IFERROR(IF(NOT(H316=""),ABS(ROUNDDOWN(F316-H316, 3 - (1+INT(LOG10(ABS(F316)))))),""),IF(AND(F316=0,NOT(F316="")),ABS(ROUNDDOWN(F316-H316,0)),""))</f>
        <v/>
      </c>
      <c r="J316" s="4">
        <f>IF(NOT(I316=""),IF(I316&lt;=G316,"match",IF(I316&lt;3*G316,"partial match","no match")),"")</f>
        <v/>
      </c>
      <c r="K316" t="inlineStr">
        <is>
          <t>rlm_srhge_3D_comb</t>
        </is>
      </c>
    </row>
    <row r="317" ht="15" customHeight="1" s="10">
      <c r="A317" t="inlineStr">
        <is>
          <t>digital phantom</t>
        </is>
      </c>
      <c r="B317" t="inlineStr">
        <is>
          <t>Run length matrix (3D, merged)</t>
        </is>
      </c>
      <c r="C317" t="inlineStr">
        <is>
          <t>Long run low grey level emphasis</t>
        </is>
      </c>
      <c r="E317" t="inlineStr">
        <is>
          <t>≥ 10</t>
        </is>
      </c>
      <c r="F317" t="n">
        <v>2.16</v>
      </c>
      <c r="G317" t="n">
        <v>0</v>
      </c>
      <c r="H317" s="4" t="n"/>
      <c r="I317" s="4">
        <f>IFERROR(IF(NOT(H317=""),ABS(ROUNDDOWN(F317-H317, 3 - (1+INT(LOG10(ABS(F317)))))),""),IF(AND(F317=0,NOT(F317="")),ABS(ROUNDDOWN(F317-H317,0)),""))</f>
        <v/>
      </c>
      <c r="J317" s="4">
        <f>IF(NOT(I317=""),IF(I317&lt;=G317,"match",IF(I317&lt;3*G317,"partial match","no match")),"")</f>
        <v/>
      </c>
      <c r="K317" t="inlineStr">
        <is>
          <t>rlm_lrlge_3D_comb</t>
        </is>
      </c>
    </row>
    <row r="318" ht="15" customHeight="1" s="10">
      <c r="A318" t="inlineStr">
        <is>
          <t>digital phantom</t>
        </is>
      </c>
      <c r="B318" t="inlineStr">
        <is>
          <t>Run length matrix (3D, merged)</t>
        </is>
      </c>
      <c r="C318" t="inlineStr">
        <is>
          <t>Long run high grey level emphasis</t>
        </is>
      </c>
      <c r="E318" t="inlineStr">
        <is>
          <t>≥ 10</t>
        </is>
      </c>
      <c r="F318" t="n">
        <v>15.6</v>
      </c>
      <c r="G318" t="n">
        <v>0</v>
      </c>
      <c r="H318" s="4" t="n"/>
      <c r="I318" s="4">
        <f>IFERROR(IF(NOT(H318=""),ABS(ROUNDDOWN(F318-H318, 3 - (1+INT(LOG10(ABS(F318)))))),""),IF(AND(F318=0,NOT(F318="")),ABS(ROUNDDOWN(F318-H318,0)),""))</f>
        <v/>
      </c>
      <c r="J318" s="4">
        <f>IF(NOT(I318=""),IF(I318&lt;=G318,"match",IF(I318&lt;3*G318,"partial match","no match")),"")</f>
        <v/>
      </c>
      <c r="K318" t="inlineStr">
        <is>
          <t>rlm_lrhge_3D_comb</t>
        </is>
      </c>
    </row>
    <row r="319" ht="15" customHeight="1" s="10">
      <c r="A319" t="inlineStr">
        <is>
          <t>digital phantom</t>
        </is>
      </c>
      <c r="B319" t="inlineStr">
        <is>
          <t>Run length matrix (3D, merged)</t>
        </is>
      </c>
      <c r="C319" t="inlineStr">
        <is>
          <t>Grey level non-uniformity</t>
        </is>
      </c>
      <c r="E319" t="inlineStr">
        <is>
          <t>≥ 10</t>
        </is>
      </c>
      <c r="F319" t="n">
        <v>281</v>
      </c>
      <c r="G319" t="n">
        <v>0</v>
      </c>
      <c r="H319" s="4" t="n"/>
      <c r="I319" s="4">
        <f>IFERROR(IF(NOT(H319=""),ABS(ROUNDDOWN(F319-H319, 3 - (1+INT(LOG10(ABS(F319)))))),""),IF(AND(F319=0,NOT(F319="")),ABS(ROUNDDOWN(F319-H319,0)),""))</f>
        <v/>
      </c>
      <c r="J319" s="4">
        <f>IF(NOT(I319=""),IF(I319&lt;=G319,"match",IF(I319&lt;3*G319,"partial match","no match")),"")</f>
        <v/>
      </c>
      <c r="K319" t="inlineStr">
        <is>
          <t>rlm_glnu_3D_comb</t>
        </is>
      </c>
    </row>
    <row r="320" ht="15" customHeight="1" s="10">
      <c r="A320" t="inlineStr">
        <is>
          <t>digital phantom</t>
        </is>
      </c>
      <c r="B320" t="inlineStr">
        <is>
          <t>Run length matrix (3D, merged)</t>
        </is>
      </c>
      <c r="C320" t="inlineStr">
        <is>
          <t>Grey level non-uniformity normalised</t>
        </is>
      </c>
      <c r="E320" t="inlineStr">
        <is>
          <t>≥ 10</t>
        </is>
      </c>
      <c r="F320" t="n">
        <v>0.43</v>
      </c>
      <c r="G320" t="n">
        <v>0</v>
      </c>
      <c r="H320" s="4" t="n"/>
      <c r="I320" s="4">
        <f>IFERROR(IF(NOT(H320=""),ABS(ROUNDDOWN(F320-H320, 3 - (1+INT(LOG10(ABS(F320)))))),""),IF(AND(F320=0,NOT(F320="")),ABS(ROUNDDOWN(F320-H320,0)),""))</f>
        <v/>
      </c>
      <c r="J320" s="4">
        <f>IF(NOT(I320=""),IF(I320&lt;=G320,"match",IF(I320&lt;3*G320,"partial match","no match")),"")</f>
        <v/>
      </c>
      <c r="K320" t="inlineStr">
        <is>
          <t>rlm_glnu_norm_3D_comb</t>
        </is>
      </c>
    </row>
    <row r="321" ht="15" customHeight="1" s="10">
      <c r="A321" t="inlineStr">
        <is>
          <t>digital phantom</t>
        </is>
      </c>
      <c r="B321" t="inlineStr">
        <is>
          <t>Run length matrix (3D, merged)</t>
        </is>
      </c>
      <c r="C321" t="inlineStr">
        <is>
          <t>Run length non-uniformity</t>
        </is>
      </c>
      <c r="E321" t="inlineStr">
        <is>
          <t>≥ 10</t>
        </is>
      </c>
      <c r="F321" t="n">
        <v>328</v>
      </c>
      <c r="G321" t="n">
        <v>0</v>
      </c>
      <c r="H321" s="4" t="n"/>
      <c r="I321" s="4">
        <f>IFERROR(IF(NOT(H321=""),ABS(ROUNDDOWN(F321-H321, 3 - (1+INT(LOG10(ABS(F321)))))),""),IF(AND(F321=0,NOT(F321="")),ABS(ROUNDDOWN(F321-H321,0)),""))</f>
        <v/>
      </c>
      <c r="J321" s="4">
        <f>IF(NOT(I321=""),IF(I321&lt;=G321,"match",IF(I321&lt;3*G321,"partial match","no match")),"")</f>
        <v/>
      </c>
      <c r="K321" t="inlineStr">
        <is>
          <t>rlm_rlnu_3D_comb</t>
        </is>
      </c>
    </row>
    <row r="322" ht="15" customHeight="1" s="10">
      <c r="A322" t="inlineStr">
        <is>
          <t>digital phantom</t>
        </is>
      </c>
      <c r="B322" t="inlineStr">
        <is>
          <t>Run length matrix (3D, merged)</t>
        </is>
      </c>
      <c r="C322" t="inlineStr">
        <is>
          <t>Run length non-uniformity normalised</t>
        </is>
      </c>
      <c r="E322" t="inlineStr">
        <is>
          <t>≥ 10</t>
        </is>
      </c>
      <c r="F322" t="n">
        <v>0.501</v>
      </c>
      <c r="G322" t="n">
        <v>0</v>
      </c>
      <c r="H322" s="4" t="n"/>
      <c r="I322" s="4">
        <f>IFERROR(IF(NOT(H322=""),ABS(ROUNDDOWN(F322-H322, 3 - (1+INT(LOG10(ABS(F322)))))),""),IF(AND(F322=0,NOT(F322="")),ABS(ROUNDDOWN(F322-H322,0)),""))</f>
        <v/>
      </c>
      <c r="J322" s="4">
        <f>IF(NOT(I322=""),IF(I322&lt;=G322,"match",IF(I322&lt;3*G322,"partial match","no match")),"")</f>
        <v/>
      </c>
      <c r="K322" t="inlineStr">
        <is>
          <t>rlm_rlnu_norm_3D_comb</t>
        </is>
      </c>
    </row>
    <row r="323" ht="15" customHeight="1" s="10">
      <c r="A323" t="inlineStr">
        <is>
          <t>digital phantom</t>
        </is>
      </c>
      <c r="B323" t="inlineStr">
        <is>
          <t>Run length matrix (3D, merged)</t>
        </is>
      </c>
      <c r="C323" t="inlineStr">
        <is>
          <t>Run percentage</t>
        </is>
      </c>
      <c r="E323" t="inlineStr">
        <is>
          <t>≥ 10</t>
        </is>
      </c>
      <c r="F323" t="n">
        <v>0.68</v>
      </c>
      <c r="G323" t="n">
        <v>0</v>
      </c>
      <c r="H323" s="4" t="n"/>
      <c r="I323" s="4">
        <f>IFERROR(IF(NOT(H323=""),ABS(ROUNDDOWN(F323-H323, 3 - (1+INT(LOG10(ABS(F323)))))),""),IF(AND(F323=0,NOT(F323="")),ABS(ROUNDDOWN(F323-H323,0)),""))</f>
        <v/>
      </c>
      <c r="J323" s="4">
        <f>IF(NOT(I323=""),IF(I323&lt;=G323,"match",IF(I323&lt;3*G323,"partial match","no match")),"")</f>
        <v/>
      </c>
      <c r="K323" t="inlineStr">
        <is>
          <t>rlm_r_perc_3D_comb</t>
        </is>
      </c>
    </row>
    <row r="324" ht="15" customHeight="1" s="10">
      <c r="A324" t="inlineStr">
        <is>
          <t>digital phantom</t>
        </is>
      </c>
      <c r="B324" t="inlineStr">
        <is>
          <t>Run length matrix (3D, merged)</t>
        </is>
      </c>
      <c r="C324" t="inlineStr">
        <is>
          <t>Grey level variance</t>
        </is>
      </c>
      <c r="E324" t="inlineStr">
        <is>
          <t>≥ 10</t>
        </is>
      </c>
      <c r="F324" t="n">
        <v>3.48</v>
      </c>
      <c r="G324" t="n">
        <v>0</v>
      </c>
      <c r="H324" s="4" t="n"/>
      <c r="I324" s="4">
        <f>IFERROR(IF(NOT(H324=""),ABS(ROUNDDOWN(F324-H324, 3 - (1+INT(LOG10(ABS(F324)))))),""),IF(AND(F324=0,NOT(F324="")),ABS(ROUNDDOWN(F324-H324,0)),""))</f>
        <v/>
      </c>
      <c r="J324" s="4">
        <f>IF(NOT(I324=""),IF(I324&lt;=G324,"match",IF(I324&lt;3*G324,"partial match","no match")),"")</f>
        <v/>
      </c>
      <c r="K324" t="inlineStr">
        <is>
          <t>rlm_gl_var_3D_comb</t>
        </is>
      </c>
    </row>
    <row r="325" ht="15" customHeight="1" s="10">
      <c r="A325" t="inlineStr">
        <is>
          <t>digital phantom</t>
        </is>
      </c>
      <c r="B325" t="inlineStr">
        <is>
          <t>Run length matrix (3D, merged)</t>
        </is>
      </c>
      <c r="C325" t="inlineStr">
        <is>
          <t>Run length variance</t>
        </is>
      </c>
      <c r="E325" t="inlineStr">
        <is>
          <t>≥ 10</t>
        </is>
      </c>
      <c r="F325" t="n">
        <v>0.598</v>
      </c>
      <c r="G325" t="n">
        <v>0</v>
      </c>
      <c r="H325" s="4" t="n"/>
      <c r="I325" s="4">
        <f>IFERROR(IF(NOT(H325=""),ABS(ROUNDDOWN(F325-H325, 3 - (1+INT(LOG10(ABS(F325)))))),""),IF(AND(F325=0,NOT(F325="")),ABS(ROUNDDOWN(F325-H325,0)),""))</f>
        <v/>
      </c>
      <c r="J325" s="4">
        <f>IF(NOT(I325=""),IF(I325&lt;=G325,"match",IF(I325&lt;3*G325,"partial match","no match")),"")</f>
        <v/>
      </c>
      <c r="K325" t="inlineStr">
        <is>
          <t>rlm_rl_var_3D_comb</t>
        </is>
      </c>
    </row>
    <row r="326" ht="15" customHeight="1" s="10">
      <c r="A326" t="inlineStr">
        <is>
          <t>digital phantom</t>
        </is>
      </c>
      <c r="B326" t="inlineStr">
        <is>
          <t>Run length matrix (3D, merged)</t>
        </is>
      </c>
      <c r="C326" t="inlineStr">
        <is>
          <t>Run entropy</t>
        </is>
      </c>
      <c r="E326" t="inlineStr">
        <is>
          <t>≥ 10</t>
        </is>
      </c>
      <c r="F326" t="n">
        <v>2.62</v>
      </c>
      <c r="G326" t="n">
        <v>0</v>
      </c>
      <c r="H326" s="4" t="n"/>
      <c r="I326" s="4">
        <f>IFERROR(IF(NOT(H326=""),ABS(ROUNDDOWN(F326-H326, 3 - (1+INT(LOG10(ABS(F326)))))),""),IF(AND(F326=0,NOT(F326="")),ABS(ROUNDDOWN(F326-H326,0)),""))</f>
        <v/>
      </c>
      <c r="J326" s="4">
        <f>IF(NOT(I326=""),IF(I326&lt;=G326,"match",IF(I326&lt;3*G326,"partial match","no match")),"")</f>
        <v/>
      </c>
      <c r="K326" t="inlineStr">
        <is>
          <t>rlm_rl_entr_3D_comb</t>
        </is>
      </c>
    </row>
    <row r="327" ht="15" customHeight="1" s="10">
      <c r="A327" t="inlineStr">
        <is>
          <t>digital phantom</t>
        </is>
      </c>
      <c r="B327" t="inlineStr">
        <is>
          <t>Size zone matrix (2D)</t>
        </is>
      </c>
      <c r="C327" t="inlineStr">
        <is>
          <t>Small zone emphasis</t>
        </is>
      </c>
      <c r="E327" t="inlineStr">
        <is>
          <t>6-9</t>
        </is>
      </c>
      <c r="F327" t="n">
        <v>0.363</v>
      </c>
      <c r="G327" t="n">
        <v>0</v>
      </c>
      <c r="H327" s="4" t="n"/>
      <c r="I327" s="4">
        <f>IFERROR(IF(NOT(H327=""),ABS(ROUNDDOWN(F327-H327, 3 - (1+INT(LOG10(ABS(F327)))))),""),IF(AND(F327=0,NOT(F327="")),ABS(ROUNDDOWN(F327-H327,0)),""))</f>
        <v/>
      </c>
      <c r="J327" s="4">
        <f>IF(NOT(I327=""),IF(I327&lt;=G327,"match",IF(I327&lt;3*G327,"partial match","no match")),"")</f>
        <v/>
      </c>
      <c r="K327" t="inlineStr">
        <is>
          <t>szm_sze_2D</t>
        </is>
      </c>
    </row>
    <row r="328" ht="15" customHeight="1" s="10">
      <c r="A328" t="inlineStr">
        <is>
          <t>digital phantom</t>
        </is>
      </c>
      <c r="B328" t="inlineStr">
        <is>
          <t>Size zone matrix (2D)</t>
        </is>
      </c>
      <c r="C328" t="inlineStr">
        <is>
          <t>Large zone emphasis</t>
        </is>
      </c>
      <c r="E328" t="inlineStr">
        <is>
          <t>6-9</t>
        </is>
      </c>
      <c r="F328" t="n">
        <v>43.9</v>
      </c>
      <c r="G328" t="n">
        <v>0</v>
      </c>
      <c r="H328" s="4" t="n"/>
      <c r="I328" s="4">
        <f>IFERROR(IF(NOT(H328=""),ABS(ROUNDDOWN(F328-H328, 3 - (1+INT(LOG10(ABS(F328)))))),""),IF(AND(F328=0,NOT(F328="")),ABS(ROUNDDOWN(F328-H328,0)),""))</f>
        <v/>
      </c>
      <c r="J328" s="4">
        <f>IF(NOT(I328=""),IF(I328&lt;=G328,"match",IF(I328&lt;3*G328,"partial match","no match")),"")</f>
        <v/>
      </c>
      <c r="K328" t="inlineStr">
        <is>
          <t>szm_lze_2D</t>
        </is>
      </c>
    </row>
    <row r="329" ht="15" customHeight="1" s="10">
      <c r="A329" t="inlineStr">
        <is>
          <t>digital phantom</t>
        </is>
      </c>
      <c r="B329" t="inlineStr">
        <is>
          <t>Size zone matrix (2D)</t>
        </is>
      </c>
      <c r="C329" t="inlineStr">
        <is>
          <t>Low grey level emphasis</t>
        </is>
      </c>
      <c r="E329" t="inlineStr">
        <is>
          <t>6-9</t>
        </is>
      </c>
      <c r="F329" t="n">
        <v>0.371</v>
      </c>
      <c r="G329" t="n">
        <v>0</v>
      </c>
      <c r="H329" s="4" t="n"/>
      <c r="I329" s="4">
        <f>IFERROR(IF(NOT(H329=""),ABS(ROUNDDOWN(F329-H329, 3 - (1+INT(LOG10(ABS(F329)))))),""),IF(AND(F329=0,NOT(F329="")),ABS(ROUNDDOWN(F329-H329,0)),""))</f>
        <v/>
      </c>
      <c r="J329" s="4">
        <f>IF(NOT(I329=""),IF(I329&lt;=G329,"match",IF(I329&lt;3*G329,"partial match","no match")),"")</f>
        <v/>
      </c>
      <c r="K329" t="inlineStr">
        <is>
          <t>szm_lgze_2D</t>
        </is>
      </c>
    </row>
    <row r="330" ht="15" customHeight="1" s="10">
      <c r="A330" t="inlineStr">
        <is>
          <t>digital phantom</t>
        </is>
      </c>
      <c r="B330" t="inlineStr">
        <is>
          <t>Size zone matrix (2D)</t>
        </is>
      </c>
      <c r="C330" t="inlineStr">
        <is>
          <t>High grey level emphasis</t>
        </is>
      </c>
      <c r="E330" t="inlineStr">
        <is>
          <t>6-9</t>
        </is>
      </c>
      <c r="F330" t="n">
        <v>16.4</v>
      </c>
      <c r="G330" t="n">
        <v>0</v>
      </c>
      <c r="H330" s="4" t="n"/>
      <c r="I330" s="4">
        <f>IFERROR(IF(NOT(H330=""),ABS(ROUNDDOWN(F330-H330, 3 - (1+INT(LOG10(ABS(F330)))))),""),IF(AND(F330=0,NOT(F330="")),ABS(ROUNDDOWN(F330-H330,0)),""))</f>
        <v/>
      </c>
      <c r="J330" s="4">
        <f>IF(NOT(I330=""),IF(I330&lt;=G330,"match",IF(I330&lt;3*G330,"partial match","no match")),"")</f>
        <v/>
      </c>
      <c r="K330" t="inlineStr">
        <is>
          <t>szm_hgze_2D</t>
        </is>
      </c>
    </row>
    <row r="331" ht="15" customHeight="1" s="10">
      <c r="A331" t="inlineStr">
        <is>
          <t>digital phantom</t>
        </is>
      </c>
      <c r="B331" t="inlineStr">
        <is>
          <t>Size zone matrix (2D)</t>
        </is>
      </c>
      <c r="C331" t="inlineStr">
        <is>
          <t>Small zone low grey level emphasis</t>
        </is>
      </c>
      <c r="E331" t="inlineStr">
        <is>
          <t>6-9</t>
        </is>
      </c>
      <c r="F331" t="n">
        <v>0.0259</v>
      </c>
      <c r="G331" t="n">
        <v>0</v>
      </c>
      <c r="H331" s="4" t="n"/>
      <c r="I331" s="4">
        <f>IFERROR(IF(NOT(H331=""),ABS(ROUNDDOWN(F331-H331, 3 - (1+INT(LOG10(ABS(F331)))))),""),IF(AND(F331=0,NOT(F331="")),ABS(ROUNDDOWN(F331-H331,0)),""))</f>
        <v/>
      </c>
      <c r="J331" s="4">
        <f>IF(NOT(I331=""),IF(I331&lt;=G331,"match",IF(I331&lt;3*G331,"partial match","no match")),"")</f>
        <v/>
      </c>
      <c r="K331" t="inlineStr">
        <is>
          <t>szm_szlge_2D</t>
        </is>
      </c>
    </row>
    <row r="332" ht="15" customHeight="1" s="10">
      <c r="A332" t="inlineStr">
        <is>
          <t>digital phantom</t>
        </is>
      </c>
      <c r="B332" t="inlineStr">
        <is>
          <t>Size zone matrix (2D)</t>
        </is>
      </c>
      <c r="C332" t="inlineStr">
        <is>
          <t>Small zone high grey level emphasis</t>
        </is>
      </c>
      <c r="E332" t="inlineStr">
        <is>
          <t>6-9</t>
        </is>
      </c>
      <c r="F332" t="n">
        <v>10.3</v>
      </c>
      <c r="G332" t="n">
        <v>0</v>
      </c>
      <c r="H332" s="4" t="n"/>
      <c r="I332" s="4">
        <f>IFERROR(IF(NOT(H332=""),ABS(ROUNDDOWN(F332-H332, 3 - (1+INT(LOG10(ABS(F332)))))),""),IF(AND(F332=0,NOT(F332="")),ABS(ROUNDDOWN(F332-H332,0)),""))</f>
        <v/>
      </c>
      <c r="J332" s="4">
        <f>IF(NOT(I332=""),IF(I332&lt;=G332,"match",IF(I332&lt;3*G332,"partial match","no match")),"")</f>
        <v/>
      </c>
      <c r="K332" t="inlineStr">
        <is>
          <t>szm_szhge_2D</t>
        </is>
      </c>
    </row>
    <row r="333" ht="15" customHeight="1" s="10">
      <c r="A333" t="inlineStr">
        <is>
          <t>digital phantom</t>
        </is>
      </c>
      <c r="B333" t="inlineStr">
        <is>
          <t>Size zone matrix (2D)</t>
        </is>
      </c>
      <c r="C333" t="inlineStr">
        <is>
          <t>Large zone low grey level emphasis</t>
        </is>
      </c>
      <c r="E333" t="inlineStr">
        <is>
          <t>6-9</t>
        </is>
      </c>
      <c r="F333" t="n">
        <v>40.4</v>
      </c>
      <c r="G333" t="n">
        <v>0</v>
      </c>
      <c r="H333" s="4" t="n"/>
      <c r="I333" s="4">
        <f>IFERROR(IF(NOT(H333=""),ABS(ROUNDDOWN(F333-H333, 3 - (1+INT(LOG10(ABS(F333)))))),""),IF(AND(F333=0,NOT(F333="")),ABS(ROUNDDOWN(F333-H333,0)),""))</f>
        <v/>
      </c>
      <c r="J333" s="4">
        <f>IF(NOT(I333=""),IF(I333&lt;=G333,"match",IF(I333&lt;3*G333,"partial match","no match")),"")</f>
        <v/>
      </c>
      <c r="K333" t="inlineStr">
        <is>
          <t>szm_lzlge_2D</t>
        </is>
      </c>
    </row>
    <row r="334" ht="15" customHeight="1" s="10">
      <c r="A334" t="inlineStr">
        <is>
          <t>digital phantom</t>
        </is>
      </c>
      <c r="B334" t="inlineStr">
        <is>
          <t>Size zone matrix (2D)</t>
        </is>
      </c>
      <c r="C334" t="inlineStr">
        <is>
          <t>Large zone high grey level emphasis</t>
        </is>
      </c>
      <c r="E334" t="inlineStr">
        <is>
          <t>6-9</t>
        </is>
      </c>
      <c r="F334" t="n">
        <v>113</v>
      </c>
      <c r="G334" t="n">
        <v>0</v>
      </c>
      <c r="H334" s="4" t="n"/>
      <c r="I334" s="4">
        <f>IFERROR(IF(NOT(H334=""),ABS(ROUNDDOWN(F334-H334, 3 - (1+INT(LOG10(ABS(F334)))))),""),IF(AND(F334=0,NOT(F334="")),ABS(ROUNDDOWN(F334-H334,0)),""))</f>
        <v/>
      </c>
      <c r="J334" s="4">
        <f>IF(NOT(I334=""),IF(I334&lt;=G334,"match",IF(I334&lt;3*G334,"partial match","no match")),"")</f>
        <v/>
      </c>
      <c r="K334" t="inlineStr">
        <is>
          <t>szm_lzhge_2D</t>
        </is>
      </c>
    </row>
    <row r="335" ht="15" customHeight="1" s="10">
      <c r="A335" t="inlineStr">
        <is>
          <t>digital phantom</t>
        </is>
      </c>
      <c r="B335" t="inlineStr">
        <is>
          <t>Size zone matrix (2D)</t>
        </is>
      </c>
      <c r="C335" t="inlineStr">
        <is>
          <t>Grey level non-uniformity</t>
        </is>
      </c>
      <c r="E335" t="inlineStr">
        <is>
          <t>6-9</t>
        </is>
      </c>
      <c r="F335" t="n">
        <v>1.41</v>
      </c>
      <c r="G335" t="n">
        <v>0</v>
      </c>
      <c r="H335" s="4" t="n"/>
      <c r="I335" s="4">
        <f>IFERROR(IF(NOT(H335=""),ABS(ROUNDDOWN(F335-H335, 3 - (1+INT(LOG10(ABS(F335)))))),""),IF(AND(F335=0,NOT(F335="")),ABS(ROUNDDOWN(F335-H335,0)),""))</f>
        <v/>
      </c>
      <c r="J335" s="4">
        <f>IF(NOT(I335=""),IF(I335&lt;=G335,"match",IF(I335&lt;3*G335,"partial match","no match")),"")</f>
        <v/>
      </c>
      <c r="K335" t="inlineStr">
        <is>
          <t>szm_glnu_2D</t>
        </is>
      </c>
    </row>
    <row r="336" ht="15" customHeight="1" s="10">
      <c r="A336" t="inlineStr">
        <is>
          <t>digital phantom</t>
        </is>
      </c>
      <c r="B336" t="inlineStr">
        <is>
          <t>Size zone matrix (2D)</t>
        </is>
      </c>
      <c r="C336" t="inlineStr">
        <is>
          <t>Grey level non uniformity normalised</t>
        </is>
      </c>
      <c r="E336" t="inlineStr">
        <is>
          <t>6-9</t>
        </is>
      </c>
      <c r="F336" t="n">
        <v>0.323</v>
      </c>
      <c r="G336" t="n">
        <v>0</v>
      </c>
      <c r="H336" s="4" t="n"/>
      <c r="I336" s="4">
        <f>IFERROR(IF(NOT(H336=""),ABS(ROUNDDOWN(F336-H336, 3 - (1+INT(LOG10(ABS(F336)))))),""),IF(AND(F336=0,NOT(F336="")),ABS(ROUNDDOWN(F336-H336,0)),""))</f>
        <v/>
      </c>
      <c r="J336" s="4">
        <f>IF(NOT(I336=""),IF(I336&lt;=G336,"match",IF(I336&lt;3*G336,"partial match","no match")),"")</f>
        <v/>
      </c>
      <c r="K336" t="inlineStr">
        <is>
          <t>szm_glnu_norm_2D</t>
        </is>
      </c>
    </row>
    <row r="337" ht="15" customHeight="1" s="10">
      <c r="A337" t="inlineStr">
        <is>
          <t>digital phantom</t>
        </is>
      </c>
      <c r="B337" t="inlineStr">
        <is>
          <t>Size zone matrix (2D)</t>
        </is>
      </c>
      <c r="C337" t="inlineStr">
        <is>
          <t>Zone size non-uniformity</t>
        </is>
      </c>
      <c r="E337" t="inlineStr">
        <is>
          <t>6-9</t>
        </is>
      </c>
      <c r="F337" t="n">
        <v>1.49</v>
      </c>
      <c r="G337" t="n">
        <v>0</v>
      </c>
      <c r="H337" s="4" t="n"/>
      <c r="I337" s="4">
        <f>IFERROR(IF(NOT(H337=""),ABS(ROUNDDOWN(F337-H337, 3 - (1+INT(LOG10(ABS(F337)))))),""),IF(AND(F337=0,NOT(F337="")),ABS(ROUNDDOWN(F337-H337,0)),""))</f>
        <v/>
      </c>
      <c r="J337" s="4">
        <f>IF(NOT(I337=""),IF(I337&lt;=G337,"match",IF(I337&lt;3*G337,"partial match","no match")),"")</f>
        <v/>
      </c>
      <c r="K337" t="inlineStr">
        <is>
          <t>szm_zsnu_2D</t>
        </is>
      </c>
    </row>
    <row r="338" ht="15" customHeight="1" s="10">
      <c r="A338" t="inlineStr">
        <is>
          <t>digital phantom</t>
        </is>
      </c>
      <c r="B338" t="inlineStr">
        <is>
          <t>Size zone matrix (2D)</t>
        </is>
      </c>
      <c r="C338" t="inlineStr">
        <is>
          <t>Zone size non-uniformity normalised</t>
        </is>
      </c>
      <c r="E338" t="inlineStr">
        <is>
          <t>6-9</t>
        </is>
      </c>
      <c r="F338" t="n">
        <v>0.333</v>
      </c>
      <c r="G338" t="n">
        <v>0</v>
      </c>
      <c r="H338" s="4" t="n"/>
      <c r="I338" s="4">
        <f>IFERROR(IF(NOT(H338=""),ABS(ROUNDDOWN(F338-H338, 3 - (1+INT(LOG10(ABS(F338)))))),""),IF(AND(F338=0,NOT(F338="")),ABS(ROUNDDOWN(F338-H338,0)),""))</f>
        <v/>
      </c>
      <c r="J338" s="4">
        <f>IF(NOT(I338=""),IF(I338&lt;=G338,"match",IF(I338&lt;3*G338,"partial match","no match")),"")</f>
        <v/>
      </c>
      <c r="K338" t="inlineStr">
        <is>
          <t>szm_zsnu_norm_2D</t>
        </is>
      </c>
    </row>
    <row r="339" ht="15" customHeight="1" s="10">
      <c r="A339" t="inlineStr">
        <is>
          <t>digital phantom</t>
        </is>
      </c>
      <c r="B339" t="inlineStr">
        <is>
          <t>Size zone matrix (2D)</t>
        </is>
      </c>
      <c r="C339" t="inlineStr">
        <is>
          <t>Zone percentage</t>
        </is>
      </c>
      <c r="E339" t="inlineStr">
        <is>
          <t>6-9</t>
        </is>
      </c>
      <c r="F339" t="n">
        <v>0.24</v>
      </c>
      <c r="G339" t="n">
        <v>0</v>
      </c>
      <c r="H339" s="4" t="n"/>
      <c r="I339" s="4">
        <f>IFERROR(IF(NOT(H339=""),ABS(ROUNDDOWN(F339-H339, 3 - (1+INT(LOG10(ABS(F339)))))),""),IF(AND(F339=0,NOT(F339="")),ABS(ROUNDDOWN(F339-H339,0)),""))</f>
        <v/>
      </c>
      <c r="J339" s="4">
        <f>IF(NOT(I339=""),IF(I339&lt;=G339,"match",IF(I339&lt;3*G339,"partial match","no match")),"")</f>
        <v/>
      </c>
      <c r="K339" t="inlineStr">
        <is>
          <t>szm_z_perc_2D</t>
        </is>
      </c>
    </row>
    <row r="340" ht="15" customHeight="1" s="10">
      <c r="A340" t="inlineStr">
        <is>
          <t>digital phantom</t>
        </is>
      </c>
      <c r="B340" t="inlineStr">
        <is>
          <t>Size zone matrix (2D)</t>
        </is>
      </c>
      <c r="C340" t="inlineStr">
        <is>
          <t>Grey level variance</t>
        </is>
      </c>
      <c r="E340" t="inlineStr">
        <is>
          <t>6-9</t>
        </is>
      </c>
      <c r="F340" t="n">
        <v>3.97</v>
      </c>
      <c r="G340" t="n">
        <v>0</v>
      </c>
      <c r="H340" s="4" t="n"/>
      <c r="I340" s="4">
        <f>IFERROR(IF(NOT(H340=""),ABS(ROUNDDOWN(F340-H340, 3 - (1+INT(LOG10(ABS(F340)))))),""),IF(AND(F340=0,NOT(F340="")),ABS(ROUNDDOWN(F340-H340,0)),""))</f>
        <v/>
      </c>
      <c r="J340" s="4">
        <f>IF(NOT(I340=""),IF(I340&lt;=G340,"match",IF(I340&lt;3*G340,"partial match","no match")),"")</f>
        <v/>
      </c>
      <c r="K340" t="inlineStr">
        <is>
          <t>szm_gl_var_2D</t>
        </is>
      </c>
    </row>
    <row r="341" ht="15" customHeight="1" s="10">
      <c r="A341" t="inlineStr">
        <is>
          <t>digital phantom</t>
        </is>
      </c>
      <c r="B341" t="inlineStr">
        <is>
          <t>Size zone matrix (2D)</t>
        </is>
      </c>
      <c r="C341" t="inlineStr">
        <is>
          <t>Zone size variance</t>
        </is>
      </c>
      <c r="E341" t="inlineStr">
        <is>
          <t>6-9</t>
        </is>
      </c>
      <c r="F341" t="n">
        <v>21</v>
      </c>
      <c r="G341" t="n">
        <v>0</v>
      </c>
      <c r="H341" s="4" t="n"/>
      <c r="I341" s="4">
        <f>IFERROR(IF(NOT(H341=""),ABS(ROUNDDOWN(F341-H341, 3 - (1+INT(LOG10(ABS(F341)))))),""),IF(AND(F341=0,NOT(F341="")),ABS(ROUNDDOWN(F341-H341,0)),""))</f>
        <v/>
      </c>
      <c r="J341" s="4">
        <f>IF(NOT(I341=""),IF(I341&lt;=G341,"match",IF(I341&lt;3*G341,"partial match","no match")),"")</f>
        <v/>
      </c>
      <c r="K341" t="inlineStr">
        <is>
          <t>szm_zs_var_2D</t>
        </is>
      </c>
    </row>
    <row r="342" ht="15" customHeight="1" s="10">
      <c r="A342" t="inlineStr">
        <is>
          <t>digital phantom</t>
        </is>
      </c>
      <c r="B342" t="inlineStr">
        <is>
          <t>Size zone matrix (2D)</t>
        </is>
      </c>
      <c r="C342" t="inlineStr">
        <is>
          <t>Zone size entropy</t>
        </is>
      </c>
      <c r="E342" t="inlineStr">
        <is>
          <t>6-9</t>
        </is>
      </c>
      <c r="F342" t="n">
        <v>1.93</v>
      </c>
      <c r="G342" t="n">
        <v>0</v>
      </c>
      <c r="H342" s="4" t="n"/>
      <c r="I342" s="4">
        <f>IFERROR(IF(NOT(H342=""),ABS(ROUNDDOWN(F342-H342, 3 - (1+INT(LOG10(ABS(F342)))))),""),IF(AND(F342=0,NOT(F342="")),ABS(ROUNDDOWN(F342-H342,0)),""))</f>
        <v/>
      </c>
      <c r="J342" s="4">
        <f>IF(NOT(I342=""),IF(I342&lt;=G342,"match",IF(I342&lt;3*G342,"partial match","no match")),"")</f>
        <v/>
      </c>
      <c r="K342" t="inlineStr">
        <is>
          <t>szm_zs_entr_2D</t>
        </is>
      </c>
    </row>
    <row r="343" ht="15" customHeight="1" s="10">
      <c r="A343" t="inlineStr">
        <is>
          <t>digital phantom</t>
        </is>
      </c>
      <c r="B343" t="inlineStr">
        <is>
          <t>Size zone matrix (2.5D)</t>
        </is>
      </c>
      <c r="C343" t="inlineStr">
        <is>
          <t>Small zone emphasis</t>
        </is>
      </c>
      <c r="E343" t="inlineStr">
        <is>
          <t>&lt; 3</t>
        </is>
      </c>
      <c r="H343" s="4" t="n"/>
      <c r="I343" s="4">
        <f>IFERROR(IF(NOT(H343=""),ABS(ROUNDDOWN(F343-H343, 3 - (1+INT(LOG10(ABS(F343)))))),""),IF(AND(F343=0,NOT(F343="")),ABS(ROUNDDOWN(F343-H343,0)),""))</f>
        <v/>
      </c>
      <c r="J343" s="4">
        <f>IF(NOT(I343=""),IF(I343&lt;=G343,"match",IF(I343&lt;3*G343,"partial match","no match")),"")</f>
        <v/>
      </c>
      <c r="K343" t="inlineStr">
        <is>
          <t>szm_sze_2_5D</t>
        </is>
      </c>
    </row>
    <row r="344" ht="15" customHeight="1" s="10">
      <c r="A344" t="inlineStr">
        <is>
          <t>digital phantom</t>
        </is>
      </c>
      <c r="B344" t="inlineStr">
        <is>
          <t>Size zone matrix (2.5D)</t>
        </is>
      </c>
      <c r="C344" t="inlineStr">
        <is>
          <t>Large zone emphasis</t>
        </is>
      </c>
      <c r="E344" t="inlineStr">
        <is>
          <t>&lt; 3</t>
        </is>
      </c>
      <c r="H344" s="4" t="n"/>
      <c r="I344" s="4">
        <f>IFERROR(IF(NOT(H344=""),ABS(ROUNDDOWN(F344-H344, 3 - (1+INT(LOG10(ABS(F344)))))),""),IF(AND(F344=0,NOT(F344="")),ABS(ROUNDDOWN(F344-H344,0)),""))</f>
        <v/>
      </c>
      <c r="J344" s="4">
        <f>IF(NOT(I344=""),IF(I344&lt;=G344,"match",IF(I344&lt;3*G344,"partial match","no match")),"")</f>
        <v/>
      </c>
      <c r="K344" t="inlineStr">
        <is>
          <t>szm_lze_2_5D</t>
        </is>
      </c>
    </row>
    <row r="345" ht="15" customHeight="1" s="10">
      <c r="A345" t="inlineStr">
        <is>
          <t>digital phantom</t>
        </is>
      </c>
      <c r="B345" t="inlineStr">
        <is>
          <t>Size zone matrix (2.5D)</t>
        </is>
      </c>
      <c r="C345" t="inlineStr">
        <is>
          <t>Low grey level emphasis</t>
        </is>
      </c>
      <c r="E345" t="inlineStr">
        <is>
          <t>&lt; 3</t>
        </is>
      </c>
      <c r="H345" s="4" t="n"/>
      <c r="I345" s="4">
        <f>IFERROR(IF(NOT(H345=""),ABS(ROUNDDOWN(F345-H345, 3 - (1+INT(LOG10(ABS(F345)))))),""),IF(AND(F345=0,NOT(F345="")),ABS(ROUNDDOWN(F345-H345,0)),""))</f>
        <v/>
      </c>
      <c r="J345" s="4">
        <f>IF(NOT(I345=""),IF(I345&lt;=G345,"match",IF(I345&lt;3*G345,"partial match","no match")),"")</f>
        <v/>
      </c>
      <c r="K345" t="inlineStr">
        <is>
          <t>szm_lgze_2_5D</t>
        </is>
      </c>
    </row>
    <row r="346" ht="15" customHeight="1" s="10">
      <c r="A346" t="inlineStr">
        <is>
          <t>digital phantom</t>
        </is>
      </c>
      <c r="B346" t="inlineStr">
        <is>
          <t>Size zone matrix (2.5D)</t>
        </is>
      </c>
      <c r="C346" t="inlineStr">
        <is>
          <t>High grey level emphasis</t>
        </is>
      </c>
      <c r="E346" t="inlineStr">
        <is>
          <t>&lt; 3</t>
        </is>
      </c>
      <c r="H346" s="4" t="n"/>
      <c r="I346" s="4">
        <f>IFERROR(IF(NOT(H346=""),ABS(ROUNDDOWN(F346-H346, 3 - (1+INT(LOG10(ABS(F346)))))),""),IF(AND(F346=0,NOT(F346="")),ABS(ROUNDDOWN(F346-H346,0)),""))</f>
        <v/>
      </c>
      <c r="J346" s="4">
        <f>IF(NOT(I346=""),IF(I346&lt;=G346,"match",IF(I346&lt;3*G346,"partial match","no match")),"")</f>
        <v/>
      </c>
      <c r="K346" t="inlineStr">
        <is>
          <t>szm_hgze_2_5D</t>
        </is>
      </c>
    </row>
    <row r="347" ht="15" customHeight="1" s="10">
      <c r="A347" t="inlineStr">
        <is>
          <t>digital phantom</t>
        </is>
      </c>
      <c r="B347" t="inlineStr">
        <is>
          <t>Size zone matrix (2.5D)</t>
        </is>
      </c>
      <c r="C347" t="inlineStr">
        <is>
          <t>Small zone low grey level emphasis</t>
        </is>
      </c>
      <c r="E347" t="inlineStr">
        <is>
          <t>&lt; 3</t>
        </is>
      </c>
      <c r="H347" s="4" t="n"/>
      <c r="I347" s="4">
        <f>IFERROR(IF(NOT(H347=""),ABS(ROUNDDOWN(F347-H347, 3 - (1+INT(LOG10(ABS(F347)))))),""),IF(AND(F347=0,NOT(F347="")),ABS(ROUNDDOWN(F347-H347,0)),""))</f>
        <v/>
      </c>
      <c r="J347" s="4">
        <f>IF(NOT(I347=""),IF(I347&lt;=G347,"match",IF(I347&lt;3*G347,"partial match","no match")),"")</f>
        <v/>
      </c>
      <c r="K347" t="inlineStr">
        <is>
          <t>szm_szlge_2_5D</t>
        </is>
      </c>
    </row>
    <row r="348" ht="15" customHeight="1" s="10">
      <c r="A348" t="inlineStr">
        <is>
          <t>digital phantom</t>
        </is>
      </c>
      <c r="B348" t="inlineStr">
        <is>
          <t>Size zone matrix (2.5D)</t>
        </is>
      </c>
      <c r="C348" t="inlineStr">
        <is>
          <t>Small zone high grey level emphasis</t>
        </is>
      </c>
      <c r="E348" t="inlineStr">
        <is>
          <t>&lt; 3</t>
        </is>
      </c>
      <c r="H348" s="4" t="n"/>
      <c r="I348" s="4">
        <f>IFERROR(IF(NOT(H348=""),ABS(ROUNDDOWN(F348-H348, 3 - (1+INT(LOG10(ABS(F348)))))),""),IF(AND(F348=0,NOT(F348="")),ABS(ROUNDDOWN(F348-H348,0)),""))</f>
        <v/>
      </c>
      <c r="J348" s="4">
        <f>IF(NOT(I348=""),IF(I348&lt;=G348,"match",IF(I348&lt;3*G348,"partial match","no match")),"")</f>
        <v/>
      </c>
      <c r="K348" t="inlineStr">
        <is>
          <t>szm_szhge_2_5D</t>
        </is>
      </c>
    </row>
    <row r="349" ht="15" customHeight="1" s="10">
      <c r="A349" t="inlineStr">
        <is>
          <t>digital phantom</t>
        </is>
      </c>
      <c r="B349" t="inlineStr">
        <is>
          <t>Size zone matrix (2.5D)</t>
        </is>
      </c>
      <c r="C349" t="inlineStr">
        <is>
          <t>Large zone low grey level emphasis</t>
        </is>
      </c>
      <c r="E349" t="inlineStr">
        <is>
          <t>&lt; 3</t>
        </is>
      </c>
      <c r="H349" s="4" t="n"/>
      <c r="I349" s="4">
        <f>IFERROR(IF(NOT(H349=""),ABS(ROUNDDOWN(F349-H349, 3 - (1+INT(LOG10(ABS(F349)))))),""),IF(AND(F349=0,NOT(F349="")),ABS(ROUNDDOWN(F349-H349,0)),""))</f>
        <v/>
      </c>
      <c r="J349" s="4">
        <f>IF(NOT(I349=""),IF(I349&lt;=G349,"match",IF(I349&lt;3*G349,"partial match","no match")),"")</f>
        <v/>
      </c>
      <c r="K349" t="inlineStr">
        <is>
          <t>szm_lzlge_2_5D</t>
        </is>
      </c>
    </row>
    <row r="350" ht="15" customHeight="1" s="10">
      <c r="A350" t="inlineStr">
        <is>
          <t>digital phantom</t>
        </is>
      </c>
      <c r="B350" t="inlineStr">
        <is>
          <t>Size zone matrix (2.5D)</t>
        </is>
      </c>
      <c r="C350" t="inlineStr">
        <is>
          <t>Large zone high grey level emphasis</t>
        </is>
      </c>
      <c r="E350" t="inlineStr">
        <is>
          <t>&lt; 3</t>
        </is>
      </c>
      <c r="H350" s="4" t="n"/>
      <c r="I350" s="4">
        <f>IFERROR(IF(NOT(H350=""),ABS(ROUNDDOWN(F350-H350, 3 - (1+INT(LOG10(ABS(F350)))))),""),IF(AND(F350=0,NOT(F350="")),ABS(ROUNDDOWN(F350-H350,0)),""))</f>
        <v/>
      </c>
      <c r="J350" s="4">
        <f>IF(NOT(I350=""),IF(I350&lt;=G350,"match",IF(I350&lt;3*G350,"partial match","no match")),"")</f>
        <v/>
      </c>
      <c r="K350" t="inlineStr">
        <is>
          <t>szm_lzhge_2_5D</t>
        </is>
      </c>
    </row>
    <row r="351" ht="15" customHeight="1" s="10">
      <c r="A351" t="inlineStr">
        <is>
          <t>digital phantom</t>
        </is>
      </c>
      <c r="B351" t="inlineStr">
        <is>
          <t>Size zone matrix (2.5D)</t>
        </is>
      </c>
      <c r="C351" t="inlineStr">
        <is>
          <t>Grey level non-uniformity</t>
        </is>
      </c>
      <c r="E351" t="inlineStr">
        <is>
          <t>&lt; 3</t>
        </is>
      </c>
      <c r="H351" s="4" t="n"/>
      <c r="I351" s="4">
        <f>IFERROR(IF(NOT(H351=""),ABS(ROUNDDOWN(F351-H351, 3 - (1+INT(LOG10(ABS(F351)))))),""),IF(AND(F351=0,NOT(F351="")),ABS(ROUNDDOWN(F351-H351,0)),""))</f>
        <v/>
      </c>
      <c r="J351" s="4">
        <f>IF(NOT(I351=""),IF(I351&lt;=G351,"match",IF(I351&lt;3*G351,"partial match","no match")),"")</f>
        <v/>
      </c>
      <c r="K351" t="inlineStr">
        <is>
          <t>szm_glnu_2_5D</t>
        </is>
      </c>
    </row>
    <row r="352" ht="15" customHeight="1" s="10">
      <c r="A352" t="inlineStr">
        <is>
          <t>digital phantom</t>
        </is>
      </c>
      <c r="B352" t="inlineStr">
        <is>
          <t>Size zone matrix (2.5D)</t>
        </is>
      </c>
      <c r="C352" t="inlineStr">
        <is>
          <t>Grey level non uniformity normalised</t>
        </is>
      </c>
      <c r="E352" t="inlineStr">
        <is>
          <t>&lt; 3</t>
        </is>
      </c>
      <c r="H352" s="4" t="n"/>
      <c r="I352" s="4">
        <f>IFERROR(IF(NOT(H352=""),ABS(ROUNDDOWN(F352-H352, 3 - (1+INT(LOG10(ABS(F352)))))),""),IF(AND(F352=0,NOT(F352="")),ABS(ROUNDDOWN(F352-H352,0)),""))</f>
        <v/>
      </c>
      <c r="J352" s="4">
        <f>IF(NOT(I352=""),IF(I352&lt;=G352,"match",IF(I352&lt;3*G352,"partial match","no match")),"")</f>
        <v/>
      </c>
      <c r="K352" t="inlineStr">
        <is>
          <t>szm_glnu_norm_2_5D</t>
        </is>
      </c>
    </row>
    <row r="353" ht="15.75" customHeight="1" s="10">
      <c r="A353" t="inlineStr">
        <is>
          <t>digital phantom</t>
        </is>
      </c>
      <c r="B353" t="inlineStr">
        <is>
          <t>Size zone matrix (2.5D)</t>
        </is>
      </c>
      <c r="C353" t="inlineStr">
        <is>
          <t>Zone size non-uniformity</t>
        </is>
      </c>
      <c r="E353" t="inlineStr">
        <is>
          <t>&lt; 3</t>
        </is>
      </c>
      <c r="H353" s="4" t="n"/>
      <c r="I353" s="4">
        <f>IFERROR(IF(NOT(H353=""),ABS(ROUNDDOWN(F353-H353, 3 - (1+INT(LOG10(ABS(F353)))))),""),IF(AND(F353=0,NOT(F353="")),ABS(ROUNDDOWN(F353-H353,0)),""))</f>
        <v/>
      </c>
      <c r="J353" s="4">
        <f>IF(NOT(I353=""),IF(I353&lt;=G353,"match",IF(I353&lt;3*G353,"partial match","no match")),"")</f>
        <v/>
      </c>
      <c r="K353" t="inlineStr">
        <is>
          <t>szm_zsnu_2_5D</t>
        </is>
      </c>
    </row>
    <row r="354" ht="15.75" customHeight="1" s="10">
      <c r="A354" t="inlineStr">
        <is>
          <t>digital phantom</t>
        </is>
      </c>
      <c r="B354" t="inlineStr">
        <is>
          <t>Size zone matrix (2.5D)</t>
        </is>
      </c>
      <c r="C354" t="inlineStr">
        <is>
          <t>Zone size non-uniformity normalised</t>
        </is>
      </c>
      <c r="E354" t="inlineStr">
        <is>
          <t>&lt; 3</t>
        </is>
      </c>
      <c r="H354" s="4" t="n"/>
      <c r="I354" s="4">
        <f>IFERROR(IF(NOT(H354=""),ABS(ROUNDDOWN(F354-H354, 3 - (1+INT(LOG10(ABS(F354)))))),""),IF(AND(F354=0,NOT(F354="")),ABS(ROUNDDOWN(F354-H354,0)),""))</f>
        <v/>
      </c>
      <c r="J354" s="4">
        <f>IF(NOT(I354=""),IF(I354&lt;=G354,"match",IF(I354&lt;3*G354,"partial match","no match")),"")</f>
        <v/>
      </c>
      <c r="K354" t="inlineStr">
        <is>
          <t>szm_zsnu_norm_2_5D</t>
        </is>
      </c>
    </row>
    <row r="355" ht="15.75" customHeight="1" s="10">
      <c r="A355" t="inlineStr">
        <is>
          <t>digital phantom</t>
        </is>
      </c>
      <c r="B355" t="inlineStr">
        <is>
          <t>Size zone matrix (2.5D)</t>
        </is>
      </c>
      <c r="C355" t="inlineStr">
        <is>
          <t>Zone percentage</t>
        </is>
      </c>
      <c r="E355" t="inlineStr">
        <is>
          <t>&lt; 3</t>
        </is>
      </c>
      <c r="H355" s="4" t="n"/>
      <c r="I355" s="4">
        <f>IFERROR(IF(NOT(H355=""),ABS(ROUNDDOWN(F355-H355, 3 - (1+INT(LOG10(ABS(F355)))))),""),IF(AND(F355=0,NOT(F355="")),ABS(ROUNDDOWN(F355-H355,0)),""))</f>
        <v/>
      </c>
      <c r="J355" s="4">
        <f>IF(NOT(I355=""),IF(I355&lt;=G355,"match",IF(I355&lt;3*G355,"partial match","no match")),"")</f>
        <v/>
      </c>
      <c r="K355" t="inlineStr">
        <is>
          <t>szm_z_perc_2_5D</t>
        </is>
      </c>
    </row>
    <row r="356" ht="15.75" customHeight="1" s="10">
      <c r="A356" t="inlineStr">
        <is>
          <t>digital phantom</t>
        </is>
      </c>
      <c r="B356" t="inlineStr">
        <is>
          <t>Size zone matrix (2.5D)</t>
        </is>
      </c>
      <c r="C356" t="inlineStr">
        <is>
          <t>Grey level variance</t>
        </is>
      </c>
      <c r="E356" t="inlineStr">
        <is>
          <t>&lt; 3</t>
        </is>
      </c>
      <c r="H356" s="4" t="n"/>
      <c r="I356" s="4">
        <f>IFERROR(IF(NOT(H356=""),ABS(ROUNDDOWN(F356-H356, 3 - (1+INT(LOG10(ABS(F356)))))),""),IF(AND(F356=0,NOT(F356="")),ABS(ROUNDDOWN(F356-H356,0)),""))</f>
        <v/>
      </c>
      <c r="J356" s="4">
        <f>IF(NOT(I356=""),IF(I356&lt;=G356,"match",IF(I356&lt;3*G356,"partial match","no match")),"")</f>
        <v/>
      </c>
      <c r="K356" t="inlineStr">
        <is>
          <t>szm_gl_var_2_5D</t>
        </is>
      </c>
    </row>
    <row r="357" ht="15.75" customHeight="1" s="10">
      <c r="A357" t="inlineStr">
        <is>
          <t>digital phantom</t>
        </is>
      </c>
      <c r="B357" t="inlineStr">
        <is>
          <t>Size zone matrix (2.5D)</t>
        </is>
      </c>
      <c r="C357" t="inlineStr">
        <is>
          <t>Zone size variance</t>
        </is>
      </c>
      <c r="E357" t="inlineStr">
        <is>
          <t>&lt; 3</t>
        </is>
      </c>
      <c r="H357" s="4" t="n"/>
      <c r="I357" s="4">
        <f>IFERROR(IF(NOT(H357=""),ABS(ROUNDDOWN(F357-H357, 3 - (1+INT(LOG10(ABS(F357)))))),""),IF(AND(F357=0,NOT(F357="")),ABS(ROUNDDOWN(F357-H357,0)),""))</f>
        <v/>
      </c>
      <c r="J357" s="4">
        <f>IF(NOT(I357=""),IF(I357&lt;=G357,"match",IF(I357&lt;3*G357,"partial match","no match")),"")</f>
        <v/>
      </c>
      <c r="K357" t="inlineStr">
        <is>
          <t>szm_zs_var_2_5D</t>
        </is>
      </c>
    </row>
    <row r="358" ht="15.75" customHeight="1" s="10">
      <c r="A358" t="inlineStr">
        <is>
          <t>digital phantom</t>
        </is>
      </c>
      <c r="B358" t="inlineStr">
        <is>
          <t>Size zone matrix (2.5D)</t>
        </is>
      </c>
      <c r="C358" t="inlineStr">
        <is>
          <t>Zone size entropy</t>
        </is>
      </c>
      <c r="E358" t="inlineStr">
        <is>
          <t>&lt; 3</t>
        </is>
      </c>
      <c r="H358" s="4" t="n"/>
      <c r="I358" s="4">
        <f>IFERROR(IF(NOT(H358=""),ABS(ROUNDDOWN(F358-H358, 3 - (1+INT(LOG10(ABS(F358)))))),""),IF(AND(F358=0,NOT(F358="")),ABS(ROUNDDOWN(F358-H358,0)),""))</f>
        <v/>
      </c>
      <c r="J358" s="4">
        <f>IF(NOT(I358=""),IF(I358&lt;=G358,"match",IF(I358&lt;3*G358,"partial match","no match")),"")</f>
        <v/>
      </c>
      <c r="K358" t="inlineStr">
        <is>
          <t>szm_zs_entr_2_5D</t>
        </is>
      </c>
    </row>
    <row r="359" ht="15.75" customHeight="1" s="10">
      <c r="A359" t="inlineStr">
        <is>
          <t>digital phantom</t>
        </is>
      </c>
      <c r="B359" s="11" t="inlineStr">
        <is>
          <t>Size zone matrix (3D)</t>
        </is>
      </c>
      <c r="C359" t="inlineStr">
        <is>
          <t>Small zone emphasis</t>
        </is>
      </c>
      <c r="D359" t="inlineStr">
        <is>
          <t>SmallZoneEmphasis</t>
        </is>
      </c>
      <c r="E359" t="inlineStr">
        <is>
          <t>≥ 10</t>
        </is>
      </c>
      <c r="F359" t="n">
        <v>0.255</v>
      </c>
      <c r="G359" t="n">
        <v>0</v>
      </c>
      <c r="H359" s="4" t="n">
        <v>0.255182040816326</v>
      </c>
      <c r="I359" s="4">
        <f>IFERROR(IF(NOT(H359=""),ABS(ROUNDDOWN(F359-H359, 3 - (1+INT(LOG10(ABS(F359)))))),""),IF(AND(F359=0,NOT(F359="")),ABS(ROUNDDOWN(F359-H359,0)),""))</f>
        <v/>
      </c>
      <c r="J359" s="4">
        <f>IF(NOT(I359=""),IF(I359&lt;=G359,"match",IF(I359&lt;3*G359,"partial match","no match")),"")</f>
        <v/>
      </c>
      <c r="K359" t="inlineStr">
        <is>
          <t>szm_sze_3D</t>
        </is>
      </c>
    </row>
    <row r="360" ht="15.75" customHeight="1" s="10">
      <c r="A360" t="inlineStr">
        <is>
          <t>digital phantom</t>
        </is>
      </c>
      <c r="B360" t="inlineStr">
        <is>
          <t>Size zone matrix (3D)</t>
        </is>
      </c>
      <c r="C360" t="inlineStr">
        <is>
          <t>Large zone emphasis</t>
        </is>
      </c>
      <c r="D360" t="inlineStr">
        <is>
          <t>LargeZoneEmphasis</t>
        </is>
      </c>
      <c r="E360" t="inlineStr">
        <is>
          <t>≥ 10</t>
        </is>
      </c>
      <c r="F360" t="n">
        <v>550</v>
      </c>
      <c r="G360" t="n">
        <v>0</v>
      </c>
      <c r="H360" s="4" t="n">
        <v>550</v>
      </c>
      <c r="I360" s="4">
        <f>IFERROR(IF(NOT(H360=""),ABS(ROUNDDOWN(F360-H360, 3 - (1+INT(LOG10(ABS(F360)))))),""),IF(AND(F360=0,NOT(F360="")),ABS(ROUNDDOWN(F360-H360,0)),""))</f>
        <v/>
      </c>
      <c r="J360" s="4">
        <f>IF(NOT(I360=""),IF(I360&lt;=G360,"match",IF(I360&lt;3*G360,"partial match","no match")),"")</f>
        <v/>
      </c>
      <c r="K360" t="inlineStr">
        <is>
          <t>szm_lze_3D</t>
        </is>
      </c>
    </row>
    <row r="361" ht="15.75" customHeight="1" s="10">
      <c r="A361" t="inlineStr">
        <is>
          <t>digital phantom</t>
        </is>
      </c>
      <c r="B361" t="inlineStr">
        <is>
          <t>Size zone matrix (3D)</t>
        </is>
      </c>
      <c r="C361" t="inlineStr">
        <is>
          <t>Low grey level emphasis</t>
        </is>
      </c>
      <c r="D361" t="inlineStr">
        <is>
          <t>LowGrayLevelZoneEmphasis</t>
        </is>
      </c>
      <c r="E361" t="inlineStr">
        <is>
          <t>≥ 10</t>
        </is>
      </c>
      <c r="F361" t="n">
        <v>0.253</v>
      </c>
      <c r="G361" t="n">
        <v>0</v>
      </c>
      <c r="H361" s="4" t="n">
        <v>0.252777777777777</v>
      </c>
      <c r="I361" s="4">
        <f>IFERROR(IF(NOT(H361=""),ABS(ROUNDDOWN(F361-H361, 3 - (1+INT(LOG10(ABS(F361)))))),""),IF(AND(F361=0,NOT(F361="")),ABS(ROUNDDOWN(F361-H361,0)),""))</f>
        <v/>
      </c>
      <c r="J361" s="4">
        <f>IF(NOT(I361=""),IF(I361&lt;=G361,"match",IF(I361&lt;3*G361,"partial match","no match")),"")</f>
        <v/>
      </c>
      <c r="K361" t="inlineStr">
        <is>
          <t>szm_lgze_3D</t>
        </is>
      </c>
    </row>
    <row r="362" ht="15.75" customHeight="1" s="10">
      <c r="A362" t="inlineStr">
        <is>
          <t>digital phantom</t>
        </is>
      </c>
      <c r="B362" t="inlineStr">
        <is>
          <t>Size zone matrix (3D)</t>
        </is>
      </c>
      <c r="C362" t="inlineStr">
        <is>
          <t>High grey level emphasis</t>
        </is>
      </c>
      <c r="D362" t="inlineStr">
        <is>
          <t>HighGrayLevelZoneEmphasis</t>
        </is>
      </c>
      <c r="E362" t="inlineStr">
        <is>
          <t>≥ 10</t>
        </is>
      </c>
      <c r="F362" t="n">
        <v>15.6</v>
      </c>
      <c r="G362" t="n">
        <v>0</v>
      </c>
      <c r="H362" s="4" t="n">
        <v>15.6</v>
      </c>
      <c r="I362" s="4">
        <f>IFERROR(IF(NOT(H362=""),ABS(ROUNDDOWN(F362-H362, 3 - (1+INT(LOG10(ABS(F362)))))),""),IF(AND(F362=0,NOT(F362="")),ABS(ROUNDDOWN(F362-H362,0)),""))</f>
        <v/>
      </c>
      <c r="J362" s="4">
        <f>IF(NOT(I362=""),IF(I362&lt;=G362,"match",IF(I362&lt;3*G362,"partial match","no match")),"")</f>
        <v/>
      </c>
      <c r="K362" t="inlineStr">
        <is>
          <t>szm_hgze_3D</t>
        </is>
      </c>
    </row>
    <row r="363" ht="15.75" customHeight="1" s="10">
      <c r="A363" t="inlineStr">
        <is>
          <t>digital phantom</t>
        </is>
      </c>
      <c r="B363" t="inlineStr">
        <is>
          <t>Size zone matrix (3D)</t>
        </is>
      </c>
      <c r="C363" t="inlineStr">
        <is>
          <t>Small zone low grey level emphasis</t>
        </is>
      </c>
      <c r="D363" t="inlineStr">
        <is>
          <t>SmallZoneLowGrayLevelEmphasis</t>
        </is>
      </c>
      <c r="E363" t="inlineStr">
        <is>
          <t>≥ 10</t>
        </is>
      </c>
      <c r="F363" t="n">
        <v>0.0256</v>
      </c>
      <c r="G363" t="n">
        <v>0</v>
      </c>
      <c r="H363" s="4" t="n">
        <v>0.0256043764172335</v>
      </c>
      <c r="I363" s="4">
        <f>IFERROR(IF(NOT(H363=""),ABS(ROUNDDOWN(F363-H363, 3 - (1+INT(LOG10(ABS(F363)))))),""),IF(AND(F363=0,NOT(F363="")),ABS(ROUNDDOWN(F363-H363,0)),""))</f>
        <v/>
      </c>
      <c r="J363" s="4">
        <f>IF(NOT(I363=""),IF(I363&lt;=G363,"match",IF(I363&lt;3*G363,"partial match","no match")),"")</f>
        <v/>
      </c>
      <c r="K363" t="inlineStr">
        <is>
          <t>szm_szlge_3D</t>
        </is>
      </c>
    </row>
    <row r="364" ht="15.75" customHeight="1" s="10">
      <c r="A364" t="inlineStr">
        <is>
          <t>digital phantom</t>
        </is>
      </c>
      <c r="B364" t="inlineStr">
        <is>
          <t>Size zone matrix (3D)</t>
        </is>
      </c>
      <c r="C364" t="inlineStr">
        <is>
          <t>Small zone high grey level emphasis</t>
        </is>
      </c>
      <c r="D364" t="inlineStr">
        <is>
          <t>SmallZoneHighGrayLevelEmphasis</t>
        </is>
      </c>
      <c r="E364" t="inlineStr">
        <is>
          <t>≥ 10</t>
        </is>
      </c>
      <c r="F364" t="n">
        <v>2.76</v>
      </c>
      <c r="G364" t="n">
        <v>0</v>
      </c>
      <c r="H364" s="4" t="n">
        <v>2.76334530612244</v>
      </c>
      <c r="I364" s="4">
        <f>IFERROR(IF(NOT(H364=""),ABS(ROUNDDOWN(F364-H364, 3 - (1+INT(LOG10(ABS(F364)))))),""),IF(AND(F364=0,NOT(F364="")),ABS(ROUNDDOWN(F364-H364,0)),""))</f>
        <v/>
      </c>
      <c r="J364" s="4">
        <f>IF(NOT(I364=""),IF(I364&lt;=G364,"match",IF(I364&lt;3*G364,"partial match","no match")),"")</f>
        <v/>
      </c>
      <c r="K364" t="inlineStr">
        <is>
          <t>szm_szhge_3D</t>
        </is>
      </c>
    </row>
    <row r="365" ht="15.75" customHeight="1" s="10">
      <c r="A365" t="inlineStr">
        <is>
          <t>digital phantom</t>
        </is>
      </c>
      <c r="B365" t="inlineStr">
        <is>
          <t>Size zone matrix (3D)</t>
        </is>
      </c>
      <c r="C365" t="inlineStr">
        <is>
          <t>Large zone low grey level emphasis</t>
        </is>
      </c>
      <c r="D365" t="inlineStr">
        <is>
          <t>LargeZoneLowGrayLevelEmphasis</t>
        </is>
      </c>
      <c r="E365" t="inlineStr">
        <is>
          <t>≥ 10</t>
        </is>
      </c>
      <c r="F365" t="n">
        <v>503</v>
      </c>
      <c r="G365" t="n">
        <v>0</v>
      </c>
      <c r="H365" s="4" t="n">
        <v>502.794444444444</v>
      </c>
      <c r="I365" s="4">
        <f>IFERROR(IF(NOT(H365=""),ABS(ROUNDDOWN(F365-H365, 3 - (1+INT(LOG10(ABS(F365)))))),""),IF(AND(F365=0,NOT(F365="")),ABS(ROUNDDOWN(F365-H365,0)),""))</f>
        <v/>
      </c>
      <c r="J365" s="4">
        <f>IF(NOT(I365=""),IF(I365&lt;=G365,"match",IF(I365&lt;3*G365,"partial match","no match")),"")</f>
        <v/>
      </c>
      <c r="K365" t="inlineStr">
        <is>
          <t>szm_lzlge_3D</t>
        </is>
      </c>
    </row>
    <row r="366" ht="15.75" customHeight="1" s="10">
      <c r="A366" t="inlineStr">
        <is>
          <t>digital phantom</t>
        </is>
      </c>
      <c r="B366" t="inlineStr">
        <is>
          <t>Size zone matrix (3D)</t>
        </is>
      </c>
      <c r="C366" t="inlineStr">
        <is>
          <t>Large zone high grey level emphasis</t>
        </is>
      </c>
      <c r="D366" t="inlineStr">
        <is>
          <t>LargeZoneHighGrayLevelEmphasis</t>
        </is>
      </c>
      <c r="E366" t="inlineStr">
        <is>
          <t>≥ 10</t>
        </is>
      </c>
      <c r="F366" t="n">
        <v>1490</v>
      </c>
      <c r="G366" t="n">
        <v>0</v>
      </c>
      <c r="H366" s="4" t="n">
        <v>1494.6</v>
      </c>
      <c r="I366" s="4">
        <f>IFERROR(IF(NOT(H366=""),ABS(ROUNDDOWN(F366-H366, 3 - (1+INT(LOG10(ABS(F366)))))),""),IF(AND(F366=0,NOT(F366="")),ABS(ROUNDDOWN(F366-H366,0)),""))</f>
        <v/>
      </c>
      <c r="J366" s="4">
        <f>IF(NOT(I366=""),IF(I366&lt;=G366,"match",IF(I366&lt;3*G366,"partial match","no match")),"")</f>
        <v/>
      </c>
      <c r="K366" t="inlineStr">
        <is>
          <t>szm_lzhge_3D</t>
        </is>
      </c>
    </row>
    <row r="367" ht="15.75" customHeight="1" s="10">
      <c r="A367" t="inlineStr">
        <is>
          <t>digital phantom</t>
        </is>
      </c>
      <c r="B367" t="inlineStr">
        <is>
          <t>Size zone matrix (3D)</t>
        </is>
      </c>
      <c r="C367" t="inlineStr">
        <is>
          <t>Grey level non-uniformity</t>
        </is>
      </c>
      <c r="D367" t="inlineStr">
        <is>
          <t>GrayLevelNonUniformity</t>
        </is>
      </c>
      <c r="E367" t="inlineStr">
        <is>
          <t>≥ 10</t>
        </is>
      </c>
      <c r="F367" t="n">
        <v>1.4</v>
      </c>
      <c r="G367" t="n">
        <v>0</v>
      </c>
      <c r="H367" s="4" t="n">
        <v>1.4</v>
      </c>
      <c r="I367" s="4">
        <f>IFERROR(IF(NOT(H367=""),ABS(ROUNDDOWN(F367-H367, 3 - (1+INT(LOG10(ABS(F367)))))),""),IF(AND(F367=0,NOT(F367="")),ABS(ROUNDDOWN(F367-H367,0)),""))</f>
        <v/>
      </c>
      <c r="J367" s="4">
        <f>IF(NOT(I367=""),IF(I367&lt;=G367,"match",IF(I367&lt;3*G367,"partial match","no match")),"")</f>
        <v/>
      </c>
      <c r="K367" t="inlineStr">
        <is>
          <t>szm_glnu_3D</t>
        </is>
      </c>
    </row>
    <row r="368" ht="15.75" customHeight="1" s="10">
      <c r="A368" t="inlineStr">
        <is>
          <t>digital phantom</t>
        </is>
      </c>
      <c r="B368" t="inlineStr">
        <is>
          <t>Size zone matrix (3D)</t>
        </is>
      </c>
      <c r="C368" t="inlineStr">
        <is>
          <t>Grey level non uniformity normalised</t>
        </is>
      </c>
      <c r="D368" t="inlineStr">
        <is>
          <t>GrayLevelNonUniformityNormalized</t>
        </is>
      </c>
      <c r="E368" t="inlineStr">
        <is>
          <t>≥ 10</t>
        </is>
      </c>
      <c r="F368" t="n">
        <v>0.28</v>
      </c>
      <c r="G368" t="n">
        <v>0</v>
      </c>
      <c r="H368" s="4" t="n">
        <v>0.28</v>
      </c>
      <c r="I368" s="4">
        <f>IFERROR(IF(NOT(H368=""),ABS(ROUNDDOWN(F368-H368, 3 - (1+INT(LOG10(ABS(F368)))))),""),IF(AND(F368=0,NOT(F368="")),ABS(ROUNDDOWN(F368-H368,0)),""))</f>
        <v/>
      </c>
      <c r="J368" s="4">
        <f>IF(NOT(I368=""),IF(I368&lt;=G368,"match",IF(I368&lt;3*G368,"partial match","no match")),"")</f>
        <v/>
      </c>
      <c r="K368" t="inlineStr">
        <is>
          <t>szm_glnu_norm_3D</t>
        </is>
      </c>
    </row>
    <row r="369" ht="15.75" customHeight="1" s="10">
      <c r="A369" t="inlineStr">
        <is>
          <t>digital phantom</t>
        </is>
      </c>
      <c r="B369" t="inlineStr">
        <is>
          <t>Size zone matrix (3D)</t>
        </is>
      </c>
      <c r="C369" t="inlineStr">
        <is>
          <t>Zone size non-uniformity</t>
        </is>
      </c>
      <c r="D369" t="inlineStr">
        <is>
          <t>SizeZoneNonUniformity</t>
        </is>
      </c>
      <c r="E369" t="inlineStr">
        <is>
          <t>≥ 10</t>
        </is>
      </c>
      <c r="F369" t="n">
        <v>1</v>
      </c>
      <c r="G369" t="n">
        <v>0</v>
      </c>
      <c r="H369" s="4" t="n">
        <v>1</v>
      </c>
      <c r="I369" s="4">
        <f>IFERROR(IF(NOT(H369=""),ABS(ROUNDDOWN(F369-H369, 3 - (1+INT(LOG10(ABS(F369)))))),""),IF(AND(F369=0,NOT(F369="")),ABS(ROUNDDOWN(F369-H369,0)),""))</f>
        <v/>
      </c>
      <c r="J369" s="4">
        <f>IF(NOT(I369=""),IF(I369&lt;=G369,"match",IF(I369&lt;3*G369,"partial match","no match")),"")</f>
        <v/>
      </c>
      <c r="K369" t="inlineStr">
        <is>
          <t>szm_zsnu_3D</t>
        </is>
      </c>
    </row>
    <row r="370" ht="15.75" customHeight="1" s="10">
      <c r="A370" t="inlineStr">
        <is>
          <t>digital phantom</t>
        </is>
      </c>
      <c r="B370" t="inlineStr">
        <is>
          <t>Size zone matrix (3D)</t>
        </is>
      </c>
      <c r="C370" t="inlineStr">
        <is>
          <t>Zone size non-uniformity normalised</t>
        </is>
      </c>
      <c r="D370" t="inlineStr">
        <is>
          <t>SizeZoneNonUniformityNormalized</t>
        </is>
      </c>
      <c r="E370" t="inlineStr">
        <is>
          <t>≥ 10</t>
        </is>
      </c>
      <c r="F370" t="n">
        <v>0.2</v>
      </c>
      <c r="G370" t="n">
        <v>0</v>
      </c>
      <c r="H370" s="4" t="n">
        <v>0.2</v>
      </c>
      <c r="I370" s="4">
        <f>IFERROR(IF(NOT(H370=""),ABS(ROUNDDOWN(F370-H370, 3 - (1+INT(LOG10(ABS(F370)))))),""),IF(AND(F370=0,NOT(F370="")),ABS(ROUNDDOWN(F370-H370,0)),""))</f>
        <v/>
      </c>
      <c r="J370" s="4">
        <f>IF(NOT(I370=""),IF(I370&lt;=G370,"match",IF(I370&lt;3*G370,"partial match","no match")),"")</f>
        <v/>
      </c>
      <c r="K370" t="inlineStr">
        <is>
          <t>szm_zsnu_norm_3D</t>
        </is>
      </c>
    </row>
    <row r="371" ht="15.75" customHeight="1" s="10">
      <c r="A371" t="inlineStr">
        <is>
          <t>digital phantom</t>
        </is>
      </c>
      <c r="B371" t="inlineStr">
        <is>
          <t>Size zone matrix (3D)</t>
        </is>
      </c>
      <c r="C371" t="inlineStr">
        <is>
          <t>Zone percentage</t>
        </is>
      </c>
      <c r="D371" t="inlineStr">
        <is>
          <t>ZonePercentage</t>
        </is>
      </c>
      <c r="E371" t="inlineStr">
        <is>
          <t>≥ 10</t>
        </is>
      </c>
      <c r="F371" t="n">
        <v>0.06759999999999999</v>
      </c>
      <c r="G371" t="n">
        <v>0</v>
      </c>
      <c r="H371" s="4" t="n">
        <v>0.0675675675675675</v>
      </c>
      <c r="I371" s="4">
        <f>IFERROR(IF(NOT(H371=""),ABS(ROUNDDOWN(F371-H371, 3 - (1+INT(LOG10(ABS(F371)))))),""),IF(AND(F371=0,NOT(F371="")),ABS(ROUNDDOWN(F371-H371,0)),""))</f>
        <v/>
      </c>
      <c r="J371" s="4">
        <f>IF(NOT(I371=""),IF(I371&lt;=G371,"match",IF(I371&lt;3*G371,"partial match","no match")),"")</f>
        <v/>
      </c>
      <c r="K371" t="inlineStr">
        <is>
          <t>szm_z_perc_3D</t>
        </is>
      </c>
    </row>
    <row r="372" ht="15.75" customHeight="1" s="10">
      <c r="A372" t="inlineStr">
        <is>
          <t>digital phantom</t>
        </is>
      </c>
      <c r="B372" t="inlineStr">
        <is>
          <t>Size zone matrix (3D)</t>
        </is>
      </c>
      <c r="C372" t="inlineStr">
        <is>
          <t>Grey level variance</t>
        </is>
      </c>
      <c r="D372" t="inlineStr">
        <is>
          <t>GrayLevelVariance</t>
        </is>
      </c>
      <c r="E372" t="inlineStr">
        <is>
          <t>≥ 10</t>
        </is>
      </c>
      <c r="F372" t="n">
        <v>2.64</v>
      </c>
      <c r="G372" t="n">
        <v>0</v>
      </c>
      <c r="H372" s="4" t="n">
        <v>2.63999999999999</v>
      </c>
      <c r="I372" s="4">
        <f>IFERROR(IF(NOT(H372=""),ABS(ROUNDDOWN(F372-H372, 3 - (1+INT(LOG10(ABS(F372)))))),""),IF(AND(F372=0,NOT(F372="")),ABS(ROUNDDOWN(F372-H372,0)),""))</f>
        <v/>
      </c>
      <c r="J372" s="4">
        <f>IF(NOT(I372=""),IF(I372&lt;=G372,"match",IF(I372&lt;3*G372,"partial match","no match")),"")</f>
        <v/>
      </c>
      <c r="K372" t="inlineStr">
        <is>
          <t>szm_gl_var_3D</t>
        </is>
      </c>
    </row>
    <row r="373" ht="15.75" customHeight="1" s="10">
      <c r="A373" t="inlineStr">
        <is>
          <t>digital phantom</t>
        </is>
      </c>
      <c r="B373" t="inlineStr">
        <is>
          <t>Size zone matrix (3D)</t>
        </is>
      </c>
      <c r="C373" t="inlineStr">
        <is>
          <t>Zone size variance</t>
        </is>
      </c>
      <c r="D373" t="inlineStr">
        <is>
          <t>ZoneSizeVariance</t>
        </is>
      </c>
      <c r="E373" t="inlineStr">
        <is>
          <t>≥ 10</t>
        </is>
      </c>
      <c r="F373" t="n">
        <v>331</v>
      </c>
      <c r="G373" t="n">
        <v>0</v>
      </c>
      <c r="H373" s="4" t="n">
        <v>330.96</v>
      </c>
      <c r="I373" s="4">
        <f>IFERROR(IF(NOT(H373=""),ABS(ROUNDDOWN(F373-H373, 3 - (1+INT(LOG10(ABS(F373)))))),""),IF(AND(F373=0,NOT(F373="")),ABS(ROUNDDOWN(F373-H373,0)),""))</f>
        <v/>
      </c>
      <c r="J373" s="4">
        <f>IF(NOT(I373=""),IF(I373&lt;=G373,"match",IF(I373&lt;3*G373,"partial match","no match")),"")</f>
        <v/>
      </c>
      <c r="K373" t="inlineStr">
        <is>
          <t>szm_zs_var_3D</t>
        </is>
      </c>
    </row>
    <row r="374" ht="15.75" customHeight="1" s="10">
      <c r="A374" t="inlineStr">
        <is>
          <t>digital phantom</t>
        </is>
      </c>
      <c r="B374" t="inlineStr">
        <is>
          <t>Size zone matrix (3D)</t>
        </is>
      </c>
      <c r="C374" t="inlineStr">
        <is>
          <t>Zone size entropy</t>
        </is>
      </c>
      <c r="D374" t="inlineStr">
        <is>
          <t>ZoneSizeEntropy</t>
        </is>
      </c>
      <c r="E374" t="inlineStr">
        <is>
          <t>≥ 10</t>
        </is>
      </c>
      <c r="F374" t="n">
        <v>2.32</v>
      </c>
      <c r="G374" t="n">
        <v>0</v>
      </c>
      <c r="H374" s="4" t="n">
        <v>2.32192809489076</v>
      </c>
      <c r="I374" s="4">
        <f>IFERROR(IF(NOT(H374=""),ABS(ROUNDDOWN(F374-H374, 3 - (1+INT(LOG10(ABS(F374)))))),""),IF(AND(F374=0,NOT(F374="")),ABS(ROUNDDOWN(F374-H374,0)),""))</f>
        <v/>
      </c>
      <c r="J374" s="4">
        <f>IF(NOT(I374=""),IF(I374&lt;=G374,"match",IF(I374&lt;3*G374,"partial match","no match")),"")</f>
        <v/>
      </c>
      <c r="K374" t="inlineStr">
        <is>
          <t>szm_zs_entr_3D</t>
        </is>
      </c>
    </row>
    <row r="375" ht="15.75" customHeight="1" s="10">
      <c r="A375" t="inlineStr">
        <is>
          <t>digital phantom</t>
        </is>
      </c>
      <c r="B375" t="inlineStr">
        <is>
          <t>Distance zone matrix (2D)</t>
        </is>
      </c>
      <c r="C375" t="inlineStr">
        <is>
          <t>Small distance emphasis</t>
        </is>
      </c>
      <c r="E375" t="inlineStr">
        <is>
          <t>6-9</t>
        </is>
      </c>
      <c r="F375" t="n">
        <v>0.946</v>
      </c>
      <c r="G375" t="n">
        <v>0</v>
      </c>
      <c r="H375" s="4" t="n"/>
      <c r="I375" s="4">
        <f>IFERROR(IF(NOT(H375=""),ABS(ROUNDDOWN(F375-H375, 3 - (1+INT(LOG10(ABS(F375)))))),""),IF(AND(F375=0,NOT(F375="")),ABS(ROUNDDOWN(F375-H375,0)),""))</f>
        <v/>
      </c>
      <c r="J375" s="4">
        <f>IF(NOT(I375=""),IF(I375&lt;=G375,"match",IF(I375&lt;3*G375,"partial match","no match")),"")</f>
        <v/>
      </c>
      <c r="K375" t="inlineStr">
        <is>
          <t>dzm_sde_2D</t>
        </is>
      </c>
    </row>
    <row r="376" ht="15.75" customHeight="1" s="10">
      <c r="A376" t="inlineStr">
        <is>
          <t>digital phantom</t>
        </is>
      </c>
      <c r="B376" t="inlineStr">
        <is>
          <t>Distance zone matrix (2D)</t>
        </is>
      </c>
      <c r="C376" t="inlineStr">
        <is>
          <t>Large distance emphasis</t>
        </is>
      </c>
      <c r="E376" t="inlineStr">
        <is>
          <t>6-9</t>
        </is>
      </c>
      <c r="F376" t="n">
        <v>1.21</v>
      </c>
      <c r="G376" t="n">
        <v>0</v>
      </c>
      <c r="H376" s="4" t="n"/>
      <c r="I376" s="4">
        <f>IFERROR(IF(NOT(H376=""),ABS(ROUNDDOWN(F376-H376, 3 - (1+INT(LOG10(ABS(F376)))))),""),IF(AND(F376=0,NOT(F376="")),ABS(ROUNDDOWN(F376-H376,0)),""))</f>
        <v/>
      </c>
      <c r="J376" s="4">
        <f>IF(NOT(I376=""),IF(I376&lt;=G376,"match",IF(I376&lt;3*G376,"partial match","no match")),"")</f>
        <v/>
      </c>
      <c r="K376" t="inlineStr">
        <is>
          <t>dzm_lde_2D</t>
        </is>
      </c>
    </row>
    <row r="377" ht="15.75" customHeight="1" s="10">
      <c r="A377" t="inlineStr">
        <is>
          <t>digital phantom</t>
        </is>
      </c>
      <c r="B377" t="inlineStr">
        <is>
          <t>Distance zone matrix (2D)</t>
        </is>
      </c>
      <c r="C377" t="inlineStr">
        <is>
          <t>Low grey level emphasis</t>
        </is>
      </c>
      <c r="E377" t="inlineStr">
        <is>
          <t>6-9</t>
        </is>
      </c>
      <c r="F377" t="n">
        <v>0.371</v>
      </c>
      <c r="G377" t="n">
        <v>0</v>
      </c>
      <c r="H377" s="4" t="n"/>
      <c r="I377" s="4">
        <f>IFERROR(IF(NOT(H377=""),ABS(ROUNDDOWN(F377-H377, 3 - (1+INT(LOG10(ABS(F377)))))),""),IF(AND(F377=0,NOT(F377="")),ABS(ROUNDDOWN(F377-H377,0)),""))</f>
        <v/>
      </c>
      <c r="J377" s="4">
        <f>IF(NOT(I377=""),IF(I377&lt;=G377,"match",IF(I377&lt;3*G377,"partial match","no match")),"")</f>
        <v/>
      </c>
      <c r="K377" t="inlineStr">
        <is>
          <t>dzm_lgze_2D</t>
        </is>
      </c>
    </row>
    <row r="378" ht="15.75" customHeight="1" s="10">
      <c r="A378" t="inlineStr">
        <is>
          <t>digital phantom</t>
        </is>
      </c>
      <c r="B378" t="inlineStr">
        <is>
          <t>Distance zone matrix (2D)</t>
        </is>
      </c>
      <c r="C378" t="inlineStr">
        <is>
          <t>High grey level emphasis</t>
        </is>
      </c>
      <c r="E378" t="inlineStr">
        <is>
          <t>6-9</t>
        </is>
      </c>
      <c r="F378" t="n">
        <v>16.4</v>
      </c>
      <c r="G378" t="n">
        <v>0</v>
      </c>
      <c r="H378" s="4" t="n"/>
      <c r="I378" s="4">
        <f>IFERROR(IF(NOT(H378=""),ABS(ROUNDDOWN(F378-H378, 3 - (1+INT(LOG10(ABS(F378)))))),""),IF(AND(F378=0,NOT(F378="")),ABS(ROUNDDOWN(F378-H378,0)),""))</f>
        <v/>
      </c>
      <c r="J378" s="4">
        <f>IF(NOT(I378=""),IF(I378&lt;=G378,"match",IF(I378&lt;3*G378,"partial match","no match")),"")</f>
        <v/>
      </c>
      <c r="K378" t="inlineStr">
        <is>
          <t>dzm_hgze_2D</t>
        </is>
      </c>
    </row>
    <row r="379" ht="15.75" customHeight="1" s="10">
      <c r="A379" t="inlineStr">
        <is>
          <t>digital phantom</t>
        </is>
      </c>
      <c r="B379" t="inlineStr">
        <is>
          <t>Distance zone matrix (2D)</t>
        </is>
      </c>
      <c r="C379" t="inlineStr">
        <is>
          <t>Small distance low grey level emphasis</t>
        </is>
      </c>
      <c r="E379" t="inlineStr">
        <is>
          <t>6-9</t>
        </is>
      </c>
      <c r="F379" t="n">
        <v>0.367</v>
      </c>
      <c r="G379" t="n">
        <v>0</v>
      </c>
      <c r="H379" s="4" t="n"/>
      <c r="I379" s="4">
        <f>IFERROR(IF(NOT(H379=""),ABS(ROUNDDOWN(F379-H379, 3 - (1+INT(LOG10(ABS(F379)))))),""),IF(AND(F379=0,NOT(F379="")),ABS(ROUNDDOWN(F379-H379,0)),""))</f>
        <v/>
      </c>
      <c r="J379" s="4">
        <f>IF(NOT(I379=""),IF(I379&lt;=G379,"match",IF(I379&lt;3*G379,"partial match","no match")),"")</f>
        <v/>
      </c>
      <c r="K379" t="inlineStr">
        <is>
          <t>dzm_sdlge_2D</t>
        </is>
      </c>
    </row>
    <row r="380" ht="15.75" customHeight="1" s="10">
      <c r="A380" t="inlineStr">
        <is>
          <t>digital phantom</t>
        </is>
      </c>
      <c r="B380" t="inlineStr">
        <is>
          <t>Distance zone matrix (2D)</t>
        </is>
      </c>
      <c r="C380" t="inlineStr">
        <is>
          <t>Small distance high grey level emphasis</t>
        </is>
      </c>
      <c r="E380" t="inlineStr">
        <is>
          <t>6-9</t>
        </is>
      </c>
      <c r="F380" t="n">
        <v>15.2</v>
      </c>
      <c r="G380" t="n">
        <v>0</v>
      </c>
      <c r="H380" s="4" t="n"/>
      <c r="I380" s="4">
        <f>IFERROR(IF(NOT(H380=""),ABS(ROUNDDOWN(F380-H380, 3 - (1+INT(LOG10(ABS(F380)))))),""),IF(AND(F380=0,NOT(F380="")),ABS(ROUNDDOWN(F380-H380,0)),""))</f>
        <v/>
      </c>
      <c r="J380" s="4">
        <f>IF(NOT(I380=""),IF(I380&lt;=G380,"match",IF(I380&lt;3*G380,"partial match","no match")),"")</f>
        <v/>
      </c>
      <c r="K380" t="inlineStr">
        <is>
          <t>dzm_sdhge_2D</t>
        </is>
      </c>
    </row>
    <row r="381" ht="15.75" customHeight="1" s="10">
      <c r="A381" t="inlineStr">
        <is>
          <t>digital phantom</t>
        </is>
      </c>
      <c r="B381" t="inlineStr">
        <is>
          <t>Distance zone matrix (2D)</t>
        </is>
      </c>
      <c r="C381" t="inlineStr">
        <is>
          <t>Large distance low grey level emphasis</t>
        </is>
      </c>
      <c r="E381" t="inlineStr">
        <is>
          <t>6-9</t>
        </is>
      </c>
      <c r="F381" t="n">
        <v>0.386</v>
      </c>
      <c r="G381" t="n">
        <v>0</v>
      </c>
      <c r="H381" s="4" t="n"/>
      <c r="I381" s="4">
        <f>IFERROR(IF(NOT(H381=""),ABS(ROUNDDOWN(F381-H381, 3 - (1+INT(LOG10(ABS(F381)))))),""),IF(AND(F381=0,NOT(F381="")),ABS(ROUNDDOWN(F381-H381,0)),""))</f>
        <v/>
      </c>
      <c r="J381" s="4">
        <f>IF(NOT(I381=""),IF(I381&lt;=G381,"match",IF(I381&lt;3*G381,"partial match","no match")),"")</f>
        <v/>
      </c>
      <c r="K381" t="inlineStr">
        <is>
          <t>dzm_ldlge_2D</t>
        </is>
      </c>
    </row>
    <row r="382" ht="15.75" customHeight="1" s="10">
      <c r="A382" t="inlineStr">
        <is>
          <t>digital phantom</t>
        </is>
      </c>
      <c r="B382" t="inlineStr">
        <is>
          <t>Distance zone matrix (2D)</t>
        </is>
      </c>
      <c r="C382" t="inlineStr">
        <is>
          <t>Large distance high grey level emphasis</t>
        </is>
      </c>
      <c r="E382" t="inlineStr">
        <is>
          <t>6-9</t>
        </is>
      </c>
      <c r="F382" t="n">
        <v>21.3</v>
      </c>
      <c r="G382" t="n">
        <v>0</v>
      </c>
      <c r="H382" s="4" t="n"/>
      <c r="I382" s="4">
        <f>IFERROR(IF(NOT(H382=""),ABS(ROUNDDOWN(F382-H382, 3 - (1+INT(LOG10(ABS(F382)))))),""),IF(AND(F382=0,NOT(F382="")),ABS(ROUNDDOWN(F382-H382,0)),""))</f>
        <v/>
      </c>
      <c r="J382" s="4">
        <f>IF(NOT(I382=""),IF(I382&lt;=G382,"match",IF(I382&lt;3*G382,"partial match","no match")),"")</f>
        <v/>
      </c>
      <c r="K382" t="inlineStr">
        <is>
          <t>dzm_ldhge_2D</t>
        </is>
      </c>
    </row>
    <row r="383" ht="15.75" customHeight="1" s="10">
      <c r="A383" t="inlineStr">
        <is>
          <t>digital phantom</t>
        </is>
      </c>
      <c r="B383" t="inlineStr">
        <is>
          <t>Distance zone matrix (2D)</t>
        </is>
      </c>
      <c r="C383" t="inlineStr">
        <is>
          <t>Grey level non-uniformity</t>
        </is>
      </c>
      <c r="E383" t="inlineStr">
        <is>
          <t>6-9</t>
        </is>
      </c>
      <c r="F383" t="n">
        <v>1.41</v>
      </c>
      <c r="G383" t="n">
        <v>0</v>
      </c>
      <c r="H383" s="4" t="n"/>
      <c r="I383" s="4">
        <f>IFERROR(IF(NOT(H383=""),ABS(ROUNDDOWN(F383-H383, 3 - (1+INT(LOG10(ABS(F383)))))),""),IF(AND(F383=0,NOT(F383="")),ABS(ROUNDDOWN(F383-H383,0)),""))</f>
        <v/>
      </c>
      <c r="J383" s="4">
        <f>IF(NOT(I383=""),IF(I383&lt;=G383,"match",IF(I383&lt;3*G383,"partial match","no match")),"")</f>
        <v/>
      </c>
      <c r="K383" t="inlineStr">
        <is>
          <t>dzm_glnu_2D</t>
        </is>
      </c>
    </row>
    <row r="384" ht="15.75" customHeight="1" s="10">
      <c r="A384" t="inlineStr">
        <is>
          <t>digital phantom</t>
        </is>
      </c>
      <c r="B384" t="inlineStr">
        <is>
          <t>Distance zone matrix (2D)</t>
        </is>
      </c>
      <c r="C384" t="inlineStr">
        <is>
          <t>Grey level non-uniformity normalised</t>
        </is>
      </c>
      <c r="E384" t="inlineStr">
        <is>
          <t>6-9</t>
        </is>
      </c>
      <c r="F384" t="n">
        <v>0.323</v>
      </c>
      <c r="G384" t="n">
        <v>0</v>
      </c>
      <c r="H384" s="4" t="n"/>
      <c r="I384" s="4">
        <f>IFERROR(IF(NOT(H384=""),ABS(ROUNDDOWN(F384-H384, 3 - (1+INT(LOG10(ABS(F384)))))),""),IF(AND(F384=0,NOT(F384="")),ABS(ROUNDDOWN(F384-H384,0)),""))</f>
        <v/>
      </c>
      <c r="J384" s="4">
        <f>IF(NOT(I384=""),IF(I384&lt;=G384,"match",IF(I384&lt;3*G384,"partial match","no match")),"")</f>
        <v/>
      </c>
      <c r="K384" t="inlineStr">
        <is>
          <t>dzm_glnu_norm_2D</t>
        </is>
      </c>
    </row>
    <row r="385" ht="15.75" customHeight="1" s="10">
      <c r="A385" t="inlineStr">
        <is>
          <t>digital phantom</t>
        </is>
      </c>
      <c r="B385" t="inlineStr">
        <is>
          <t>Distance zone matrix (2D)</t>
        </is>
      </c>
      <c r="C385" t="inlineStr">
        <is>
          <t>Zone distance non-uniformity</t>
        </is>
      </c>
      <c r="E385" t="inlineStr">
        <is>
          <t>6-9</t>
        </is>
      </c>
      <c r="F385" t="n">
        <v>3.79</v>
      </c>
      <c r="G385" t="n">
        <v>0</v>
      </c>
      <c r="H385" s="4" t="n"/>
      <c r="I385" s="4">
        <f>IFERROR(IF(NOT(H385=""),ABS(ROUNDDOWN(F385-H385, 3 - (1+INT(LOG10(ABS(F385)))))),""),IF(AND(F385=0,NOT(F385="")),ABS(ROUNDDOWN(F385-H385,0)),""))</f>
        <v/>
      </c>
      <c r="J385" s="4">
        <f>IF(NOT(I385=""),IF(I385&lt;=G385,"match",IF(I385&lt;3*G385,"partial match","no match")),"")</f>
        <v/>
      </c>
      <c r="K385" t="inlineStr">
        <is>
          <t>dzm_zdnu_2D</t>
        </is>
      </c>
    </row>
    <row r="386" ht="15.75" customHeight="1" s="10">
      <c r="A386" t="inlineStr">
        <is>
          <t>digital phantom</t>
        </is>
      </c>
      <c r="B386" t="inlineStr">
        <is>
          <t>Distance zone matrix (2D)</t>
        </is>
      </c>
      <c r="C386" t="inlineStr">
        <is>
          <t>Zone distance non-uniformity normalised</t>
        </is>
      </c>
      <c r="E386" t="inlineStr">
        <is>
          <t>6-9</t>
        </is>
      </c>
      <c r="F386" t="n">
        <v>0.898</v>
      </c>
      <c r="G386" t="n">
        <v>0</v>
      </c>
      <c r="H386" s="4" t="n"/>
      <c r="I386" s="4">
        <f>IFERROR(IF(NOT(H386=""),ABS(ROUNDDOWN(F386-H386, 3 - (1+INT(LOG10(ABS(F386)))))),""),IF(AND(F386=0,NOT(F386="")),ABS(ROUNDDOWN(F386-H386,0)),""))</f>
        <v/>
      </c>
      <c r="J386" s="4">
        <f>IF(NOT(I386=""),IF(I386&lt;=G386,"match",IF(I386&lt;3*G386,"partial match","no match")),"")</f>
        <v/>
      </c>
      <c r="K386" t="inlineStr">
        <is>
          <t>dzm_zdnu_norm_2D</t>
        </is>
      </c>
    </row>
    <row r="387" ht="15.75" customHeight="1" s="10">
      <c r="A387" t="inlineStr">
        <is>
          <t>digital phantom</t>
        </is>
      </c>
      <c r="B387" t="inlineStr">
        <is>
          <t>Distance zone matrix (2D)</t>
        </is>
      </c>
      <c r="C387" t="inlineStr">
        <is>
          <t>Zone percentage</t>
        </is>
      </c>
      <c r="E387" t="inlineStr">
        <is>
          <t>6-9</t>
        </is>
      </c>
      <c r="F387" t="n">
        <v>0.24</v>
      </c>
      <c r="G387" t="n">
        <v>0</v>
      </c>
      <c r="H387" s="4" t="n"/>
      <c r="I387" s="4">
        <f>IFERROR(IF(NOT(H387=""),ABS(ROUNDDOWN(F387-H387, 3 - (1+INT(LOG10(ABS(F387)))))),""),IF(AND(F387=0,NOT(F387="")),ABS(ROUNDDOWN(F387-H387,0)),""))</f>
        <v/>
      </c>
      <c r="J387" s="4">
        <f>IF(NOT(I387=""),IF(I387&lt;=G387,"match",IF(I387&lt;3*G387,"partial match","no match")),"")</f>
        <v/>
      </c>
      <c r="K387" t="inlineStr">
        <is>
          <t>dzm_z_perc_2D</t>
        </is>
      </c>
    </row>
    <row r="388" ht="15.75" customHeight="1" s="10">
      <c r="A388" t="inlineStr">
        <is>
          <t>digital phantom</t>
        </is>
      </c>
      <c r="B388" t="inlineStr">
        <is>
          <t>Distance zone matrix (2D)</t>
        </is>
      </c>
      <c r="C388" t="inlineStr">
        <is>
          <t>Grey level variance</t>
        </is>
      </c>
      <c r="E388" t="inlineStr">
        <is>
          <t>3-5</t>
        </is>
      </c>
      <c r="F388" t="n">
        <v>3.97</v>
      </c>
      <c r="G388" t="n">
        <v>0</v>
      </c>
      <c r="H388" s="4" t="n"/>
      <c r="I388" s="4">
        <f>IFERROR(IF(NOT(H388=""),ABS(ROUNDDOWN(F388-H388, 3 - (1+INT(LOG10(ABS(F388)))))),""),IF(AND(F388=0,NOT(F388="")),ABS(ROUNDDOWN(F388-H388,0)),""))</f>
        <v/>
      </c>
      <c r="J388" s="4">
        <f>IF(NOT(I388=""),IF(I388&lt;=G388,"match",IF(I388&lt;3*G388,"partial match","no match")),"")</f>
        <v/>
      </c>
      <c r="K388" t="inlineStr">
        <is>
          <t>dzm_gl_var_2D</t>
        </is>
      </c>
    </row>
    <row r="389" ht="15.75" customHeight="1" s="10">
      <c r="A389" t="inlineStr">
        <is>
          <t>digital phantom</t>
        </is>
      </c>
      <c r="B389" t="inlineStr">
        <is>
          <t>Distance zone matrix (2D)</t>
        </is>
      </c>
      <c r="C389" t="inlineStr">
        <is>
          <t>Zone distance variance</t>
        </is>
      </c>
      <c r="E389" t="inlineStr">
        <is>
          <t>6-9</t>
        </is>
      </c>
      <c r="F389" t="n">
        <v>0.051</v>
      </c>
      <c r="G389" t="n">
        <v>0</v>
      </c>
      <c r="H389" s="4" t="n"/>
      <c r="I389" s="4">
        <f>IFERROR(IF(NOT(H389=""),ABS(ROUNDDOWN(F389-H389, 3 - (1+INT(LOG10(ABS(F389)))))),""),IF(AND(F389=0,NOT(F389="")),ABS(ROUNDDOWN(F389-H389,0)),""))</f>
        <v/>
      </c>
      <c r="J389" s="4">
        <f>IF(NOT(I389=""),IF(I389&lt;=G389,"match",IF(I389&lt;3*G389,"partial match","no match")),"")</f>
        <v/>
      </c>
      <c r="K389" t="inlineStr">
        <is>
          <t>dzm_zd_var_2D</t>
        </is>
      </c>
    </row>
    <row r="390" ht="15.75" customHeight="1" s="10">
      <c r="A390" t="inlineStr">
        <is>
          <t>digital phantom</t>
        </is>
      </c>
      <c r="B390" t="inlineStr">
        <is>
          <t>Distance zone matrix (2D)</t>
        </is>
      </c>
      <c r="C390" t="inlineStr">
        <is>
          <t>Zone distance entropy</t>
        </is>
      </c>
      <c r="E390" t="inlineStr">
        <is>
          <t>6-9</t>
        </is>
      </c>
      <c r="F390" t="n">
        <v>1.73</v>
      </c>
      <c r="G390" t="n">
        <v>0</v>
      </c>
      <c r="H390" s="4" t="n"/>
      <c r="I390" s="4">
        <f>IFERROR(IF(NOT(H390=""),ABS(ROUNDDOWN(F390-H390, 3 - (1+INT(LOG10(ABS(F390)))))),""),IF(AND(F390=0,NOT(F390="")),ABS(ROUNDDOWN(F390-H390,0)),""))</f>
        <v/>
      </c>
      <c r="J390" s="4">
        <f>IF(NOT(I390=""),IF(I390&lt;=G390,"match",IF(I390&lt;3*G390,"partial match","no match")),"")</f>
        <v/>
      </c>
      <c r="K390" t="inlineStr">
        <is>
          <t>dzm_zd_entr_2D</t>
        </is>
      </c>
    </row>
    <row r="391" ht="15.75" customHeight="1" s="10">
      <c r="A391" t="inlineStr">
        <is>
          <t>digital phantom</t>
        </is>
      </c>
      <c r="B391" t="inlineStr">
        <is>
          <t>Distance zone matrix (2.5D)</t>
        </is>
      </c>
      <c r="C391" t="inlineStr">
        <is>
          <t>Small distance emphasis</t>
        </is>
      </c>
      <c r="E391" t="inlineStr">
        <is>
          <t>&lt; 3</t>
        </is>
      </c>
      <c r="H391" s="4" t="n"/>
      <c r="I391" s="4">
        <f>IFERROR(IF(NOT(H391=""),ABS(ROUNDDOWN(F391-H391, 3 - (1+INT(LOG10(ABS(F391)))))),""),IF(AND(F391=0,NOT(F391="")),ABS(ROUNDDOWN(F391-H391,0)),""))</f>
        <v/>
      </c>
      <c r="J391" s="4">
        <f>IF(NOT(I391=""),IF(I391&lt;=G391,"match",IF(I391&lt;3*G391,"partial match","no match")),"")</f>
        <v/>
      </c>
      <c r="K391" t="inlineStr">
        <is>
          <t>dzm_sde_2_5D</t>
        </is>
      </c>
    </row>
    <row r="392" ht="15.75" customHeight="1" s="10">
      <c r="A392" t="inlineStr">
        <is>
          <t>digital phantom</t>
        </is>
      </c>
      <c r="B392" t="inlineStr">
        <is>
          <t>Distance zone matrix (2.5D)</t>
        </is>
      </c>
      <c r="C392" t="inlineStr">
        <is>
          <t>Large distance emphasis</t>
        </is>
      </c>
      <c r="E392" t="inlineStr">
        <is>
          <t>&lt; 3</t>
        </is>
      </c>
      <c r="H392" s="4" t="n"/>
      <c r="I392" s="4">
        <f>IFERROR(IF(NOT(H392=""),ABS(ROUNDDOWN(F392-H392, 3 - (1+INT(LOG10(ABS(F392)))))),""),IF(AND(F392=0,NOT(F392="")),ABS(ROUNDDOWN(F392-H392,0)),""))</f>
        <v/>
      </c>
      <c r="J392" s="4">
        <f>IF(NOT(I392=""),IF(I392&lt;=G392,"match",IF(I392&lt;3*G392,"partial match","no match")),"")</f>
        <v/>
      </c>
      <c r="K392" t="inlineStr">
        <is>
          <t>dzm_lde_2_5D</t>
        </is>
      </c>
    </row>
    <row r="393" ht="15.75" customHeight="1" s="10">
      <c r="A393" t="inlineStr">
        <is>
          <t>digital phantom</t>
        </is>
      </c>
      <c r="B393" t="inlineStr">
        <is>
          <t>Distance zone matrix (2.5D)</t>
        </is>
      </c>
      <c r="C393" t="inlineStr">
        <is>
          <t>Low grey level emphasis</t>
        </is>
      </c>
      <c r="E393" t="inlineStr">
        <is>
          <t>&lt; 3</t>
        </is>
      </c>
      <c r="H393" s="4" t="n"/>
      <c r="I393" s="4">
        <f>IFERROR(IF(NOT(H393=""),ABS(ROUNDDOWN(F393-H393, 3 - (1+INT(LOG10(ABS(F393)))))),""),IF(AND(F393=0,NOT(F393="")),ABS(ROUNDDOWN(F393-H393,0)),""))</f>
        <v/>
      </c>
      <c r="J393" s="4">
        <f>IF(NOT(I393=""),IF(I393&lt;=G393,"match",IF(I393&lt;3*G393,"partial match","no match")),"")</f>
        <v/>
      </c>
      <c r="K393" t="inlineStr">
        <is>
          <t>dzm_lgze_2_5D</t>
        </is>
      </c>
    </row>
    <row r="394" ht="15.75" customHeight="1" s="10">
      <c r="A394" t="inlineStr">
        <is>
          <t>digital phantom</t>
        </is>
      </c>
      <c r="B394" t="inlineStr">
        <is>
          <t>Distance zone matrix (2.5D)</t>
        </is>
      </c>
      <c r="C394" t="inlineStr">
        <is>
          <t>High grey level emphasis</t>
        </is>
      </c>
      <c r="E394" t="inlineStr">
        <is>
          <t>&lt; 3</t>
        </is>
      </c>
      <c r="H394" s="4" t="n"/>
      <c r="I394" s="4">
        <f>IFERROR(IF(NOT(H394=""),ABS(ROUNDDOWN(F394-H394, 3 - (1+INT(LOG10(ABS(F394)))))),""),IF(AND(F394=0,NOT(F394="")),ABS(ROUNDDOWN(F394-H394,0)),""))</f>
        <v/>
      </c>
      <c r="J394" s="4">
        <f>IF(NOT(I394=""),IF(I394&lt;=G394,"match",IF(I394&lt;3*G394,"partial match","no match")),"")</f>
        <v/>
      </c>
      <c r="K394" t="inlineStr">
        <is>
          <t>dzm_hgze_2_5D</t>
        </is>
      </c>
    </row>
    <row r="395" ht="15.75" customHeight="1" s="10">
      <c r="A395" t="inlineStr">
        <is>
          <t>digital phantom</t>
        </is>
      </c>
      <c r="B395" t="inlineStr">
        <is>
          <t>Distance zone matrix (2.5D)</t>
        </is>
      </c>
      <c r="C395" t="inlineStr">
        <is>
          <t>Small distance low grey level emphasis</t>
        </is>
      </c>
      <c r="E395" t="inlineStr">
        <is>
          <t>&lt; 3</t>
        </is>
      </c>
      <c r="H395" s="4" t="n"/>
      <c r="I395" s="4">
        <f>IFERROR(IF(NOT(H395=""),ABS(ROUNDDOWN(F395-H395, 3 - (1+INT(LOG10(ABS(F395)))))),""),IF(AND(F395=0,NOT(F395="")),ABS(ROUNDDOWN(F395-H395,0)),""))</f>
        <v/>
      </c>
      <c r="J395" s="4">
        <f>IF(NOT(I395=""),IF(I395&lt;=G395,"match",IF(I395&lt;3*G395,"partial match","no match")),"")</f>
        <v/>
      </c>
      <c r="K395" t="inlineStr">
        <is>
          <t>dzm_sdlge_2_5D</t>
        </is>
      </c>
    </row>
    <row r="396" ht="15.75" customHeight="1" s="10">
      <c r="A396" t="inlineStr">
        <is>
          <t>digital phantom</t>
        </is>
      </c>
      <c r="B396" t="inlineStr">
        <is>
          <t>Distance zone matrix (2.5D)</t>
        </is>
      </c>
      <c r="C396" t="inlineStr">
        <is>
          <t>Small distance high grey level emphasis</t>
        </is>
      </c>
      <c r="E396" t="inlineStr">
        <is>
          <t>&lt; 3</t>
        </is>
      </c>
      <c r="H396" s="4" t="n"/>
      <c r="I396" s="4">
        <f>IFERROR(IF(NOT(H396=""),ABS(ROUNDDOWN(F396-H396, 3 - (1+INT(LOG10(ABS(F396)))))),""),IF(AND(F396=0,NOT(F396="")),ABS(ROUNDDOWN(F396-H396,0)),""))</f>
        <v/>
      </c>
      <c r="J396" s="4">
        <f>IF(NOT(I396=""),IF(I396&lt;=G396,"match",IF(I396&lt;3*G396,"partial match","no match")),"")</f>
        <v/>
      </c>
      <c r="K396" t="inlineStr">
        <is>
          <t>dzm_sdhge_2_5D</t>
        </is>
      </c>
    </row>
    <row r="397" ht="15.75" customHeight="1" s="10">
      <c r="A397" t="inlineStr">
        <is>
          <t>digital phantom</t>
        </is>
      </c>
      <c r="B397" t="inlineStr">
        <is>
          <t>Distance zone matrix (2.5D)</t>
        </is>
      </c>
      <c r="C397" t="inlineStr">
        <is>
          <t>Large distance low grey level emphasis</t>
        </is>
      </c>
      <c r="E397" t="inlineStr">
        <is>
          <t>&lt; 3</t>
        </is>
      </c>
      <c r="H397" s="4" t="n"/>
      <c r="I397" s="4">
        <f>IFERROR(IF(NOT(H397=""),ABS(ROUNDDOWN(F397-H397, 3 - (1+INT(LOG10(ABS(F397)))))),""),IF(AND(F397=0,NOT(F397="")),ABS(ROUNDDOWN(F397-H397,0)),""))</f>
        <v/>
      </c>
      <c r="J397" s="4">
        <f>IF(NOT(I397=""),IF(I397&lt;=G397,"match",IF(I397&lt;3*G397,"partial match","no match")),"")</f>
        <v/>
      </c>
      <c r="K397" t="inlineStr">
        <is>
          <t>dzm_ldlge_2_5D</t>
        </is>
      </c>
    </row>
    <row r="398" ht="15.75" customHeight="1" s="10">
      <c r="A398" t="inlineStr">
        <is>
          <t>digital phantom</t>
        </is>
      </c>
      <c r="B398" t="inlineStr">
        <is>
          <t>Distance zone matrix (2.5D)</t>
        </is>
      </c>
      <c r="C398" t="inlineStr">
        <is>
          <t>Large distance high grey level emphasis</t>
        </is>
      </c>
      <c r="E398" t="inlineStr">
        <is>
          <t>&lt; 3</t>
        </is>
      </c>
      <c r="H398" s="4" t="n"/>
      <c r="I398" s="4">
        <f>IFERROR(IF(NOT(H398=""),ABS(ROUNDDOWN(F398-H398, 3 - (1+INT(LOG10(ABS(F398)))))),""),IF(AND(F398=0,NOT(F398="")),ABS(ROUNDDOWN(F398-H398,0)),""))</f>
        <v/>
      </c>
      <c r="J398" s="4">
        <f>IF(NOT(I398=""),IF(I398&lt;=G398,"match",IF(I398&lt;3*G398,"partial match","no match")),"")</f>
        <v/>
      </c>
      <c r="K398" t="inlineStr">
        <is>
          <t>dzm_ldhge_2_5D</t>
        </is>
      </c>
    </row>
    <row r="399" ht="15.75" customHeight="1" s="10">
      <c r="A399" t="inlineStr">
        <is>
          <t>digital phantom</t>
        </is>
      </c>
      <c r="B399" t="inlineStr">
        <is>
          <t>Distance zone matrix (2.5D)</t>
        </is>
      </c>
      <c r="C399" t="inlineStr">
        <is>
          <t>Grey level non-uniformity</t>
        </is>
      </c>
      <c r="E399" t="inlineStr">
        <is>
          <t>&lt; 3</t>
        </is>
      </c>
      <c r="H399" s="4" t="n"/>
      <c r="I399" s="4">
        <f>IFERROR(IF(NOT(H399=""),ABS(ROUNDDOWN(F399-H399, 3 - (1+INT(LOG10(ABS(F399)))))),""),IF(AND(F399=0,NOT(F399="")),ABS(ROUNDDOWN(F399-H399,0)),""))</f>
        <v/>
      </c>
      <c r="J399" s="4">
        <f>IF(NOT(I399=""),IF(I399&lt;=G399,"match",IF(I399&lt;3*G399,"partial match","no match")),"")</f>
        <v/>
      </c>
      <c r="K399" t="inlineStr">
        <is>
          <t>dzm_glnu_2_5D</t>
        </is>
      </c>
    </row>
    <row r="400" ht="15.75" customHeight="1" s="10">
      <c r="A400" t="inlineStr">
        <is>
          <t>digital phantom</t>
        </is>
      </c>
      <c r="B400" t="inlineStr">
        <is>
          <t>Distance zone matrix (2.5D)</t>
        </is>
      </c>
      <c r="C400" t="inlineStr">
        <is>
          <t>Grey level non-uniformity normalised</t>
        </is>
      </c>
      <c r="E400" t="inlineStr">
        <is>
          <t>&lt; 3</t>
        </is>
      </c>
      <c r="H400" s="4" t="n"/>
      <c r="I400" s="4">
        <f>IFERROR(IF(NOT(H400=""),ABS(ROUNDDOWN(F400-H400, 3 - (1+INT(LOG10(ABS(F400)))))),""),IF(AND(F400=0,NOT(F400="")),ABS(ROUNDDOWN(F400-H400,0)),""))</f>
        <v/>
      </c>
      <c r="J400" s="4">
        <f>IF(NOT(I400=""),IF(I400&lt;=G400,"match",IF(I400&lt;3*G400,"partial match","no match")),"")</f>
        <v/>
      </c>
      <c r="K400" t="inlineStr">
        <is>
          <t>dzm_glnu_norm_2_5D</t>
        </is>
      </c>
    </row>
    <row r="401" ht="15.75" customHeight="1" s="10">
      <c r="A401" t="inlineStr">
        <is>
          <t>digital phantom</t>
        </is>
      </c>
      <c r="B401" t="inlineStr">
        <is>
          <t>Distance zone matrix (2.5D)</t>
        </is>
      </c>
      <c r="C401" t="inlineStr">
        <is>
          <t>Zone distance non-uniformity</t>
        </is>
      </c>
      <c r="E401" t="inlineStr">
        <is>
          <t>&lt; 3</t>
        </is>
      </c>
      <c r="H401" s="4" t="n"/>
      <c r="I401" s="4">
        <f>IFERROR(IF(NOT(H401=""),ABS(ROUNDDOWN(F401-H401, 3 - (1+INT(LOG10(ABS(F401)))))),""),IF(AND(F401=0,NOT(F401="")),ABS(ROUNDDOWN(F401-H401,0)),""))</f>
        <v/>
      </c>
      <c r="J401" s="4">
        <f>IF(NOT(I401=""),IF(I401&lt;=G401,"match",IF(I401&lt;3*G401,"partial match","no match")),"")</f>
        <v/>
      </c>
      <c r="K401" t="inlineStr">
        <is>
          <t>dzm_zdnu_2_5D</t>
        </is>
      </c>
    </row>
    <row r="402" ht="15.75" customHeight="1" s="10">
      <c r="A402" t="inlineStr">
        <is>
          <t>digital phantom</t>
        </is>
      </c>
      <c r="B402" t="inlineStr">
        <is>
          <t>Distance zone matrix (2.5D)</t>
        </is>
      </c>
      <c r="C402" t="inlineStr">
        <is>
          <t>Zone distance non-uniformity normalised</t>
        </is>
      </c>
      <c r="E402" t="inlineStr">
        <is>
          <t>&lt; 3</t>
        </is>
      </c>
      <c r="H402" s="4" t="n"/>
      <c r="I402" s="4">
        <f>IFERROR(IF(NOT(H402=""),ABS(ROUNDDOWN(F402-H402, 3 - (1+INT(LOG10(ABS(F402)))))),""),IF(AND(F402=0,NOT(F402="")),ABS(ROUNDDOWN(F402-H402,0)),""))</f>
        <v/>
      </c>
      <c r="J402" s="4">
        <f>IF(NOT(I402=""),IF(I402&lt;=G402,"match",IF(I402&lt;3*G402,"partial match","no match")),"")</f>
        <v/>
      </c>
      <c r="K402" t="inlineStr">
        <is>
          <t>dzm_zdnu_norm_2_5D</t>
        </is>
      </c>
    </row>
    <row r="403" ht="15.75" customHeight="1" s="10">
      <c r="A403" t="inlineStr">
        <is>
          <t>digital phantom</t>
        </is>
      </c>
      <c r="B403" t="inlineStr">
        <is>
          <t>Distance zone matrix (2.5D)</t>
        </is>
      </c>
      <c r="C403" t="inlineStr">
        <is>
          <t>Zone percentage</t>
        </is>
      </c>
      <c r="E403" t="inlineStr">
        <is>
          <t>&lt; 3</t>
        </is>
      </c>
      <c r="H403" s="4" t="n"/>
      <c r="I403" s="4">
        <f>IFERROR(IF(NOT(H403=""),ABS(ROUNDDOWN(F403-H403, 3 - (1+INT(LOG10(ABS(F403)))))),""),IF(AND(F403=0,NOT(F403="")),ABS(ROUNDDOWN(F403-H403,0)),""))</f>
        <v/>
      </c>
      <c r="J403" s="4">
        <f>IF(NOT(I403=""),IF(I403&lt;=G403,"match",IF(I403&lt;3*G403,"partial match","no match")),"")</f>
        <v/>
      </c>
      <c r="K403" t="inlineStr">
        <is>
          <t>dzm_z_perc_2_5D</t>
        </is>
      </c>
    </row>
    <row r="404" ht="15.75" customHeight="1" s="10">
      <c r="A404" t="inlineStr">
        <is>
          <t>digital phantom</t>
        </is>
      </c>
      <c r="B404" t="inlineStr">
        <is>
          <t>Distance zone matrix (2.5D)</t>
        </is>
      </c>
      <c r="C404" t="inlineStr">
        <is>
          <t>Grey level variance</t>
        </is>
      </c>
      <c r="E404" t="inlineStr">
        <is>
          <t>&lt; 3</t>
        </is>
      </c>
      <c r="H404" s="4" t="n"/>
      <c r="I404" s="4">
        <f>IFERROR(IF(NOT(H404=""),ABS(ROUNDDOWN(F404-H404, 3 - (1+INT(LOG10(ABS(F404)))))),""),IF(AND(F404=0,NOT(F404="")),ABS(ROUNDDOWN(F404-H404,0)),""))</f>
        <v/>
      </c>
      <c r="J404" s="4">
        <f>IF(NOT(I404=""),IF(I404&lt;=G404,"match",IF(I404&lt;3*G404,"partial match","no match")),"")</f>
        <v/>
      </c>
      <c r="K404" t="inlineStr">
        <is>
          <t>dzm_gl_var_2_5D</t>
        </is>
      </c>
    </row>
    <row r="405" ht="15.75" customHeight="1" s="10">
      <c r="A405" t="inlineStr">
        <is>
          <t>digital phantom</t>
        </is>
      </c>
      <c r="B405" t="inlineStr">
        <is>
          <t>Distance zone matrix (2.5D)</t>
        </is>
      </c>
      <c r="C405" t="inlineStr">
        <is>
          <t>Zone distance variance</t>
        </is>
      </c>
      <c r="E405" t="inlineStr">
        <is>
          <t>&lt; 3</t>
        </is>
      </c>
      <c r="H405" s="4" t="n"/>
      <c r="I405" s="4">
        <f>IFERROR(IF(NOT(H405=""),ABS(ROUNDDOWN(F405-H405, 3 - (1+INT(LOG10(ABS(F405)))))),""),IF(AND(F405=0,NOT(F405="")),ABS(ROUNDDOWN(F405-H405,0)),""))</f>
        <v/>
      </c>
      <c r="J405" s="4">
        <f>IF(NOT(I405=""),IF(I405&lt;=G405,"match",IF(I405&lt;3*G405,"partial match","no match")),"")</f>
        <v/>
      </c>
      <c r="K405" t="inlineStr">
        <is>
          <t>dzm_zd_var_2_5D</t>
        </is>
      </c>
    </row>
    <row r="406" ht="15.75" customHeight="1" s="10">
      <c r="A406" t="inlineStr">
        <is>
          <t>digital phantom</t>
        </is>
      </c>
      <c r="B406" t="inlineStr">
        <is>
          <t>Distance zone matrix (2.5D)</t>
        </is>
      </c>
      <c r="C406" t="inlineStr">
        <is>
          <t>Zone distance entropy</t>
        </is>
      </c>
      <c r="E406" t="inlineStr">
        <is>
          <t>&lt; 3</t>
        </is>
      </c>
      <c r="H406" s="4" t="n"/>
      <c r="I406" s="4">
        <f>IFERROR(IF(NOT(H406=""),ABS(ROUNDDOWN(F406-H406, 3 - (1+INT(LOG10(ABS(F406)))))),""),IF(AND(F406=0,NOT(F406="")),ABS(ROUNDDOWN(F406-H406,0)),""))</f>
        <v/>
      </c>
      <c r="J406" s="4">
        <f>IF(NOT(I406=""),IF(I406&lt;=G406,"match",IF(I406&lt;3*G406,"partial match","no match")),"")</f>
        <v/>
      </c>
      <c r="K406" t="inlineStr">
        <is>
          <t>dzm_zd_entr_2_5D</t>
        </is>
      </c>
    </row>
    <row r="407" ht="15.75" customHeight="1" s="10">
      <c r="A407" t="inlineStr">
        <is>
          <t>digital phantom</t>
        </is>
      </c>
      <c r="B407" t="inlineStr">
        <is>
          <t>Distance zone matrix (3D)</t>
        </is>
      </c>
      <c r="C407" t="inlineStr">
        <is>
          <t>Small distance emphasis</t>
        </is>
      </c>
      <c r="D407" t="inlineStr">
        <is>
          <t>SmallDistanceEmphasis</t>
        </is>
      </c>
      <c r="E407" t="inlineStr">
        <is>
          <t>6-9</t>
        </is>
      </c>
      <c r="F407" t="n">
        <v>1</v>
      </c>
      <c r="G407" t="n">
        <v>0</v>
      </c>
      <c r="H407" s="4" t="n">
        <v>1</v>
      </c>
      <c r="I407" s="4">
        <f>IFERROR(IF(NOT(H407=""),ABS(ROUNDDOWN(F407-H407, 3 - (1+INT(LOG10(ABS(F407)))))),""),IF(AND(F407=0,NOT(F407="")),ABS(ROUNDDOWN(F407-H407,0)),""))</f>
        <v/>
      </c>
      <c r="J407" s="4">
        <f>IF(NOT(I407=""),IF(I407&lt;=G407,"match",IF(I407&lt;3*G407,"partial match","no match")),"")</f>
        <v/>
      </c>
      <c r="K407" t="inlineStr">
        <is>
          <t>dzm_sde_3D</t>
        </is>
      </c>
    </row>
    <row r="408" ht="15.75" customHeight="1" s="10">
      <c r="A408" t="inlineStr">
        <is>
          <t>digital phantom</t>
        </is>
      </c>
      <c r="B408" t="inlineStr">
        <is>
          <t>Distance zone matrix (3D)</t>
        </is>
      </c>
      <c r="C408" t="inlineStr">
        <is>
          <t>Large distance emphasis</t>
        </is>
      </c>
      <c r="D408" t="inlineStr">
        <is>
          <t>LargeDistanceEmphasis</t>
        </is>
      </c>
      <c r="E408" t="inlineStr">
        <is>
          <t>6-9</t>
        </is>
      </c>
      <c r="F408" t="n">
        <v>1</v>
      </c>
      <c r="G408" t="n">
        <v>0</v>
      </c>
      <c r="H408" s="4" t="n">
        <v>1</v>
      </c>
      <c r="I408" s="4">
        <f>IFERROR(IF(NOT(H408=""),ABS(ROUNDDOWN(F408-H408, 3 - (1+INT(LOG10(ABS(F408)))))),""),IF(AND(F408=0,NOT(F408="")),ABS(ROUNDDOWN(F408-H408,0)),""))</f>
        <v/>
      </c>
      <c r="J408" s="4">
        <f>IF(NOT(I408=""),IF(I408&lt;=G408,"match",IF(I408&lt;3*G408,"partial match","no match")),"")</f>
        <v/>
      </c>
      <c r="K408" t="inlineStr">
        <is>
          <t>dzm_lde_3D</t>
        </is>
      </c>
    </row>
    <row r="409" ht="15.75" customHeight="1" s="10">
      <c r="A409" t="inlineStr">
        <is>
          <t>digital phantom</t>
        </is>
      </c>
      <c r="B409" t="inlineStr">
        <is>
          <t>Distance zone matrix (3D)</t>
        </is>
      </c>
      <c r="C409" t="inlineStr">
        <is>
          <t>Low grey level emphasis</t>
        </is>
      </c>
      <c r="D409" t="inlineStr">
        <is>
          <t>LowGrayLevelZoneEmphasis</t>
        </is>
      </c>
      <c r="E409" t="inlineStr">
        <is>
          <t>6-9</t>
        </is>
      </c>
      <c r="F409" t="n">
        <v>0.253</v>
      </c>
      <c r="G409" t="n">
        <v>0</v>
      </c>
      <c r="H409" s="4" t="n">
        <v>0.252777777777777</v>
      </c>
      <c r="I409" s="4">
        <f>IFERROR(IF(NOT(H409=""),ABS(ROUNDDOWN(F409-H409, 3 - (1+INT(LOG10(ABS(F409)))))),""),IF(AND(F409=0,NOT(F409="")),ABS(ROUNDDOWN(F409-H409,0)),""))</f>
        <v/>
      </c>
      <c r="J409" s="4">
        <f>IF(NOT(I409=""),IF(I409&lt;=G409,"match",IF(I409&lt;3*G409,"partial match","no match")),"")</f>
        <v/>
      </c>
      <c r="K409" t="inlineStr">
        <is>
          <t>dzm_lgze_3D</t>
        </is>
      </c>
    </row>
    <row r="410" ht="15.75" customHeight="1" s="10">
      <c r="A410" t="inlineStr">
        <is>
          <t>digital phantom</t>
        </is>
      </c>
      <c r="B410" s="11" t="inlineStr">
        <is>
          <t>Distance zone matrix (3D)</t>
        </is>
      </c>
      <c r="C410" t="inlineStr">
        <is>
          <t>High grey level emphasis</t>
        </is>
      </c>
      <c r="D410" t="inlineStr">
        <is>
          <t>HighGrayLevelZoneEmphasis</t>
        </is>
      </c>
      <c r="E410" t="inlineStr">
        <is>
          <t>6-9</t>
        </is>
      </c>
      <c r="F410" t="n">
        <v>15.6</v>
      </c>
      <c r="G410" t="n">
        <v>0</v>
      </c>
      <c r="H410" s="4" t="n">
        <v>15.6</v>
      </c>
      <c r="I410" s="4">
        <f>IFERROR(IF(NOT(H410=""),ABS(ROUNDDOWN(F410-H410, 3 - (1+INT(LOG10(ABS(F410)))))),""),IF(AND(F410=0,NOT(F410="")),ABS(ROUNDDOWN(F410-H410,0)),""))</f>
        <v/>
      </c>
      <c r="J410" s="4">
        <f>IF(NOT(I410=""),IF(I410&lt;=G410,"match",IF(I410&lt;3*G410,"partial match","no match")),"")</f>
        <v/>
      </c>
      <c r="K410" t="inlineStr">
        <is>
          <t>dzm_hgze_3D</t>
        </is>
      </c>
    </row>
    <row r="411" ht="15.75" customHeight="1" s="10">
      <c r="A411" t="inlineStr">
        <is>
          <t>digital phantom</t>
        </is>
      </c>
      <c r="B411" t="inlineStr">
        <is>
          <t>Distance zone matrix (3D)</t>
        </is>
      </c>
      <c r="C411" t="inlineStr">
        <is>
          <t>Small distance low grey level emphasis</t>
        </is>
      </c>
      <c r="D411" t="inlineStr">
        <is>
          <t>SmallDistanceLowGrayLevelEmphasis</t>
        </is>
      </c>
      <c r="E411" t="inlineStr">
        <is>
          <t>6-9</t>
        </is>
      </c>
      <c r="F411" t="n">
        <v>0.253</v>
      </c>
      <c r="G411" t="n">
        <v>0</v>
      </c>
      <c r="H411" s="4" t="n">
        <v>0.252777777777777</v>
      </c>
      <c r="I411" s="4">
        <f>IFERROR(IF(NOT(H411=""),ABS(ROUNDDOWN(F411-H411, 3 - (1+INT(LOG10(ABS(F411)))))),""),IF(AND(F411=0,NOT(F411="")),ABS(ROUNDDOWN(F411-H411,0)),""))</f>
        <v/>
      </c>
      <c r="J411" s="4">
        <f>IF(NOT(I411=""),IF(I411&lt;=G411,"match",IF(I411&lt;3*G411,"partial match","no match")),"")</f>
        <v/>
      </c>
      <c r="K411" t="inlineStr">
        <is>
          <t>dzm_sdlge_3D</t>
        </is>
      </c>
    </row>
    <row r="412" ht="15.75" customHeight="1" s="10">
      <c r="A412" t="inlineStr">
        <is>
          <t>digital phantom</t>
        </is>
      </c>
      <c r="B412" t="inlineStr">
        <is>
          <t>Distance zone matrix (3D)</t>
        </is>
      </c>
      <c r="C412" t="inlineStr">
        <is>
          <t>Small distance high grey level emphasis</t>
        </is>
      </c>
      <c r="D412" t="inlineStr">
        <is>
          <t>SmallDistanceHighGrayLevelEmphasis</t>
        </is>
      </c>
      <c r="E412" t="inlineStr">
        <is>
          <t>6-9</t>
        </is>
      </c>
      <c r="F412" t="n">
        <v>15.6</v>
      </c>
      <c r="G412" t="n">
        <v>0</v>
      </c>
      <c r="H412" s="4" t="n">
        <v>15.6</v>
      </c>
      <c r="I412" s="4">
        <f>IFERROR(IF(NOT(H412=""),ABS(ROUNDDOWN(F412-H412, 3 - (1+INT(LOG10(ABS(F412)))))),""),IF(AND(F412=0,NOT(F412="")),ABS(ROUNDDOWN(F412-H412,0)),""))</f>
        <v/>
      </c>
      <c r="J412" s="4">
        <f>IF(NOT(I412=""),IF(I412&lt;=G412,"match",IF(I412&lt;3*G412,"partial match","no match")),"")</f>
        <v/>
      </c>
      <c r="K412" t="inlineStr">
        <is>
          <t>dzm_sdhge_3D</t>
        </is>
      </c>
    </row>
    <row r="413" ht="15.75" customHeight="1" s="10">
      <c r="A413" t="inlineStr">
        <is>
          <t>digital phantom</t>
        </is>
      </c>
      <c r="B413" t="inlineStr">
        <is>
          <t>Distance zone matrix (3D)</t>
        </is>
      </c>
      <c r="C413" t="inlineStr">
        <is>
          <t>Large distance low grey level emphasis</t>
        </is>
      </c>
      <c r="D413" t="inlineStr">
        <is>
          <t>LargeDistanceLowGrayLevelEmphasis</t>
        </is>
      </c>
      <c r="E413" t="inlineStr">
        <is>
          <t>6-9</t>
        </is>
      </c>
      <c r="F413" t="n">
        <v>0.253</v>
      </c>
      <c r="G413" t="n">
        <v>0</v>
      </c>
      <c r="H413" s="4" t="n">
        <v>0.252777777777777</v>
      </c>
      <c r="I413" s="4">
        <f>IFERROR(IF(NOT(H413=""),ABS(ROUNDDOWN(F413-H413, 3 - (1+INT(LOG10(ABS(F413)))))),""),IF(AND(F413=0,NOT(F413="")),ABS(ROUNDDOWN(F413-H413,0)),""))</f>
        <v/>
      </c>
      <c r="J413" s="4">
        <f>IF(NOT(I413=""),IF(I413&lt;=G413,"match",IF(I413&lt;3*G413,"partial match","no match")),"")</f>
        <v/>
      </c>
      <c r="K413" t="inlineStr">
        <is>
          <t>dzm_ldlge_3D</t>
        </is>
      </c>
    </row>
    <row r="414" ht="15.75" customHeight="1" s="10">
      <c r="A414" t="inlineStr">
        <is>
          <t>digital phantom</t>
        </is>
      </c>
      <c r="B414" t="inlineStr">
        <is>
          <t>Distance zone matrix (3D)</t>
        </is>
      </c>
      <c r="C414" t="inlineStr">
        <is>
          <t>Large distance high grey level emphasis</t>
        </is>
      </c>
      <c r="D414" t="inlineStr">
        <is>
          <t>LargeDistanceHighGrayLevelEmphasis</t>
        </is>
      </c>
      <c r="E414" t="inlineStr">
        <is>
          <t>6-9</t>
        </is>
      </c>
      <c r="F414" t="n">
        <v>15.6</v>
      </c>
      <c r="G414" t="n">
        <v>0</v>
      </c>
      <c r="H414" s="4" t="n">
        <v>15.6</v>
      </c>
      <c r="I414" s="4">
        <f>IFERROR(IF(NOT(H414=""),ABS(ROUNDDOWN(F414-H414, 3 - (1+INT(LOG10(ABS(F414)))))),""),IF(AND(F414=0,NOT(F414="")),ABS(ROUNDDOWN(F414-H414,0)),""))</f>
        <v/>
      </c>
      <c r="J414" s="4">
        <f>IF(NOT(I414=""),IF(I414&lt;=G414,"match",IF(I414&lt;3*G414,"partial match","no match")),"")</f>
        <v/>
      </c>
      <c r="K414" t="inlineStr">
        <is>
          <t>dzm_ldhge_3D</t>
        </is>
      </c>
    </row>
    <row r="415" ht="15.75" customHeight="1" s="10">
      <c r="A415" t="inlineStr">
        <is>
          <t>digital phantom</t>
        </is>
      </c>
      <c r="B415" t="inlineStr">
        <is>
          <t>Distance zone matrix (3D)</t>
        </is>
      </c>
      <c r="C415" t="inlineStr">
        <is>
          <t>Grey level non-uniformity</t>
        </is>
      </c>
      <c r="D415" t="inlineStr">
        <is>
          <t>GrayLevelNonUniformity</t>
        </is>
      </c>
      <c r="E415" t="inlineStr">
        <is>
          <t>6-9</t>
        </is>
      </c>
      <c r="F415" t="n">
        <v>1.4</v>
      </c>
      <c r="G415" t="n">
        <v>0</v>
      </c>
      <c r="H415" s="4" t="n">
        <v>1.4</v>
      </c>
      <c r="I415" s="4">
        <f>IFERROR(IF(NOT(H415=""),ABS(ROUNDDOWN(F415-H415, 3 - (1+INT(LOG10(ABS(F415)))))),""),IF(AND(F415=0,NOT(F415="")),ABS(ROUNDDOWN(F415-H415,0)),""))</f>
        <v/>
      </c>
      <c r="J415" s="4">
        <f>IF(NOT(I415=""),IF(I415&lt;=G415,"match",IF(I415&lt;3*G415,"partial match","no match")),"")</f>
        <v/>
      </c>
      <c r="K415" t="inlineStr">
        <is>
          <t>dzm_glnu_3D</t>
        </is>
      </c>
    </row>
    <row r="416" ht="15.75" customHeight="1" s="10">
      <c r="A416" t="inlineStr">
        <is>
          <t>digital phantom</t>
        </is>
      </c>
      <c r="B416" t="inlineStr">
        <is>
          <t>Distance zone matrix (3D)</t>
        </is>
      </c>
      <c r="C416" t="inlineStr">
        <is>
          <t>Grey level non-uniformity normalised</t>
        </is>
      </c>
      <c r="D416" t="inlineStr">
        <is>
          <t>GrayLevelNonUniformityNormalized</t>
        </is>
      </c>
      <c r="E416" t="inlineStr">
        <is>
          <t>6-9</t>
        </is>
      </c>
      <c r="F416" t="n">
        <v>0.28</v>
      </c>
      <c r="G416" t="n">
        <v>0</v>
      </c>
      <c r="H416" s="4" t="n">
        <v>0.28</v>
      </c>
      <c r="I416" s="4">
        <f>IFERROR(IF(NOT(H416=""),ABS(ROUNDDOWN(F416-H416, 3 - (1+INT(LOG10(ABS(F416)))))),""),IF(AND(F416=0,NOT(F416="")),ABS(ROUNDDOWN(F416-H416,0)),""))</f>
        <v/>
      </c>
      <c r="J416" s="4">
        <f>IF(NOT(I416=""),IF(I416&lt;=G416,"match",IF(I416&lt;3*G416,"partial match","no match")),"")</f>
        <v/>
      </c>
      <c r="K416" t="inlineStr">
        <is>
          <t>dzm_glnu_norm_3D</t>
        </is>
      </c>
    </row>
    <row r="417" ht="15.75" customHeight="1" s="10">
      <c r="A417" t="inlineStr">
        <is>
          <t>digital phantom</t>
        </is>
      </c>
      <c r="B417" t="inlineStr">
        <is>
          <t>Distance zone matrix (3D)</t>
        </is>
      </c>
      <c r="C417" t="inlineStr">
        <is>
          <t>Zone distance non-uniformity</t>
        </is>
      </c>
      <c r="D417" t="inlineStr">
        <is>
          <t>ZoneDistanceNonUniformity</t>
        </is>
      </c>
      <c r="E417" t="inlineStr">
        <is>
          <t>6-9</t>
        </is>
      </c>
      <c r="F417" t="n">
        <v>5</v>
      </c>
      <c r="G417" t="n">
        <v>0</v>
      </c>
      <c r="H417" s="4" t="n">
        <v>5</v>
      </c>
      <c r="I417" s="4">
        <f>IFERROR(IF(NOT(H417=""),ABS(ROUNDDOWN(F417-H417, 3 - (1+INT(LOG10(ABS(F417)))))),""),IF(AND(F417=0,NOT(F417="")),ABS(ROUNDDOWN(F417-H417,0)),""))</f>
        <v/>
      </c>
      <c r="J417" s="4">
        <f>IF(NOT(I417=""),IF(I417&lt;=G417,"match",IF(I417&lt;3*G417,"partial match","no match")),"")</f>
        <v/>
      </c>
      <c r="K417" t="inlineStr">
        <is>
          <t>dzm_zdnu_3D</t>
        </is>
      </c>
    </row>
    <row r="418" ht="15.75" customHeight="1" s="10">
      <c r="A418" t="inlineStr">
        <is>
          <t>digital phantom</t>
        </is>
      </c>
      <c r="B418" t="inlineStr">
        <is>
          <t>Distance zone matrix (3D)</t>
        </is>
      </c>
      <c r="C418" t="inlineStr">
        <is>
          <t>Zone distance non-uniformity normalised</t>
        </is>
      </c>
      <c r="D418" t="inlineStr">
        <is>
          <t>ZoneDistanceNonUniformityNormalized</t>
        </is>
      </c>
      <c r="E418" t="inlineStr">
        <is>
          <t>6-9</t>
        </is>
      </c>
      <c r="F418" t="n">
        <v>1</v>
      </c>
      <c r="G418" t="n">
        <v>0</v>
      </c>
      <c r="H418" s="4" t="n">
        <v>1</v>
      </c>
      <c r="I418" s="4">
        <f>IFERROR(IF(NOT(H418=""),ABS(ROUNDDOWN(F418-H418, 3 - (1+INT(LOG10(ABS(F418)))))),""),IF(AND(F418=0,NOT(F418="")),ABS(ROUNDDOWN(F418-H418,0)),""))</f>
        <v/>
      </c>
      <c r="J418" s="4">
        <f>IF(NOT(I418=""),IF(I418&lt;=G418,"match",IF(I418&lt;3*G418,"partial match","no match")),"")</f>
        <v/>
      </c>
      <c r="K418" t="inlineStr">
        <is>
          <t>dzm_zdnu_norm_3D</t>
        </is>
      </c>
    </row>
    <row r="419" ht="15.75" customHeight="1" s="10">
      <c r="A419" t="inlineStr">
        <is>
          <t>digital phantom</t>
        </is>
      </c>
      <c r="B419" t="inlineStr">
        <is>
          <t>Distance zone matrix (3D)</t>
        </is>
      </c>
      <c r="C419" t="inlineStr">
        <is>
          <t>Zone percentage</t>
        </is>
      </c>
      <c r="D419" t="inlineStr">
        <is>
          <t>ZonePercentage</t>
        </is>
      </c>
      <c r="E419" t="inlineStr">
        <is>
          <t>6-9</t>
        </is>
      </c>
      <c r="F419" t="n">
        <v>0.06759999999999999</v>
      </c>
      <c r="G419" t="n">
        <v>0</v>
      </c>
      <c r="H419" s="4" t="n">
        <v>0.0675675675675675</v>
      </c>
      <c r="I419" s="4">
        <f>IFERROR(IF(NOT(H419=""),ABS(ROUNDDOWN(F419-H419, 3 - (1+INT(LOG10(ABS(F419)))))),""),IF(AND(F419=0,NOT(F419="")),ABS(ROUNDDOWN(F419-H419,0)),""))</f>
        <v/>
      </c>
      <c r="J419" s="4">
        <f>IF(NOT(I419=""),IF(I419&lt;=G419,"match",IF(I419&lt;3*G419,"partial match","no match")),"")</f>
        <v/>
      </c>
      <c r="K419" t="inlineStr">
        <is>
          <t>dzm_z_perc_3D</t>
        </is>
      </c>
    </row>
    <row r="420" ht="15.75" customHeight="1" s="10">
      <c r="A420" t="inlineStr">
        <is>
          <t>digital phantom</t>
        </is>
      </c>
      <c r="B420" t="inlineStr">
        <is>
          <t>Distance zone matrix (3D)</t>
        </is>
      </c>
      <c r="C420" t="inlineStr">
        <is>
          <t>Grey level variance</t>
        </is>
      </c>
      <c r="D420" t="inlineStr">
        <is>
          <t>GrayLevelVariance</t>
        </is>
      </c>
      <c r="E420" t="inlineStr">
        <is>
          <t>6-9</t>
        </is>
      </c>
      <c r="F420" t="n">
        <v>2.64</v>
      </c>
      <c r="G420" t="n">
        <v>0</v>
      </c>
      <c r="H420" s="4" t="n">
        <v>2.63999999999999</v>
      </c>
      <c r="I420" s="4">
        <f>IFERROR(IF(NOT(H420=""),ABS(ROUNDDOWN(F420-H420, 3 - (1+INT(LOG10(ABS(F420)))))),""),IF(AND(F420=0,NOT(F420="")),ABS(ROUNDDOWN(F420-H420,0)),""))</f>
        <v/>
      </c>
      <c r="J420" s="4">
        <f>IF(NOT(I420=""),IF(I420&lt;=G420,"match",IF(I420&lt;3*G420,"partial match","no match")),"")</f>
        <v/>
      </c>
      <c r="K420" t="inlineStr">
        <is>
          <t>dzm_gl_var_3D</t>
        </is>
      </c>
    </row>
    <row r="421" ht="15.75" customHeight="1" s="10">
      <c r="A421" t="inlineStr">
        <is>
          <t>digital phantom</t>
        </is>
      </c>
      <c r="B421" t="inlineStr">
        <is>
          <t>Distance zone matrix (3D)</t>
        </is>
      </c>
      <c r="C421" t="inlineStr">
        <is>
          <t>Zone distance variance</t>
        </is>
      </c>
      <c r="D421" t="inlineStr">
        <is>
          <t>ZoneDistanceVariance</t>
        </is>
      </c>
      <c r="E421" t="inlineStr">
        <is>
          <t>6-9</t>
        </is>
      </c>
      <c r="F421" t="n">
        <v>0</v>
      </c>
      <c r="G421" t="n">
        <v>0</v>
      </c>
      <c r="H421" s="4" t="n">
        <v>0</v>
      </c>
      <c r="I421" s="4">
        <f>IFERROR(IF(NOT(H421=""),ABS(ROUNDDOWN(F421-H421, 3 - (1+INT(LOG10(ABS(F421)))))),""),IF(AND(F421=0,NOT(F421="")),ABS(ROUNDDOWN(F421-H421,0)),""))</f>
        <v/>
      </c>
      <c r="J421" s="4">
        <f>IF(NOT(I421=""),IF(I421&lt;=G421,"match",IF(I421&lt;3*G421,"partial match","no match")),"")</f>
        <v/>
      </c>
      <c r="K421" t="inlineStr">
        <is>
          <t>dzm_zd_var_3D</t>
        </is>
      </c>
    </row>
    <row r="422" ht="15.75" customHeight="1" s="10">
      <c r="A422" t="inlineStr">
        <is>
          <t>digital phantom</t>
        </is>
      </c>
      <c r="B422" t="inlineStr">
        <is>
          <t>Distance zone matrix (3D)</t>
        </is>
      </c>
      <c r="C422" t="inlineStr">
        <is>
          <t>Zone distance entropy</t>
        </is>
      </c>
      <c r="D422" t="inlineStr">
        <is>
          <t>ZoneDistanceEntropy</t>
        </is>
      </c>
      <c r="E422" t="inlineStr">
        <is>
          <t>6-9</t>
        </is>
      </c>
      <c r="F422" t="n">
        <v>1.92</v>
      </c>
      <c r="G422" t="n">
        <v>0</v>
      </c>
      <c r="H422" s="4" t="n">
        <v>1.92192809488745</v>
      </c>
      <c r="I422" s="4">
        <f>IFERROR(IF(NOT(H422=""),ABS(ROUNDDOWN(F422-H422, 3 - (1+INT(LOG10(ABS(F422)))))),""),IF(AND(F422=0,NOT(F422="")),ABS(ROUNDDOWN(F422-H422,0)),""))</f>
        <v/>
      </c>
      <c r="J422" s="4">
        <f>IF(NOT(I422=""),IF(I422&lt;=G422,"match",IF(I422&lt;3*G422,"partial match","no match")),"")</f>
        <v/>
      </c>
      <c r="K422" t="inlineStr">
        <is>
          <t>dzm_zd_entr_3D</t>
        </is>
      </c>
    </row>
    <row r="423" ht="15.75" customHeight="1" s="10">
      <c r="A423" t="inlineStr">
        <is>
          <t>digital phantom</t>
        </is>
      </c>
      <c r="B423" t="inlineStr">
        <is>
          <t>Neighbourhood grey tone difference matrix (2D)</t>
        </is>
      </c>
      <c r="C423" t="inlineStr">
        <is>
          <t>Coarseness</t>
        </is>
      </c>
      <c r="E423" t="inlineStr">
        <is>
          <t>6-9</t>
        </is>
      </c>
      <c r="F423" t="n">
        <v>0.121</v>
      </c>
      <c r="G423" t="n">
        <v>0</v>
      </c>
      <c r="H423" s="4" t="n"/>
      <c r="I423" s="4">
        <f>IFERROR(IF(NOT(H423=""),ABS(ROUNDDOWN(F423-H423, 3 - (1+INT(LOG10(ABS(F423)))))),""),IF(AND(F423=0,NOT(F423="")),ABS(ROUNDDOWN(F423-H423,0)),""))</f>
        <v/>
      </c>
      <c r="J423" s="4">
        <f>IF(NOT(I423=""),IF(I423&lt;=G423,"match",IF(I423&lt;3*G423,"partial match","no match")),"")</f>
        <v/>
      </c>
      <c r="K423" t="inlineStr">
        <is>
          <t>ngt_coarseness_2D</t>
        </is>
      </c>
    </row>
    <row r="424" ht="15.75" customHeight="1" s="10">
      <c r="A424" t="inlineStr">
        <is>
          <t>digital phantom</t>
        </is>
      </c>
      <c r="B424" t="inlineStr">
        <is>
          <t>Neighbourhood grey tone difference matrix (2D)</t>
        </is>
      </c>
      <c r="C424" t="inlineStr">
        <is>
          <t>Contrast</t>
        </is>
      </c>
      <c r="E424" t="inlineStr">
        <is>
          <t>6-9</t>
        </is>
      </c>
      <c r="F424" t="n">
        <v>0.925</v>
      </c>
      <c r="G424" t="n">
        <v>0</v>
      </c>
      <c r="H424" s="4" t="n"/>
      <c r="I424" s="4">
        <f>IFERROR(IF(NOT(H424=""),ABS(ROUNDDOWN(F424-H424, 3 - (1+INT(LOG10(ABS(F424)))))),""),IF(AND(F424=0,NOT(F424="")),ABS(ROUNDDOWN(F424-H424,0)),""))</f>
        <v/>
      </c>
      <c r="J424" s="4">
        <f>IF(NOT(I424=""),IF(I424&lt;=G424,"match",IF(I424&lt;3*G424,"partial match","no match")),"")</f>
        <v/>
      </c>
      <c r="K424" t="inlineStr">
        <is>
          <t>ngt_contrast_2D</t>
        </is>
      </c>
    </row>
    <row r="425" ht="15.75" customHeight="1" s="10">
      <c r="A425" t="inlineStr">
        <is>
          <t>digital phantom</t>
        </is>
      </c>
      <c r="B425" t="inlineStr">
        <is>
          <t>Neighbourhood grey tone difference matrix (2D)</t>
        </is>
      </c>
      <c r="C425" t="inlineStr">
        <is>
          <t>Busyness</t>
        </is>
      </c>
      <c r="E425" t="inlineStr">
        <is>
          <t>6-9</t>
        </is>
      </c>
      <c r="F425" t="n">
        <v>2.99</v>
      </c>
      <c r="G425" t="n">
        <v>0</v>
      </c>
      <c r="H425" s="4" t="n"/>
      <c r="I425" s="4">
        <f>IFERROR(IF(NOT(H425=""),ABS(ROUNDDOWN(F425-H425, 3 - (1+INT(LOG10(ABS(F425)))))),""),IF(AND(F425=0,NOT(F425="")),ABS(ROUNDDOWN(F425-H425,0)),""))</f>
        <v/>
      </c>
      <c r="J425" s="4">
        <f>IF(NOT(I425=""),IF(I425&lt;=G425,"match",IF(I425&lt;3*G425,"partial match","no match")),"")</f>
        <v/>
      </c>
      <c r="K425" t="inlineStr">
        <is>
          <t>ngt_busyness_2D</t>
        </is>
      </c>
    </row>
    <row r="426" ht="15.75" customHeight="1" s="10">
      <c r="A426" t="inlineStr">
        <is>
          <t>digital phantom</t>
        </is>
      </c>
      <c r="B426" t="inlineStr">
        <is>
          <t>Neighbourhood grey tone difference matrix (2D)</t>
        </is>
      </c>
      <c r="C426" t="inlineStr">
        <is>
          <t>Complexity</t>
        </is>
      </c>
      <c r="E426" t="inlineStr">
        <is>
          <t>6-9</t>
        </is>
      </c>
      <c r="F426" t="n">
        <v>10.4</v>
      </c>
      <c r="G426" t="n">
        <v>0</v>
      </c>
      <c r="H426" s="4" t="n"/>
      <c r="I426" s="4">
        <f>IFERROR(IF(NOT(H426=""),ABS(ROUNDDOWN(F426-H426, 3 - (1+INT(LOG10(ABS(F426)))))),""),IF(AND(F426=0,NOT(F426="")),ABS(ROUNDDOWN(F426-H426,0)),""))</f>
        <v/>
      </c>
      <c r="J426" s="4">
        <f>IF(NOT(I426=""),IF(I426&lt;=G426,"match",IF(I426&lt;3*G426,"partial match","no match")),"")</f>
        <v/>
      </c>
      <c r="K426" t="inlineStr">
        <is>
          <t>ngt_complexity_2D</t>
        </is>
      </c>
    </row>
    <row r="427" ht="15.75" customHeight="1" s="10">
      <c r="A427" t="inlineStr">
        <is>
          <t>digital phantom</t>
        </is>
      </c>
      <c r="B427" t="inlineStr">
        <is>
          <t>Neighbourhood grey tone difference matrix (2D)</t>
        </is>
      </c>
      <c r="C427" t="inlineStr">
        <is>
          <t>Strength</t>
        </is>
      </c>
      <c r="E427" t="inlineStr">
        <is>
          <t>6-9</t>
        </is>
      </c>
      <c r="F427" t="n">
        <v>2.88</v>
      </c>
      <c r="G427" t="n">
        <v>0</v>
      </c>
      <c r="H427" s="4" t="n"/>
      <c r="I427" s="4">
        <f>IFERROR(IF(NOT(H427=""),ABS(ROUNDDOWN(F427-H427, 3 - (1+INT(LOG10(ABS(F427)))))),""),IF(AND(F427=0,NOT(F427="")),ABS(ROUNDDOWN(F427-H427,0)),""))</f>
        <v/>
      </c>
      <c r="J427" s="4">
        <f>IF(NOT(I427=""),IF(I427&lt;=G427,"match",IF(I427&lt;3*G427,"partial match","no match")),"")</f>
        <v/>
      </c>
      <c r="K427" t="inlineStr">
        <is>
          <t>ngt_strength_2D</t>
        </is>
      </c>
    </row>
    <row r="428" ht="15.75" customHeight="1" s="10">
      <c r="A428" t="inlineStr">
        <is>
          <t>digital phantom</t>
        </is>
      </c>
      <c r="B428" t="inlineStr">
        <is>
          <t>Neighbourhood grey tone difference matrix (2.5D)</t>
        </is>
      </c>
      <c r="C428" t="inlineStr">
        <is>
          <t>Coarseness</t>
        </is>
      </c>
      <c r="E428" t="inlineStr">
        <is>
          <t>&lt; 3</t>
        </is>
      </c>
      <c r="H428" s="4" t="n"/>
      <c r="I428" s="4">
        <f>IFERROR(IF(NOT(H428=""),ABS(ROUNDDOWN(F428-H428, 3 - (1+INT(LOG10(ABS(F428)))))),""),IF(AND(F428=0,NOT(F428="")),ABS(ROUNDDOWN(F428-H428,0)),""))</f>
        <v/>
      </c>
      <c r="J428" s="4">
        <f>IF(NOT(I428=""),IF(I428&lt;=G428,"match",IF(I428&lt;3*G428,"partial match","no match")),"")</f>
        <v/>
      </c>
      <c r="K428" t="inlineStr">
        <is>
          <t>ngt_coarseness_2_5D</t>
        </is>
      </c>
    </row>
    <row r="429" ht="15.75" customHeight="1" s="10">
      <c r="A429" t="inlineStr">
        <is>
          <t>digital phantom</t>
        </is>
      </c>
      <c r="B429" t="inlineStr">
        <is>
          <t>Neighbourhood grey tone difference matrix (2.5D)</t>
        </is>
      </c>
      <c r="C429" t="inlineStr">
        <is>
          <t>Contrast</t>
        </is>
      </c>
      <c r="E429" t="inlineStr">
        <is>
          <t>&lt; 3</t>
        </is>
      </c>
      <c r="H429" s="4" t="n"/>
      <c r="I429" s="4">
        <f>IFERROR(IF(NOT(H429=""),ABS(ROUNDDOWN(F429-H429, 3 - (1+INT(LOG10(ABS(F429)))))),""),IF(AND(F429=0,NOT(F429="")),ABS(ROUNDDOWN(F429-H429,0)),""))</f>
        <v/>
      </c>
      <c r="J429" s="4">
        <f>IF(NOT(I429=""),IF(I429&lt;=G429,"match",IF(I429&lt;3*G429,"partial match","no match")),"")</f>
        <v/>
      </c>
      <c r="K429" t="inlineStr">
        <is>
          <t>ngt_contrast_2_5D</t>
        </is>
      </c>
    </row>
    <row r="430" ht="15.75" customHeight="1" s="10">
      <c r="A430" t="inlineStr">
        <is>
          <t>digital phantom</t>
        </is>
      </c>
      <c r="B430" t="inlineStr">
        <is>
          <t>Neighbourhood grey tone difference matrix (2.5D)</t>
        </is>
      </c>
      <c r="C430" t="inlineStr">
        <is>
          <t>Busyness</t>
        </is>
      </c>
      <c r="E430" t="inlineStr">
        <is>
          <t>&lt; 3</t>
        </is>
      </c>
      <c r="H430" s="4" t="n"/>
      <c r="I430" s="4">
        <f>IFERROR(IF(NOT(H430=""),ABS(ROUNDDOWN(F430-H430, 3 - (1+INT(LOG10(ABS(F430)))))),""),IF(AND(F430=0,NOT(F430="")),ABS(ROUNDDOWN(F430-H430,0)),""))</f>
        <v/>
      </c>
      <c r="J430" s="4">
        <f>IF(NOT(I430=""),IF(I430&lt;=G430,"match",IF(I430&lt;3*G430,"partial match","no match")),"")</f>
        <v/>
      </c>
      <c r="K430" t="inlineStr">
        <is>
          <t>ngt_busyness_2_5D</t>
        </is>
      </c>
    </row>
    <row r="431" ht="15.75" customHeight="1" s="10">
      <c r="A431" t="inlineStr">
        <is>
          <t>digital phantom</t>
        </is>
      </c>
      <c r="B431" t="inlineStr">
        <is>
          <t>Neighbourhood grey tone difference matrix (2.5D)</t>
        </is>
      </c>
      <c r="C431" t="inlineStr">
        <is>
          <t>Complexity</t>
        </is>
      </c>
      <c r="E431" t="inlineStr">
        <is>
          <t>&lt; 3</t>
        </is>
      </c>
      <c r="H431" s="4" t="n"/>
      <c r="I431" s="4">
        <f>IFERROR(IF(NOT(H431=""),ABS(ROUNDDOWN(F431-H431, 3 - (1+INT(LOG10(ABS(F431)))))),""),IF(AND(F431=0,NOT(F431="")),ABS(ROUNDDOWN(F431-H431,0)),""))</f>
        <v/>
      </c>
      <c r="J431" s="4">
        <f>IF(NOT(I431=""),IF(I431&lt;=G431,"match",IF(I431&lt;3*G431,"partial match","no match")),"")</f>
        <v/>
      </c>
      <c r="K431" t="inlineStr">
        <is>
          <t>ngt_complexity_2_5D</t>
        </is>
      </c>
    </row>
    <row r="432" ht="15.75" customHeight="1" s="10">
      <c r="A432" t="inlineStr">
        <is>
          <t>digital phantom</t>
        </is>
      </c>
      <c r="B432" t="inlineStr">
        <is>
          <t>Neighbourhood grey tone difference matrix (2.5D)</t>
        </is>
      </c>
      <c r="C432" t="inlineStr">
        <is>
          <t>Strength</t>
        </is>
      </c>
      <c r="E432" t="inlineStr">
        <is>
          <t>&lt; 3</t>
        </is>
      </c>
      <c r="H432" s="4" t="n"/>
      <c r="I432" s="4">
        <f>IFERROR(IF(NOT(H432=""),ABS(ROUNDDOWN(F432-H432, 3 - (1+INT(LOG10(ABS(F432)))))),""),IF(AND(F432=0,NOT(F432="")),ABS(ROUNDDOWN(F432-H432,0)),""))</f>
        <v/>
      </c>
      <c r="J432" s="4">
        <f>IF(NOT(I432=""),IF(I432&lt;=G432,"match",IF(I432&lt;3*G432,"partial match","no match")),"")</f>
        <v/>
      </c>
      <c r="K432" t="inlineStr">
        <is>
          <t>ngt_strength_2_5D</t>
        </is>
      </c>
    </row>
    <row r="433" ht="15.75" customHeight="1" s="10">
      <c r="A433" t="inlineStr">
        <is>
          <t>digital phantom</t>
        </is>
      </c>
      <c r="B433" s="11" t="inlineStr">
        <is>
          <t>Neighbourhood grey tone difference matrix (3D)</t>
        </is>
      </c>
      <c r="C433" t="inlineStr">
        <is>
          <t>Coarseness</t>
        </is>
      </c>
      <c r="D433" t="inlineStr">
        <is>
          <t>Coarseness</t>
        </is>
      </c>
      <c r="E433" t="inlineStr">
        <is>
          <t>≥ 10</t>
        </is>
      </c>
      <c r="F433" t="n">
        <v>0.0296</v>
      </c>
      <c r="G433" t="n">
        <v>0</v>
      </c>
      <c r="H433" s="4" t="n">
        <v>0.0296042257007719</v>
      </c>
      <c r="I433" s="4">
        <f>IFERROR(IF(NOT(H433=""),ABS(ROUNDDOWN(F433-H433, 3 - (1+INT(LOG10(ABS(F433)))))),""),IF(AND(F433=0,NOT(F433="")),ABS(ROUNDDOWN(F433-H433,0)),""))</f>
        <v/>
      </c>
      <c r="J433" s="4">
        <f>IF(NOT(I433=""),IF(I433&lt;=G433,"match",IF(I433&lt;3*G433,"partial match","no match")),"")</f>
        <v/>
      </c>
      <c r="K433" t="inlineStr">
        <is>
          <t>ngt_coarseness_3D</t>
        </is>
      </c>
    </row>
    <row r="434" ht="15.75" customHeight="1" s="10">
      <c r="A434" t="inlineStr">
        <is>
          <t>digital phantom</t>
        </is>
      </c>
      <c r="B434" t="inlineStr">
        <is>
          <t>Neighbourhood grey tone difference matrix (3D)</t>
        </is>
      </c>
      <c r="C434" t="inlineStr">
        <is>
          <t>Contrast</t>
        </is>
      </c>
      <c r="D434" t="inlineStr">
        <is>
          <t>Contrast</t>
        </is>
      </c>
      <c r="E434" t="inlineStr">
        <is>
          <t>≥ 10</t>
        </is>
      </c>
      <c r="F434" t="n">
        <v>0.584</v>
      </c>
      <c r="G434" t="n">
        <v>0</v>
      </c>
      <c r="H434" s="4" t="n">
        <v>0.583710915584337</v>
      </c>
      <c r="I434" s="4">
        <f>IFERROR(IF(NOT(H434=""),ABS(ROUNDDOWN(F434-H434, 3 - (1+INT(LOG10(ABS(F434)))))),""),IF(AND(F434=0,NOT(F434="")),ABS(ROUNDDOWN(F434-H434,0)),""))</f>
        <v/>
      </c>
      <c r="J434" s="4">
        <f>IF(NOT(I434=""),IF(I434&lt;=G434,"match",IF(I434&lt;3*G434,"partial match","no match")),"")</f>
        <v/>
      </c>
      <c r="K434" t="inlineStr">
        <is>
          <t>ngt_contrast_3D</t>
        </is>
      </c>
    </row>
    <row r="435" ht="15.75" customHeight="1" s="10">
      <c r="A435" t="inlineStr">
        <is>
          <t>digital phantom</t>
        </is>
      </c>
      <c r="B435" t="inlineStr">
        <is>
          <t>Neighbourhood grey tone difference matrix (3D)</t>
        </is>
      </c>
      <c r="C435" t="inlineStr">
        <is>
          <t>Busyness</t>
        </is>
      </c>
      <c r="D435" t="inlineStr">
        <is>
          <t>Busyness</t>
        </is>
      </c>
      <c r="E435" t="inlineStr">
        <is>
          <t>≥ 10</t>
        </is>
      </c>
      <c r="F435" t="n">
        <v>6.54</v>
      </c>
      <c r="G435" t="n">
        <v>0</v>
      </c>
      <c r="H435" s="4" t="n">
        <v>6.54356845691321</v>
      </c>
      <c r="I435" s="4">
        <f>IFERROR(IF(NOT(H435=""),ABS(ROUNDDOWN(F435-H435, 3 - (1+INT(LOG10(ABS(F435)))))),""),IF(AND(F435=0,NOT(F435="")),ABS(ROUNDDOWN(F435-H435,0)),""))</f>
        <v/>
      </c>
      <c r="J435" s="4">
        <f>IF(NOT(I435=""),IF(I435&lt;=G435,"match",IF(I435&lt;3*G435,"partial match","no match")),"")</f>
        <v/>
      </c>
      <c r="K435" t="inlineStr">
        <is>
          <t>ngt_busyness_3D</t>
        </is>
      </c>
    </row>
    <row r="436" ht="15.75" customHeight="1" s="10">
      <c r="A436" t="inlineStr">
        <is>
          <t>digital phantom</t>
        </is>
      </c>
      <c r="B436" t="inlineStr">
        <is>
          <t>Neighbourhood grey tone difference matrix (3D)</t>
        </is>
      </c>
      <c r="C436" t="inlineStr">
        <is>
          <t>Complexity</t>
        </is>
      </c>
      <c r="D436" t="inlineStr">
        <is>
          <t>Complexity</t>
        </is>
      </c>
      <c r="E436" t="inlineStr">
        <is>
          <t>≥ 10</t>
        </is>
      </c>
      <c r="F436" t="n">
        <v>13.5</v>
      </c>
      <c r="G436" t="n">
        <v>0</v>
      </c>
      <c r="H436" s="4" t="n">
        <v>13.5397636014078</v>
      </c>
      <c r="I436" s="4">
        <f>IFERROR(IF(NOT(H436=""),ABS(ROUNDDOWN(F436-H436, 3 - (1+INT(LOG10(ABS(F436)))))),""),IF(AND(F436=0,NOT(F436="")),ABS(ROUNDDOWN(F436-H436,0)),""))</f>
        <v/>
      </c>
      <c r="J436" s="4">
        <f>IF(NOT(I436=""),IF(I436&lt;=G436,"match",IF(I436&lt;3*G436,"partial match","no match")),"")</f>
        <v/>
      </c>
      <c r="K436" t="inlineStr">
        <is>
          <t>ngt_complexity_3D</t>
        </is>
      </c>
    </row>
    <row r="437" ht="15.75" customHeight="1" s="10">
      <c r="A437" t="inlineStr">
        <is>
          <t>digital phantom</t>
        </is>
      </c>
      <c r="B437" t="inlineStr">
        <is>
          <t>Neighbourhood grey tone difference matrix (3D)</t>
        </is>
      </c>
      <c r="C437" t="inlineStr">
        <is>
          <t>Strength</t>
        </is>
      </c>
      <c r="D437" t="inlineStr">
        <is>
          <t>Strength</t>
        </is>
      </c>
      <c r="E437" t="inlineStr">
        <is>
          <t>≥ 10</t>
        </is>
      </c>
      <c r="F437" t="n">
        <v>0.763</v>
      </c>
      <c r="G437" t="n">
        <v>0</v>
      </c>
      <c r="H437" s="4" t="n">
        <v>0.763495433052135</v>
      </c>
      <c r="I437" s="4">
        <f>IFERROR(IF(NOT(H437=""),ABS(ROUNDDOWN(F437-H437, 3 - (1+INT(LOG10(ABS(F437)))))),""),IF(AND(F437=0,NOT(F437="")),ABS(ROUNDDOWN(F437-H437,0)),""))</f>
        <v/>
      </c>
      <c r="J437" s="4">
        <f>IF(NOT(I437=""),IF(I437&lt;=G437,"match",IF(I437&lt;3*G437,"partial match","no match")),"")</f>
        <v/>
      </c>
      <c r="K437" t="inlineStr">
        <is>
          <t>ngt_strength_3D</t>
        </is>
      </c>
    </row>
    <row r="438" ht="15.75" customHeight="1" s="10">
      <c r="A438" t="inlineStr">
        <is>
          <t>digital phantom</t>
        </is>
      </c>
      <c r="B438" t="inlineStr">
        <is>
          <t>Neighbouring grey level dependence matrix (2D)</t>
        </is>
      </c>
      <c r="C438" t="inlineStr">
        <is>
          <t>Low dependence emphasis</t>
        </is>
      </c>
      <c r="E438" t="inlineStr">
        <is>
          <t>6-9</t>
        </is>
      </c>
      <c r="F438" t="n">
        <v>0.158</v>
      </c>
      <c r="G438" t="n">
        <v>0</v>
      </c>
      <c r="H438" s="4" t="n"/>
      <c r="I438" s="4">
        <f>IFERROR(IF(NOT(H438=""),ABS(ROUNDDOWN(F438-H438, 3 - (1+INT(LOG10(ABS(F438)))))),""),IF(AND(F438=0,NOT(F438="")),ABS(ROUNDDOWN(F438-H438,0)),""))</f>
        <v/>
      </c>
      <c r="J438" s="4">
        <f>IF(NOT(I438=""),IF(I438&lt;=G438,"match",IF(I438&lt;3*G438,"partial match","no match")),"")</f>
        <v/>
      </c>
      <c r="K438" t="inlineStr">
        <is>
          <t>ngl_lde_2D</t>
        </is>
      </c>
    </row>
    <row r="439" ht="15.75" customHeight="1" s="10">
      <c r="A439" t="inlineStr">
        <is>
          <t>digital phantom</t>
        </is>
      </c>
      <c r="B439" t="inlineStr">
        <is>
          <t>Neighbouring grey level dependence matrix (2D)</t>
        </is>
      </c>
      <c r="C439" t="inlineStr">
        <is>
          <t>High dependence emphasis</t>
        </is>
      </c>
      <c r="E439" t="inlineStr">
        <is>
          <t>6-9</t>
        </is>
      </c>
      <c r="F439" t="n">
        <v>19.2</v>
      </c>
      <c r="G439" t="n">
        <v>0</v>
      </c>
      <c r="H439" s="4" t="n"/>
      <c r="I439" s="4">
        <f>IFERROR(IF(NOT(H439=""),ABS(ROUNDDOWN(F439-H439, 3 - (1+INT(LOG10(ABS(F439)))))),""),IF(AND(F439=0,NOT(F439="")),ABS(ROUNDDOWN(F439-H439,0)),""))</f>
        <v/>
      </c>
      <c r="J439" s="4">
        <f>IF(NOT(I439=""),IF(I439&lt;=G439,"match",IF(I439&lt;3*G439,"partial match","no match")),"")</f>
        <v/>
      </c>
      <c r="K439" t="inlineStr">
        <is>
          <t>ngl_hde_2D</t>
        </is>
      </c>
    </row>
    <row r="440" ht="15.75" customHeight="1" s="10">
      <c r="A440" t="inlineStr">
        <is>
          <t>digital phantom</t>
        </is>
      </c>
      <c r="B440" t="inlineStr">
        <is>
          <t>Neighbouring grey level dependence matrix (2D)</t>
        </is>
      </c>
      <c r="C440" t="inlineStr">
        <is>
          <t>Low grey level count emphasis</t>
        </is>
      </c>
      <c r="E440" t="inlineStr">
        <is>
          <t>6-9</t>
        </is>
      </c>
      <c r="F440" t="n">
        <v>0.702</v>
      </c>
      <c r="G440" t="n">
        <v>0</v>
      </c>
      <c r="H440" s="4" t="n"/>
      <c r="I440" s="4">
        <f>IFERROR(IF(NOT(H440=""),ABS(ROUNDDOWN(F440-H440, 3 - (1+INT(LOG10(ABS(F440)))))),""),IF(AND(F440=0,NOT(F440="")),ABS(ROUNDDOWN(F440-H440,0)),""))</f>
        <v/>
      </c>
      <c r="J440" s="4">
        <f>IF(NOT(I440=""),IF(I440&lt;=G440,"match",IF(I440&lt;3*G440,"partial match","no match")),"")</f>
        <v/>
      </c>
      <c r="K440" t="inlineStr">
        <is>
          <t>ngl_lgce_2D</t>
        </is>
      </c>
    </row>
    <row r="441" ht="15.75" customHeight="1" s="10">
      <c r="A441" t="inlineStr">
        <is>
          <t>digital phantom</t>
        </is>
      </c>
      <c r="B441" t="inlineStr">
        <is>
          <t>Neighbouring grey level dependence matrix (2D)</t>
        </is>
      </c>
      <c r="C441" t="inlineStr">
        <is>
          <t>High grey level count emphasis</t>
        </is>
      </c>
      <c r="E441" t="inlineStr">
        <is>
          <t>6-9</t>
        </is>
      </c>
      <c r="F441" t="n">
        <v>7.49</v>
      </c>
      <c r="G441" t="n">
        <v>0</v>
      </c>
      <c r="H441" s="4" t="n"/>
      <c r="I441" s="4">
        <f>IFERROR(IF(NOT(H441=""),ABS(ROUNDDOWN(F441-H441, 3 - (1+INT(LOG10(ABS(F441)))))),""),IF(AND(F441=0,NOT(F441="")),ABS(ROUNDDOWN(F441-H441,0)),""))</f>
        <v/>
      </c>
      <c r="J441" s="4">
        <f>IF(NOT(I441=""),IF(I441&lt;=G441,"match",IF(I441&lt;3*G441,"partial match","no match")),"")</f>
        <v/>
      </c>
      <c r="K441" t="inlineStr">
        <is>
          <t>ngl_hgce_2D</t>
        </is>
      </c>
    </row>
    <row r="442" ht="15.75" customHeight="1" s="10">
      <c r="A442" t="inlineStr">
        <is>
          <t>digital phantom</t>
        </is>
      </c>
      <c r="B442" t="inlineStr">
        <is>
          <t>Neighbouring grey level dependence matrix (2D)</t>
        </is>
      </c>
      <c r="C442" t="inlineStr">
        <is>
          <t>Low dependence low grey level emphasis</t>
        </is>
      </c>
      <c r="E442" t="inlineStr">
        <is>
          <t>6-9</t>
        </is>
      </c>
      <c r="F442" t="n">
        <v>0.0473</v>
      </c>
      <c r="G442" t="n">
        <v>0</v>
      </c>
      <c r="H442" s="4" t="n"/>
      <c r="I442" s="4">
        <f>IFERROR(IF(NOT(H442=""),ABS(ROUNDDOWN(F442-H442, 3 - (1+INT(LOG10(ABS(F442)))))),""),IF(AND(F442=0,NOT(F442="")),ABS(ROUNDDOWN(F442-H442,0)),""))</f>
        <v/>
      </c>
      <c r="J442" s="4">
        <f>IF(NOT(I442=""),IF(I442&lt;=G442,"match",IF(I442&lt;3*G442,"partial match","no match")),"")</f>
        <v/>
      </c>
      <c r="K442" t="inlineStr">
        <is>
          <t>ngl_ldlge_2D</t>
        </is>
      </c>
    </row>
    <row r="443" ht="15.75" customHeight="1" s="10">
      <c r="A443" t="inlineStr">
        <is>
          <t>digital phantom</t>
        </is>
      </c>
      <c r="B443" t="inlineStr">
        <is>
          <t>Neighbouring grey level dependence matrix (2D)</t>
        </is>
      </c>
      <c r="C443" t="inlineStr">
        <is>
          <t>Low dependence high grey level emphasis</t>
        </is>
      </c>
      <c r="E443" t="inlineStr">
        <is>
          <t>6-9</t>
        </is>
      </c>
      <c r="F443" t="n">
        <v>3.06</v>
      </c>
      <c r="G443" t="n">
        <v>0</v>
      </c>
      <c r="H443" s="4" t="n"/>
      <c r="I443" s="4">
        <f>IFERROR(IF(NOT(H443=""),ABS(ROUNDDOWN(F443-H443, 3 - (1+INT(LOG10(ABS(F443)))))),""),IF(AND(F443=0,NOT(F443="")),ABS(ROUNDDOWN(F443-H443,0)),""))</f>
        <v/>
      </c>
      <c r="J443" s="4">
        <f>IF(NOT(I443=""),IF(I443&lt;=G443,"match",IF(I443&lt;3*G443,"partial match","no match")),"")</f>
        <v/>
      </c>
      <c r="K443" t="inlineStr">
        <is>
          <t>ngl_ldhge_2D</t>
        </is>
      </c>
    </row>
    <row r="444" ht="15.75" customHeight="1" s="10">
      <c r="A444" t="inlineStr">
        <is>
          <t>digital phantom</t>
        </is>
      </c>
      <c r="B444" t="inlineStr">
        <is>
          <t>Neighbouring grey level dependence matrix (2D)</t>
        </is>
      </c>
      <c r="C444" t="inlineStr">
        <is>
          <t>High dependence low grey level emphasis</t>
        </is>
      </c>
      <c r="E444" t="inlineStr">
        <is>
          <t>6-9</t>
        </is>
      </c>
      <c r="F444" t="n">
        <v>17.6</v>
      </c>
      <c r="G444" t="n">
        <v>0</v>
      </c>
      <c r="H444" s="4" t="n"/>
      <c r="I444" s="4">
        <f>IFERROR(IF(NOT(H444=""),ABS(ROUNDDOWN(F444-H444, 3 - (1+INT(LOG10(ABS(F444)))))),""),IF(AND(F444=0,NOT(F444="")),ABS(ROUNDDOWN(F444-H444,0)),""))</f>
        <v/>
      </c>
      <c r="J444" s="4">
        <f>IF(NOT(I444=""),IF(I444&lt;=G444,"match",IF(I444&lt;3*G444,"partial match","no match")),"")</f>
        <v/>
      </c>
      <c r="K444" t="inlineStr">
        <is>
          <t>ngl_hdlge_2D</t>
        </is>
      </c>
    </row>
    <row r="445" ht="15.75" customHeight="1" s="10">
      <c r="A445" t="inlineStr">
        <is>
          <t>digital phantom</t>
        </is>
      </c>
      <c r="B445" t="inlineStr">
        <is>
          <t>Neighbouring grey level dependence matrix (2D)</t>
        </is>
      </c>
      <c r="C445" t="inlineStr">
        <is>
          <t>High dependence high grey level emphasis</t>
        </is>
      </c>
      <c r="E445" t="inlineStr">
        <is>
          <t>6-9</t>
        </is>
      </c>
      <c r="F445" t="n">
        <v>49.5</v>
      </c>
      <c r="G445" t="n">
        <v>0</v>
      </c>
      <c r="H445" s="4" t="n"/>
      <c r="I445" s="4">
        <f>IFERROR(IF(NOT(H445=""),ABS(ROUNDDOWN(F445-H445, 3 - (1+INT(LOG10(ABS(F445)))))),""),IF(AND(F445=0,NOT(F445="")),ABS(ROUNDDOWN(F445-H445,0)),""))</f>
        <v/>
      </c>
      <c r="J445" s="4">
        <f>IF(NOT(I445=""),IF(I445&lt;=G445,"match",IF(I445&lt;3*G445,"partial match","no match")),"")</f>
        <v/>
      </c>
      <c r="K445" t="inlineStr">
        <is>
          <t>ngl_hdhge_2D</t>
        </is>
      </c>
    </row>
    <row r="446" ht="15.75" customHeight="1" s="10">
      <c r="A446" t="inlineStr">
        <is>
          <t>digital phantom</t>
        </is>
      </c>
      <c r="B446" t="inlineStr">
        <is>
          <t>Neighbouring grey level dependence matrix (2D)</t>
        </is>
      </c>
      <c r="C446" t="inlineStr">
        <is>
          <t>Grey level non-uniformity</t>
        </is>
      </c>
      <c r="E446" t="inlineStr">
        <is>
          <t>6-9</t>
        </is>
      </c>
      <c r="F446" t="n">
        <v>10.2</v>
      </c>
      <c r="G446" t="n">
        <v>0</v>
      </c>
      <c r="H446" s="4" t="n"/>
      <c r="I446" s="4">
        <f>IFERROR(IF(NOT(H446=""),ABS(ROUNDDOWN(F446-H446, 3 - (1+INT(LOG10(ABS(F446)))))),""),IF(AND(F446=0,NOT(F446="")),ABS(ROUNDDOWN(F446-H446,0)),""))</f>
        <v/>
      </c>
      <c r="J446" s="4">
        <f>IF(NOT(I446=""),IF(I446&lt;=G446,"match",IF(I446&lt;3*G446,"partial match","no match")),"")</f>
        <v/>
      </c>
      <c r="K446" t="inlineStr">
        <is>
          <t>ngl_glnu_2D</t>
        </is>
      </c>
    </row>
    <row r="447" ht="15.75" customHeight="1" s="10">
      <c r="A447" t="inlineStr">
        <is>
          <t>digital phantom</t>
        </is>
      </c>
      <c r="B447" t="inlineStr">
        <is>
          <t>Neighbouring grey level dependence matrix (2D)</t>
        </is>
      </c>
      <c r="C447" t="inlineStr">
        <is>
          <t>Grey level non-uniformity normalised</t>
        </is>
      </c>
      <c r="E447" t="inlineStr">
        <is>
          <t>6-9</t>
        </is>
      </c>
      <c r="F447" t="n">
        <v>0.5620000000000001</v>
      </c>
      <c r="G447" t="n">
        <v>0</v>
      </c>
      <c r="H447" s="4" t="n"/>
      <c r="I447" s="4">
        <f>IFERROR(IF(NOT(H447=""),ABS(ROUNDDOWN(F447-H447, 3 - (1+INT(LOG10(ABS(F447)))))),""),IF(AND(F447=0,NOT(F447="")),ABS(ROUNDDOWN(F447-H447,0)),""))</f>
        <v/>
      </c>
      <c r="J447" s="4">
        <f>IF(NOT(I447=""),IF(I447&lt;=G447,"match",IF(I447&lt;3*G447,"partial match","no match")),"")</f>
        <v/>
      </c>
      <c r="K447" t="inlineStr">
        <is>
          <t>ngl_glnu_norm_2D</t>
        </is>
      </c>
    </row>
    <row r="448" ht="15.75" customHeight="1" s="10">
      <c r="A448" t="inlineStr">
        <is>
          <t>digital phantom</t>
        </is>
      </c>
      <c r="B448" t="inlineStr">
        <is>
          <t>Neighbouring grey level dependence matrix (2D)</t>
        </is>
      </c>
      <c r="C448" t="inlineStr">
        <is>
          <t>Dependence count non-uniformity</t>
        </is>
      </c>
      <c r="E448" t="inlineStr">
        <is>
          <t>6-9</t>
        </is>
      </c>
      <c r="F448" t="n">
        <v>3.96</v>
      </c>
      <c r="G448" t="n">
        <v>0</v>
      </c>
      <c r="H448" s="4" t="n"/>
      <c r="I448" s="4">
        <f>IFERROR(IF(NOT(H448=""),ABS(ROUNDDOWN(F448-H448, 3 - (1+INT(LOG10(ABS(F448)))))),""),IF(AND(F448=0,NOT(F448="")),ABS(ROUNDDOWN(F448-H448,0)),""))</f>
        <v/>
      </c>
      <c r="J448" s="4">
        <f>IF(NOT(I448=""),IF(I448&lt;=G448,"match",IF(I448&lt;3*G448,"partial match","no match")),"")</f>
        <v/>
      </c>
      <c r="K448" t="inlineStr">
        <is>
          <t>ngl_dcnu_2D</t>
        </is>
      </c>
    </row>
    <row r="449" ht="15.75" customHeight="1" s="10">
      <c r="A449" t="inlineStr">
        <is>
          <t>digital phantom</t>
        </is>
      </c>
      <c r="B449" t="inlineStr">
        <is>
          <t>Neighbouring grey level dependence matrix (2D)</t>
        </is>
      </c>
      <c r="C449" t="inlineStr">
        <is>
          <t>Dependence count non-uniformity normalised</t>
        </is>
      </c>
      <c r="E449" t="inlineStr">
        <is>
          <t>6-9</t>
        </is>
      </c>
      <c r="F449" t="n">
        <v>0.212</v>
      </c>
      <c r="G449" t="n">
        <v>0</v>
      </c>
      <c r="H449" s="4" t="n"/>
      <c r="I449" s="4">
        <f>IFERROR(IF(NOT(H449=""),ABS(ROUNDDOWN(F449-H449, 3 - (1+INT(LOG10(ABS(F449)))))),""),IF(AND(F449=0,NOT(F449="")),ABS(ROUNDDOWN(F449-H449,0)),""))</f>
        <v/>
      </c>
      <c r="J449" s="4">
        <f>IF(NOT(I449=""),IF(I449&lt;=G449,"match",IF(I449&lt;3*G449,"partial match","no match")),"")</f>
        <v/>
      </c>
      <c r="K449" t="inlineStr">
        <is>
          <t>ngl_dcnu_norm_2D</t>
        </is>
      </c>
    </row>
    <row r="450" ht="15.75" customHeight="1" s="10">
      <c r="A450" t="inlineStr">
        <is>
          <t>digital phantom</t>
        </is>
      </c>
      <c r="B450" t="inlineStr">
        <is>
          <t>Neighbouring grey level dependence matrix (2D)</t>
        </is>
      </c>
      <c r="C450" t="inlineStr">
        <is>
          <t>Dependence count percentage</t>
        </is>
      </c>
      <c r="E450" t="inlineStr">
        <is>
          <t>6-9</t>
        </is>
      </c>
      <c r="F450" t="n">
        <v>1</v>
      </c>
      <c r="G450" t="n">
        <v>0</v>
      </c>
      <c r="H450" s="4" t="n"/>
      <c r="I450" s="4">
        <f>IFERROR(IF(NOT(H450=""),ABS(ROUNDDOWN(F450-H450, 3 - (1+INT(LOG10(ABS(F450)))))),""),IF(AND(F450=0,NOT(F450="")),ABS(ROUNDDOWN(F450-H450,0)),""))</f>
        <v/>
      </c>
      <c r="J450" s="4">
        <f>IF(NOT(I450=""),IF(I450&lt;=G450,"match",IF(I450&lt;3*G450,"partial match","no match")),"")</f>
        <v/>
      </c>
      <c r="K450" t="inlineStr">
        <is>
          <t>ngl_dc_perc_2D</t>
        </is>
      </c>
    </row>
    <row r="451" ht="15.75" customHeight="1" s="10">
      <c r="A451" t="inlineStr">
        <is>
          <t>digital phantom</t>
        </is>
      </c>
      <c r="B451" t="inlineStr">
        <is>
          <t>Neighbouring grey level dependence matrix (2D)</t>
        </is>
      </c>
      <c r="C451" t="inlineStr">
        <is>
          <t>Grey level variance</t>
        </is>
      </c>
      <c r="E451" t="inlineStr">
        <is>
          <t>6-9</t>
        </is>
      </c>
      <c r="F451" t="n">
        <v>2.7</v>
      </c>
      <c r="G451" t="n">
        <v>0</v>
      </c>
      <c r="H451" s="4" t="n"/>
      <c r="I451" s="4">
        <f>IFERROR(IF(NOT(H451=""),ABS(ROUNDDOWN(F451-H451, 3 - (1+INT(LOG10(ABS(F451)))))),""),IF(AND(F451=0,NOT(F451="")),ABS(ROUNDDOWN(F451-H451,0)),""))</f>
        <v/>
      </c>
      <c r="J451" s="4">
        <f>IF(NOT(I451=""),IF(I451&lt;=G451,"match",IF(I451&lt;3*G451,"partial match","no match")),"")</f>
        <v/>
      </c>
      <c r="K451" t="inlineStr">
        <is>
          <t>ngl_gl_var_2D</t>
        </is>
      </c>
    </row>
    <row r="452" ht="15.75" customHeight="1" s="10">
      <c r="A452" t="inlineStr">
        <is>
          <t>digital phantom</t>
        </is>
      </c>
      <c r="B452" t="inlineStr">
        <is>
          <t>Neighbouring grey level dependence matrix (2D)</t>
        </is>
      </c>
      <c r="C452" t="inlineStr">
        <is>
          <t>Dependence count variance</t>
        </is>
      </c>
      <c r="E452" t="inlineStr">
        <is>
          <t>6-9</t>
        </is>
      </c>
      <c r="F452" t="n">
        <v>2.73</v>
      </c>
      <c r="G452" t="n">
        <v>0</v>
      </c>
      <c r="H452" s="4" t="n"/>
      <c r="I452" s="4">
        <f>IFERROR(IF(NOT(H452=""),ABS(ROUNDDOWN(F452-H452, 3 - (1+INT(LOG10(ABS(F452)))))),""),IF(AND(F452=0,NOT(F452="")),ABS(ROUNDDOWN(F452-H452,0)),""))</f>
        <v/>
      </c>
      <c r="J452" s="4">
        <f>IF(NOT(I452=""),IF(I452&lt;=G452,"match",IF(I452&lt;3*G452,"partial match","no match")),"")</f>
        <v/>
      </c>
      <c r="K452" t="inlineStr">
        <is>
          <t>ngl_dc_var_2D</t>
        </is>
      </c>
    </row>
    <row r="453" ht="15.75" customHeight="1" s="10">
      <c r="A453" t="inlineStr">
        <is>
          <t>digital phantom</t>
        </is>
      </c>
      <c r="B453" t="inlineStr">
        <is>
          <t>Neighbouring grey level dependence matrix (2D)</t>
        </is>
      </c>
      <c r="C453" t="inlineStr">
        <is>
          <t>Dependence count entropy</t>
        </is>
      </c>
      <c r="E453" t="inlineStr">
        <is>
          <t>6-9</t>
        </is>
      </c>
      <c r="F453" t="n">
        <v>2.71</v>
      </c>
      <c r="G453" t="n">
        <v>0</v>
      </c>
      <c r="H453" s="4" t="n"/>
      <c r="I453" s="4">
        <f>IFERROR(IF(NOT(H453=""),ABS(ROUNDDOWN(F453-H453, 3 - (1+INT(LOG10(ABS(F453)))))),""),IF(AND(F453=0,NOT(F453="")),ABS(ROUNDDOWN(F453-H453,0)),""))</f>
        <v/>
      </c>
      <c r="J453" s="4">
        <f>IF(NOT(I453=""),IF(I453&lt;=G453,"match",IF(I453&lt;3*G453,"partial match","no match")),"")</f>
        <v/>
      </c>
      <c r="K453" t="inlineStr">
        <is>
          <t>ngl_dc_entr_2D</t>
        </is>
      </c>
    </row>
    <row r="454" ht="15.75" customHeight="1" s="10">
      <c r="A454" t="inlineStr">
        <is>
          <t>digital phantom</t>
        </is>
      </c>
      <c r="B454" t="inlineStr">
        <is>
          <t>Neighbouring grey level dependence matrix (2D)</t>
        </is>
      </c>
      <c r="C454" t="inlineStr">
        <is>
          <t>Dependence count energy</t>
        </is>
      </c>
      <c r="E454" t="inlineStr">
        <is>
          <t>6-9</t>
        </is>
      </c>
      <c r="F454" t="n">
        <v>0.17</v>
      </c>
      <c r="G454" t="n">
        <v>0</v>
      </c>
      <c r="H454" s="4" t="n"/>
      <c r="I454" s="4">
        <f>IFERROR(IF(NOT(H454=""),ABS(ROUNDDOWN(F454-H454, 3 - (1+INT(LOG10(ABS(F454)))))),""),IF(AND(F454=0,NOT(F454="")),ABS(ROUNDDOWN(F454-H454,0)),""))</f>
        <v/>
      </c>
      <c r="J454" s="4">
        <f>IF(NOT(I454=""),IF(I454&lt;=G454,"match",IF(I454&lt;3*G454,"partial match","no match")),"")</f>
        <v/>
      </c>
      <c r="K454" t="inlineStr">
        <is>
          <t>ngl_dc_energy_2D</t>
        </is>
      </c>
    </row>
    <row r="455" ht="15.75" customHeight="1" s="10">
      <c r="A455" t="inlineStr">
        <is>
          <t>digital phantom</t>
        </is>
      </c>
      <c r="B455" t="inlineStr">
        <is>
          <t>Neighbouring grey level dependence matrix (2.5D)</t>
        </is>
      </c>
      <c r="C455" t="inlineStr">
        <is>
          <t>Low dependence emphasis</t>
        </is>
      </c>
      <c r="E455" t="inlineStr">
        <is>
          <t>&lt; 3</t>
        </is>
      </c>
      <c r="H455" s="4" t="n"/>
      <c r="I455" s="4">
        <f>IFERROR(IF(NOT(H455=""),ABS(ROUNDDOWN(F455-H455, 3 - (1+INT(LOG10(ABS(F455)))))),""),IF(AND(F455=0,NOT(F455="")),ABS(ROUNDDOWN(F455-H455,0)),""))</f>
        <v/>
      </c>
      <c r="J455" s="4">
        <f>IF(NOT(I455=""),IF(I455&lt;=G455,"match",IF(I455&lt;3*G455,"partial match","no match")),"")</f>
        <v/>
      </c>
      <c r="K455" t="inlineStr">
        <is>
          <t>ngl_lde_2_5D</t>
        </is>
      </c>
    </row>
    <row r="456" ht="15.75" customHeight="1" s="10">
      <c r="A456" t="inlineStr">
        <is>
          <t>digital phantom</t>
        </is>
      </c>
      <c r="B456" t="inlineStr">
        <is>
          <t>Neighbouring grey level dependence matrix (2.5D)</t>
        </is>
      </c>
      <c r="C456" t="inlineStr">
        <is>
          <t>High dependence emphasis</t>
        </is>
      </c>
      <c r="E456" t="inlineStr">
        <is>
          <t>&lt; 3</t>
        </is>
      </c>
      <c r="H456" s="4" t="n"/>
      <c r="I456" s="4">
        <f>IFERROR(IF(NOT(H456=""),ABS(ROUNDDOWN(F456-H456, 3 - (1+INT(LOG10(ABS(F456)))))),""),IF(AND(F456=0,NOT(F456="")),ABS(ROUNDDOWN(F456-H456,0)),""))</f>
        <v/>
      </c>
      <c r="J456" s="4">
        <f>IF(NOT(I456=""),IF(I456&lt;=G456,"match",IF(I456&lt;3*G456,"partial match","no match")),"")</f>
        <v/>
      </c>
      <c r="K456" t="inlineStr">
        <is>
          <t>ngl_hde_2_5D</t>
        </is>
      </c>
    </row>
    <row r="457" ht="15.75" customHeight="1" s="10">
      <c r="A457" t="inlineStr">
        <is>
          <t>digital phantom</t>
        </is>
      </c>
      <c r="B457" t="inlineStr">
        <is>
          <t>Neighbouring grey level dependence matrix (2.5D)</t>
        </is>
      </c>
      <c r="C457" t="inlineStr">
        <is>
          <t>Low grey level count emphasis</t>
        </is>
      </c>
      <c r="E457" t="inlineStr">
        <is>
          <t>&lt; 3</t>
        </is>
      </c>
      <c r="H457" s="4" t="n"/>
      <c r="I457" s="4">
        <f>IFERROR(IF(NOT(H457=""),ABS(ROUNDDOWN(F457-H457, 3 - (1+INT(LOG10(ABS(F457)))))),""),IF(AND(F457=0,NOT(F457="")),ABS(ROUNDDOWN(F457-H457,0)),""))</f>
        <v/>
      </c>
      <c r="J457" s="4">
        <f>IF(NOT(I457=""),IF(I457&lt;=G457,"match",IF(I457&lt;3*G457,"partial match","no match")),"")</f>
        <v/>
      </c>
      <c r="K457" t="inlineStr">
        <is>
          <t>ngl_lgce_2_5D</t>
        </is>
      </c>
    </row>
    <row r="458" ht="15.75" customHeight="1" s="10">
      <c r="A458" t="inlineStr">
        <is>
          <t>digital phantom</t>
        </is>
      </c>
      <c r="B458" t="inlineStr">
        <is>
          <t>Neighbouring grey level dependence matrix (2.5D)</t>
        </is>
      </c>
      <c r="C458" t="inlineStr">
        <is>
          <t>High grey level count emphasis</t>
        </is>
      </c>
      <c r="E458" t="inlineStr">
        <is>
          <t>&lt; 3</t>
        </is>
      </c>
      <c r="H458" s="4" t="n"/>
      <c r="I458" s="4">
        <f>IFERROR(IF(NOT(H458=""),ABS(ROUNDDOWN(F458-H458, 3 - (1+INT(LOG10(ABS(F458)))))),""),IF(AND(F458=0,NOT(F458="")),ABS(ROUNDDOWN(F458-H458,0)),""))</f>
        <v/>
      </c>
      <c r="J458" s="4">
        <f>IF(NOT(I458=""),IF(I458&lt;=G458,"match",IF(I458&lt;3*G458,"partial match","no match")),"")</f>
        <v/>
      </c>
      <c r="K458" t="inlineStr">
        <is>
          <t>ngl_hgce_2_5D</t>
        </is>
      </c>
    </row>
    <row r="459" ht="15.75" customHeight="1" s="10">
      <c r="A459" t="inlineStr">
        <is>
          <t>digital phantom</t>
        </is>
      </c>
      <c r="B459" t="inlineStr">
        <is>
          <t>Neighbouring grey level dependence matrix (2.5D)</t>
        </is>
      </c>
      <c r="C459" t="inlineStr">
        <is>
          <t>Low dependence low grey level emphasis</t>
        </is>
      </c>
      <c r="E459" t="inlineStr">
        <is>
          <t>&lt; 3</t>
        </is>
      </c>
      <c r="H459" s="4" t="n"/>
      <c r="I459" s="4">
        <f>IFERROR(IF(NOT(H459=""),ABS(ROUNDDOWN(F459-H459, 3 - (1+INT(LOG10(ABS(F459)))))),""),IF(AND(F459=0,NOT(F459="")),ABS(ROUNDDOWN(F459-H459,0)),""))</f>
        <v/>
      </c>
      <c r="J459" s="4">
        <f>IF(NOT(I459=""),IF(I459&lt;=G459,"match",IF(I459&lt;3*G459,"partial match","no match")),"")</f>
        <v/>
      </c>
      <c r="K459" t="inlineStr">
        <is>
          <t>ngl_ldlge_2_5D</t>
        </is>
      </c>
    </row>
    <row r="460" ht="15.75" customHeight="1" s="10">
      <c r="A460" t="inlineStr">
        <is>
          <t>digital phantom</t>
        </is>
      </c>
      <c r="B460" t="inlineStr">
        <is>
          <t>Neighbouring grey level dependence matrix (2.5D)</t>
        </is>
      </c>
      <c r="C460" t="inlineStr">
        <is>
          <t>Low dependence high grey level emphasis</t>
        </is>
      </c>
      <c r="E460" t="inlineStr">
        <is>
          <t>&lt; 3</t>
        </is>
      </c>
      <c r="H460" s="4" t="n"/>
      <c r="I460" s="4">
        <f>IFERROR(IF(NOT(H460=""),ABS(ROUNDDOWN(F460-H460, 3 - (1+INT(LOG10(ABS(F460)))))),""),IF(AND(F460=0,NOT(F460="")),ABS(ROUNDDOWN(F460-H460,0)),""))</f>
        <v/>
      </c>
      <c r="J460" s="4">
        <f>IF(NOT(I460=""),IF(I460&lt;=G460,"match",IF(I460&lt;3*G460,"partial match","no match")),"")</f>
        <v/>
      </c>
      <c r="K460" t="inlineStr">
        <is>
          <t>ngl_ldhge_2_5D</t>
        </is>
      </c>
    </row>
    <row r="461" ht="15.75" customHeight="1" s="10">
      <c r="A461" t="inlineStr">
        <is>
          <t>digital phantom</t>
        </is>
      </c>
      <c r="B461" t="inlineStr">
        <is>
          <t>Neighbouring grey level dependence matrix (2.5D)</t>
        </is>
      </c>
      <c r="C461" t="inlineStr">
        <is>
          <t>High dependence low grey level emphasis</t>
        </is>
      </c>
      <c r="E461" t="inlineStr">
        <is>
          <t>&lt; 3</t>
        </is>
      </c>
      <c r="H461" s="4" t="n"/>
      <c r="I461" s="4">
        <f>IFERROR(IF(NOT(H461=""),ABS(ROUNDDOWN(F461-H461, 3 - (1+INT(LOG10(ABS(F461)))))),""),IF(AND(F461=0,NOT(F461="")),ABS(ROUNDDOWN(F461-H461,0)),""))</f>
        <v/>
      </c>
      <c r="J461" s="4">
        <f>IF(NOT(I461=""),IF(I461&lt;=G461,"match",IF(I461&lt;3*G461,"partial match","no match")),"")</f>
        <v/>
      </c>
      <c r="K461" t="inlineStr">
        <is>
          <t>ngl_hdlge_2_5D</t>
        </is>
      </c>
    </row>
    <row r="462" ht="15.75" customHeight="1" s="10">
      <c r="A462" t="inlineStr">
        <is>
          <t>digital phantom</t>
        </is>
      </c>
      <c r="B462" t="inlineStr">
        <is>
          <t>Neighbouring grey level dependence matrix (2.5D)</t>
        </is>
      </c>
      <c r="C462" t="inlineStr">
        <is>
          <t>High dependence high grey level emphasis</t>
        </is>
      </c>
      <c r="E462" t="inlineStr">
        <is>
          <t>&lt; 3</t>
        </is>
      </c>
      <c r="H462" s="4" t="n"/>
      <c r="I462" s="4">
        <f>IFERROR(IF(NOT(H462=""),ABS(ROUNDDOWN(F462-H462, 3 - (1+INT(LOG10(ABS(F462)))))),""),IF(AND(F462=0,NOT(F462="")),ABS(ROUNDDOWN(F462-H462,0)),""))</f>
        <v/>
      </c>
      <c r="J462" s="4">
        <f>IF(NOT(I462=""),IF(I462&lt;=G462,"match",IF(I462&lt;3*G462,"partial match","no match")),"")</f>
        <v/>
      </c>
      <c r="K462" t="inlineStr">
        <is>
          <t>ngl_hdhge_2_5D</t>
        </is>
      </c>
    </row>
    <row r="463" ht="15.75" customHeight="1" s="10">
      <c r="A463" t="inlineStr">
        <is>
          <t>digital phantom</t>
        </is>
      </c>
      <c r="B463" t="inlineStr">
        <is>
          <t>Neighbouring grey level dependence matrix (2.5D)</t>
        </is>
      </c>
      <c r="C463" t="inlineStr">
        <is>
          <t>Grey level non-uniformity</t>
        </is>
      </c>
      <c r="E463" t="inlineStr">
        <is>
          <t>&lt; 3</t>
        </is>
      </c>
      <c r="H463" s="4" t="n"/>
      <c r="I463" s="4">
        <f>IFERROR(IF(NOT(H463=""),ABS(ROUNDDOWN(F463-H463, 3 - (1+INT(LOG10(ABS(F463)))))),""),IF(AND(F463=0,NOT(F463="")),ABS(ROUNDDOWN(F463-H463,0)),""))</f>
        <v/>
      </c>
      <c r="J463" s="4">
        <f>IF(NOT(I463=""),IF(I463&lt;=G463,"match",IF(I463&lt;3*G463,"partial match","no match")),"")</f>
        <v/>
      </c>
      <c r="K463" t="inlineStr">
        <is>
          <t>ngl_glnu_2_5D</t>
        </is>
      </c>
    </row>
    <row r="464" ht="15.75" customHeight="1" s="10">
      <c r="A464" t="inlineStr">
        <is>
          <t>digital phantom</t>
        </is>
      </c>
      <c r="B464" t="inlineStr">
        <is>
          <t>Neighbouring grey level dependence matrix (2.5D)</t>
        </is>
      </c>
      <c r="C464" t="inlineStr">
        <is>
          <t>Grey level non-uniformity normalised</t>
        </is>
      </c>
      <c r="E464" t="inlineStr">
        <is>
          <t>&lt; 3</t>
        </is>
      </c>
      <c r="H464" s="4" t="n"/>
      <c r="I464" s="4">
        <f>IFERROR(IF(NOT(H464=""),ABS(ROUNDDOWN(F464-H464, 3 - (1+INT(LOG10(ABS(F464)))))),""),IF(AND(F464=0,NOT(F464="")),ABS(ROUNDDOWN(F464-H464,0)),""))</f>
        <v/>
      </c>
      <c r="J464" s="4">
        <f>IF(NOT(I464=""),IF(I464&lt;=G464,"match",IF(I464&lt;3*G464,"partial match","no match")),"")</f>
        <v/>
      </c>
      <c r="K464" t="inlineStr">
        <is>
          <t>ngl_glnu_norm_2_5D</t>
        </is>
      </c>
    </row>
    <row r="465" ht="15.75" customHeight="1" s="10">
      <c r="A465" t="inlineStr">
        <is>
          <t>digital phantom</t>
        </is>
      </c>
      <c r="B465" t="inlineStr">
        <is>
          <t>Neighbouring grey level dependence matrix (2.5D)</t>
        </is>
      </c>
      <c r="C465" t="inlineStr">
        <is>
          <t>Dependence count non-uniformity</t>
        </is>
      </c>
      <c r="E465" t="inlineStr">
        <is>
          <t>&lt; 3</t>
        </is>
      </c>
      <c r="H465" s="4" t="n"/>
      <c r="I465" s="4">
        <f>IFERROR(IF(NOT(H465=""),ABS(ROUNDDOWN(F465-H465, 3 - (1+INT(LOG10(ABS(F465)))))),""),IF(AND(F465=0,NOT(F465="")),ABS(ROUNDDOWN(F465-H465,0)),""))</f>
        <v/>
      </c>
      <c r="J465" s="4">
        <f>IF(NOT(I465=""),IF(I465&lt;=G465,"match",IF(I465&lt;3*G465,"partial match","no match")),"")</f>
        <v/>
      </c>
      <c r="K465" t="inlineStr">
        <is>
          <t>ngl_dcnu_2_5D</t>
        </is>
      </c>
    </row>
    <row r="466" ht="15.75" customHeight="1" s="10">
      <c r="A466" t="inlineStr">
        <is>
          <t>digital phantom</t>
        </is>
      </c>
      <c r="B466" t="inlineStr">
        <is>
          <t>Neighbouring grey level dependence matrix (2.5D)</t>
        </is>
      </c>
      <c r="C466" t="inlineStr">
        <is>
          <t>Dependence count non-uniformity normalised</t>
        </is>
      </c>
      <c r="E466" t="inlineStr">
        <is>
          <t>&lt; 3</t>
        </is>
      </c>
      <c r="H466" s="4" t="n"/>
      <c r="I466" s="4">
        <f>IFERROR(IF(NOT(H466=""),ABS(ROUNDDOWN(F466-H466, 3 - (1+INT(LOG10(ABS(F466)))))),""),IF(AND(F466=0,NOT(F466="")),ABS(ROUNDDOWN(F466-H466,0)),""))</f>
        <v/>
      </c>
      <c r="J466" s="4">
        <f>IF(NOT(I466=""),IF(I466&lt;=G466,"match",IF(I466&lt;3*G466,"partial match","no match")),"")</f>
        <v/>
      </c>
      <c r="K466" t="inlineStr">
        <is>
          <t>ngl_dcnu_norm_2_5D</t>
        </is>
      </c>
    </row>
    <row r="467" ht="15.75" customHeight="1" s="10">
      <c r="A467" t="inlineStr">
        <is>
          <t>digital phantom</t>
        </is>
      </c>
      <c r="B467" t="inlineStr">
        <is>
          <t>Neighbouring grey level dependence matrix (2.5D)</t>
        </is>
      </c>
      <c r="C467" t="inlineStr">
        <is>
          <t>Dependence count percentage</t>
        </is>
      </c>
      <c r="E467" t="inlineStr">
        <is>
          <t>&lt; 3</t>
        </is>
      </c>
      <c r="H467" s="4" t="n"/>
      <c r="I467" s="4">
        <f>IFERROR(IF(NOT(H467=""),ABS(ROUNDDOWN(F467-H467, 3 - (1+INT(LOG10(ABS(F467)))))),""),IF(AND(F467=0,NOT(F467="")),ABS(ROUNDDOWN(F467-H467,0)),""))</f>
        <v/>
      </c>
      <c r="J467" s="4">
        <f>IF(NOT(I467=""),IF(I467&lt;=G467,"match",IF(I467&lt;3*G467,"partial match","no match")),"")</f>
        <v/>
      </c>
      <c r="K467" t="inlineStr">
        <is>
          <t>ngl_dc_perc_2_5D</t>
        </is>
      </c>
    </row>
    <row r="468" ht="15.75" customHeight="1" s="10">
      <c r="A468" t="inlineStr">
        <is>
          <t>digital phantom</t>
        </is>
      </c>
      <c r="B468" t="inlineStr">
        <is>
          <t>Neighbouring grey level dependence matrix (2.5D)</t>
        </is>
      </c>
      <c r="C468" t="inlineStr">
        <is>
          <t>Grey level variance</t>
        </is>
      </c>
      <c r="E468" t="inlineStr">
        <is>
          <t>&lt; 3</t>
        </is>
      </c>
      <c r="H468" s="4" t="n"/>
      <c r="I468" s="4">
        <f>IFERROR(IF(NOT(H468=""),ABS(ROUNDDOWN(F468-H468, 3 - (1+INT(LOG10(ABS(F468)))))),""),IF(AND(F468=0,NOT(F468="")),ABS(ROUNDDOWN(F468-H468,0)),""))</f>
        <v/>
      </c>
      <c r="J468" s="4">
        <f>IF(NOT(I468=""),IF(I468&lt;=G468,"match",IF(I468&lt;3*G468,"partial match","no match")),"")</f>
        <v/>
      </c>
      <c r="K468" t="inlineStr">
        <is>
          <t>ngl_gl_var_2_5D</t>
        </is>
      </c>
    </row>
    <row r="469" ht="15.75" customHeight="1" s="10">
      <c r="A469" t="inlineStr">
        <is>
          <t>digital phantom</t>
        </is>
      </c>
      <c r="B469" t="inlineStr">
        <is>
          <t>Neighbouring grey level dependence matrix (2.5D)</t>
        </is>
      </c>
      <c r="C469" t="inlineStr">
        <is>
          <t>Dependence count variance</t>
        </is>
      </c>
      <c r="E469" t="inlineStr">
        <is>
          <t>&lt; 3</t>
        </is>
      </c>
      <c r="H469" s="4" t="n"/>
      <c r="I469" s="4">
        <f>IFERROR(IF(NOT(H469=""),ABS(ROUNDDOWN(F469-H469, 3 - (1+INT(LOG10(ABS(F469)))))),""),IF(AND(F469=0,NOT(F469="")),ABS(ROUNDDOWN(F469-H469,0)),""))</f>
        <v/>
      </c>
      <c r="J469" s="4">
        <f>IF(NOT(I469=""),IF(I469&lt;=G469,"match",IF(I469&lt;3*G469,"partial match","no match")),"")</f>
        <v/>
      </c>
      <c r="K469" t="inlineStr">
        <is>
          <t>ngl_dc_var_2_5D</t>
        </is>
      </c>
    </row>
    <row r="470" ht="15.75" customHeight="1" s="10">
      <c r="A470" t="inlineStr">
        <is>
          <t>digital phantom</t>
        </is>
      </c>
      <c r="B470" t="inlineStr">
        <is>
          <t>Neighbouring grey level dependence matrix (2.5D)</t>
        </is>
      </c>
      <c r="C470" t="inlineStr">
        <is>
          <t>Dependence count entropy</t>
        </is>
      </c>
      <c r="E470" t="inlineStr">
        <is>
          <t>&lt; 3</t>
        </is>
      </c>
      <c r="H470" s="4" t="n"/>
      <c r="I470" s="4">
        <f>IFERROR(IF(NOT(H470=""),ABS(ROUNDDOWN(F470-H470, 3 - (1+INT(LOG10(ABS(F470)))))),""),IF(AND(F470=0,NOT(F470="")),ABS(ROUNDDOWN(F470-H470,0)),""))</f>
        <v/>
      </c>
      <c r="J470" s="4">
        <f>IF(NOT(I470=""),IF(I470&lt;=G470,"match",IF(I470&lt;3*G470,"partial match","no match")),"")</f>
        <v/>
      </c>
      <c r="K470" t="inlineStr">
        <is>
          <t>ngl_dc_entr_2_5D</t>
        </is>
      </c>
    </row>
    <row r="471" ht="15.75" customHeight="1" s="10">
      <c r="A471" t="inlineStr">
        <is>
          <t>digital phantom</t>
        </is>
      </c>
      <c r="B471" t="inlineStr">
        <is>
          <t>Neighbouring grey level dependence matrix (2.5D)</t>
        </is>
      </c>
      <c r="C471" t="inlineStr">
        <is>
          <t>Dependence count energy</t>
        </is>
      </c>
      <c r="E471" t="inlineStr">
        <is>
          <t>&lt; 3</t>
        </is>
      </c>
      <c r="H471" s="4" t="n"/>
      <c r="I471" s="4">
        <f>IFERROR(IF(NOT(H471=""),ABS(ROUNDDOWN(F471-H471, 3 - (1+INT(LOG10(ABS(F471)))))),""),IF(AND(F471=0,NOT(F471="")),ABS(ROUNDDOWN(F471-H471,0)),""))</f>
        <v/>
      </c>
      <c r="J471" s="4">
        <f>IF(NOT(I471=""),IF(I471&lt;=G471,"match",IF(I471&lt;3*G471,"partial match","no match")),"")</f>
        <v/>
      </c>
      <c r="K471" t="inlineStr">
        <is>
          <t>ngl_dc_energy_2_5D</t>
        </is>
      </c>
    </row>
    <row r="472" ht="15.75" customHeight="1" s="10">
      <c r="A472" t="inlineStr">
        <is>
          <t>digital phantom</t>
        </is>
      </c>
      <c r="B472" t="inlineStr">
        <is>
          <t>Neighbouring grey level dependence matrix (3D)</t>
        </is>
      </c>
      <c r="C472" t="inlineStr">
        <is>
          <t>Low dependence emphasis</t>
        </is>
      </c>
      <c r="D472" t="inlineStr">
        <is>
          <t>LowDependenceEmphasis</t>
        </is>
      </c>
      <c r="E472" t="inlineStr">
        <is>
          <t>6-9</t>
        </is>
      </c>
      <c r="F472" t="n">
        <v>0.045</v>
      </c>
      <c r="G472" t="n">
        <v>0</v>
      </c>
      <c r="H472" s="4" t="n">
        <v>0.0449963570596314</v>
      </c>
      <c r="I472" s="4">
        <f>IFERROR(IF(NOT(H472=""),ABS(ROUNDDOWN(F472-H472, 3 - (1+INT(LOG10(ABS(F472)))))),""),IF(AND(F472=0,NOT(F472="")),ABS(ROUNDDOWN(F472-H472,0)),""))</f>
        <v/>
      </c>
      <c r="J472" s="4">
        <f>IF(NOT(I472=""),IF(I472&lt;=G472,"match",IF(I472&lt;3*G472,"partial match","no match")),"")</f>
        <v/>
      </c>
      <c r="K472" t="inlineStr">
        <is>
          <t>ngl_lde_3D</t>
        </is>
      </c>
    </row>
    <row r="473" ht="15.75" customHeight="1" s="10">
      <c r="A473" t="inlineStr">
        <is>
          <t>digital phantom</t>
        </is>
      </c>
      <c r="B473" t="inlineStr">
        <is>
          <t>Neighbouring grey level dependence matrix (3D)</t>
        </is>
      </c>
      <c r="C473" t="inlineStr">
        <is>
          <t>High dependence emphasis</t>
        </is>
      </c>
      <c r="D473" t="inlineStr">
        <is>
          <t>HighDependenceEmphasis</t>
        </is>
      </c>
      <c r="E473" t="inlineStr">
        <is>
          <t>6-9</t>
        </is>
      </c>
      <c r="F473" t="n">
        <v>109</v>
      </c>
      <c r="G473" t="n">
        <v>0</v>
      </c>
      <c r="H473" s="4" t="n">
        <v>109</v>
      </c>
      <c r="I473" s="4">
        <f>IFERROR(IF(NOT(H473=""),ABS(ROUNDDOWN(F473-H473, 3 - (1+INT(LOG10(ABS(F473)))))),""),IF(AND(F473=0,NOT(F473="")),ABS(ROUNDDOWN(F473-H473,0)),""))</f>
        <v/>
      </c>
      <c r="J473" s="4">
        <f>IF(NOT(I473=""),IF(I473&lt;=G473,"match",IF(I473&lt;3*G473,"partial match","no match")),"")</f>
        <v/>
      </c>
      <c r="K473" t="inlineStr">
        <is>
          <t>ngl_hde_3D</t>
        </is>
      </c>
    </row>
    <row r="474" ht="15.75" customHeight="1" s="10">
      <c r="A474" t="inlineStr">
        <is>
          <t>digital phantom</t>
        </is>
      </c>
      <c r="B474" t="inlineStr">
        <is>
          <t>Neighbouring grey level dependence matrix (3D)</t>
        </is>
      </c>
      <c r="C474" t="inlineStr">
        <is>
          <t>Low grey level count emphasis</t>
        </is>
      </c>
      <c r="D474" t="inlineStr">
        <is>
          <t>LowGrayLevelCountEmphasis</t>
        </is>
      </c>
      <c r="E474" t="inlineStr">
        <is>
          <t>6-9</t>
        </is>
      </c>
      <c r="F474" t="n">
        <v>0.6929999999999999</v>
      </c>
      <c r="G474" t="n">
        <v>0</v>
      </c>
      <c r="H474" s="4" t="n">
        <v>0.693318318318318</v>
      </c>
      <c r="I474" s="4">
        <f>IFERROR(IF(NOT(H474=""),ABS(ROUNDDOWN(F474-H474, 3 - (1+INT(LOG10(ABS(F474)))))),""),IF(AND(F474=0,NOT(F474="")),ABS(ROUNDDOWN(F474-H474,0)),""))</f>
        <v/>
      </c>
      <c r="J474" s="4">
        <f>IF(NOT(I474=""),IF(I474&lt;=G474,"match",IF(I474&lt;3*G474,"partial match","no match")),"")</f>
        <v/>
      </c>
      <c r="K474" t="inlineStr">
        <is>
          <t>ngl_lgce_3D</t>
        </is>
      </c>
    </row>
    <row r="475" ht="15.75" customHeight="1" s="10">
      <c r="A475" t="inlineStr">
        <is>
          <t>digital phantom</t>
        </is>
      </c>
      <c r="B475" t="inlineStr">
        <is>
          <t>Neighbouring grey level dependence matrix (3D)</t>
        </is>
      </c>
      <c r="C475" t="inlineStr">
        <is>
          <t>High grey level count emphasis</t>
        </is>
      </c>
      <c r="D475" t="inlineStr">
        <is>
          <t>HighGrayLevelCountEmphasis</t>
        </is>
      </c>
      <c r="E475" t="inlineStr">
        <is>
          <t>6-9</t>
        </is>
      </c>
      <c r="F475" t="n">
        <v>7.66</v>
      </c>
      <c r="G475" t="n">
        <v>0</v>
      </c>
      <c r="H475" s="4" t="n">
        <v>7.66216216216216</v>
      </c>
      <c r="I475" s="4">
        <f>IFERROR(IF(NOT(H475=""),ABS(ROUNDDOWN(F475-H475, 3 - (1+INT(LOG10(ABS(F475)))))),""),IF(AND(F475=0,NOT(F475="")),ABS(ROUNDDOWN(F475-H475,0)),""))</f>
        <v/>
      </c>
      <c r="J475" s="4">
        <f>IF(NOT(I475=""),IF(I475&lt;=G475,"match",IF(I475&lt;3*G475,"partial match","no match")),"")</f>
        <v/>
      </c>
      <c r="K475" t="inlineStr">
        <is>
          <t>ngl_hgce_3D</t>
        </is>
      </c>
    </row>
    <row r="476" ht="15.75" customHeight="1" s="10">
      <c r="A476" t="inlineStr">
        <is>
          <t>digital phantom</t>
        </is>
      </c>
      <c r="B476" t="inlineStr">
        <is>
          <t>Neighbouring grey level dependence matrix (3D)</t>
        </is>
      </c>
      <c r="C476" t="inlineStr">
        <is>
          <t>Low dependence low grey level emphasis</t>
        </is>
      </c>
      <c r="D476" t="inlineStr">
        <is>
          <t>LowDependenceLowGrayLevelEmphasis</t>
        </is>
      </c>
      <c r="E476" t="inlineStr">
        <is>
          <t>6-9</t>
        </is>
      </c>
      <c r="F476" t="n">
        <v>0.00963</v>
      </c>
      <c r="G476" t="n">
        <v>0</v>
      </c>
      <c r="H476" s="4" t="n">
        <v>0.00963060759417958</v>
      </c>
      <c r="I476" s="4">
        <f>IFERROR(IF(NOT(H476=""),ABS(ROUNDDOWN(F476-H476, 3 - (1+INT(LOG10(ABS(F476)))))),""),IF(AND(F476=0,NOT(F476="")),ABS(ROUNDDOWN(F476-H476,0)),""))</f>
        <v/>
      </c>
      <c r="J476" s="4">
        <f>IF(NOT(I476=""),IF(I476&lt;=G476,"match",IF(I476&lt;3*G476,"partial match","no match")),"")</f>
        <v/>
      </c>
      <c r="K476" t="inlineStr">
        <is>
          <t>ngl_ldlge_3D</t>
        </is>
      </c>
    </row>
    <row r="477" ht="15.75" customHeight="1" s="10">
      <c r="A477" t="inlineStr">
        <is>
          <t>digital phantom</t>
        </is>
      </c>
      <c r="B477" t="inlineStr">
        <is>
          <t>Neighbouring grey level dependence matrix (3D)</t>
        </is>
      </c>
      <c r="C477" t="inlineStr">
        <is>
          <t>Low dependence high grey level emphasis</t>
        </is>
      </c>
      <c r="D477" t="inlineStr">
        <is>
          <t>LowDependenceHighGrayLevelEmphasis</t>
        </is>
      </c>
      <c r="E477" t="inlineStr">
        <is>
          <t>6-9</t>
        </is>
      </c>
      <c r="F477" t="n">
        <v>0.736</v>
      </c>
      <c r="G477" t="n">
        <v>0</v>
      </c>
      <c r="H477" s="4" t="n">
        <v>0.736171588413434</v>
      </c>
      <c r="I477" s="4">
        <f>IFERROR(IF(NOT(H477=""),ABS(ROUNDDOWN(F477-H477, 3 - (1+INT(LOG10(ABS(F477)))))),""),IF(AND(F477=0,NOT(F477="")),ABS(ROUNDDOWN(F477-H477,0)),""))</f>
        <v/>
      </c>
      <c r="J477" s="4">
        <f>IF(NOT(I477=""),IF(I477&lt;=G477,"match",IF(I477&lt;3*G477,"partial match","no match")),"")</f>
        <v/>
      </c>
      <c r="K477" t="inlineStr">
        <is>
          <t>ngl_ldhge_3D</t>
        </is>
      </c>
    </row>
    <row r="478" ht="15.75" customHeight="1" s="10">
      <c r="A478" t="inlineStr">
        <is>
          <t>digital phantom</t>
        </is>
      </c>
      <c r="B478" s="11" t="inlineStr">
        <is>
          <t>Neighbouring grey level dependence matrix (3D)</t>
        </is>
      </c>
      <c r="C478" t="inlineStr">
        <is>
          <t>High dependence low grey level emphasis</t>
        </is>
      </c>
      <c r="D478" s="11" t="inlineStr">
        <is>
          <t>HighDependenceLowGrayLevelEmphasis</t>
        </is>
      </c>
      <c r="E478" t="inlineStr">
        <is>
          <t>6-9</t>
        </is>
      </c>
      <c r="F478" t="n">
        <v>102</v>
      </c>
      <c r="G478" t="n">
        <v>0</v>
      </c>
      <c r="H478" s="4" t="n">
        <v>102.450825825825</v>
      </c>
      <c r="I478" s="4">
        <f>IFERROR(IF(NOT(H478=""),ABS(ROUNDDOWN(F478-H478, 3 - (1+INT(LOG10(ABS(F478)))))),""),IF(AND(F478=0,NOT(F478="")),ABS(ROUNDDOWN(F478-H478,0)),""))</f>
        <v/>
      </c>
      <c r="J478" s="4">
        <f>IF(NOT(I478=""),IF(I478&lt;=G478,"match",IF(I478&lt;3*G478,"partial match","no match")),"")</f>
        <v/>
      </c>
      <c r="K478" t="inlineStr">
        <is>
          <t>ngl_hdlge_3D</t>
        </is>
      </c>
    </row>
    <row r="479" ht="15.75" customHeight="1" s="10">
      <c r="A479" t="inlineStr">
        <is>
          <t>digital phantom</t>
        </is>
      </c>
      <c r="B479" t="inlineStr">
        <is>
          <t>Neighbouring grey level dependence matrix (3D)</t>
        </is>
      </c>
      <c r="C479" t="inlineStr">
        <is>
          <t>High dependence high grey level emphasis</t>
        </is>
      </c>
      <c r="D479" t="inlineStr">
        <is>
          <t>HighDependenceHighGrayLevelEmphasis</t>
        </is>
      </c>
      <c r="E479" t="inlineStr">
        <is>
          <t>6-9</t>
        </is>
      </c>
      <c r="F479" t="n">
        <v>235</v>
      </c>
      <c r="G479" t="n">
        <v>0</v>
      </c>
      <c r="H479" s="4" t="n">
        <v>234.986486486486</v>
      </c>
      <c r="I479" s="4">
        <f>IFERROR(IF(NOT(H479=""),ABS(ROUNDDOWN(F479-H479, 3 - (1+INT(LOG10(ABS(F479)))))),""),IF(AND(F479=0,NOT(F479="")),ABS(ROUNDDOWN(F479-H479,0)),""))</f>
        <v/>
      </c>
      <c r="J479" s="4">
        <f>IF(NOT(I479=""),IF(I479&lt;=G479,"match",IF(I479&lt;3*G479,"partial match","no match")),"")</f>
        <v/>
      </c>
      <c r="K479" t="inlineStr">
        <is>
          <t>ngl_hdhge_3D</t>
        </is>
      </c>
    </row>
    <row r="480" ht="15.75" customHeight="1" s="10">
      <c r="A480" t="inlineStr">
        <is>
          <t>digital phantom</t>
        </is>
      </c>
      <c r="B480" t="inlineStr">
        <is>
          <t>Neighbouring grey level dependence matrix (3D)</t>
        </is>
      </c>
      <c r="C480" t="inlineStr">
        <is>
          <t>Grey level non-uniformity</t>
        </is>
      </c>
      <c r="D480" t="inlineStr">
        <is>
          <t>GrayLevelNonUniformity</t>
        </is>
      </c>
      <c r="E480" t="inlineStr">
        <is>
          <t>6-9</t>
        </is>
      </c>
      <c r="F480" t="n">
        <v>37.9</v>
      </c>
      <c r="G480" t="n">
        <v>0</v>
      </c>
      <c r="H480" s="4" t="n">
        <v>37.9189189189189</v>
      </c>
      <c r="I480" s="4">
        <f>IFERROR(IF(NOT(H480=""),ABS(ROUNDDOWN(F480-H480, 3 - (1+INT(LOG10(ABS(F480)))))),""),IF(AND(F480=0,NOT(F480="")),ABS(ROUNDDOWN(F480-H480,0)),""))</f>
        <v/>
      </c>
      <c r="J480" s="4">
        <f>IF(NOT(I480=""),IF(I480&lt;=G480,"match",IF(I480&lt;3*G480,"partial match","no match")),"")</f>
        <v/>
      </c>
      <c r="K480" t="inlineStr">
        <is>
          <t>ngl_glnu_3D</t>
        </is>
      </c>
    </row>
    <row r="481" ht="15.75" customHeight="1" s="10">
      <c r="A481" t="inlineStr">
        <is>
          <t>digital phantom</t>
        </is>
      </c>
      <c r="B481" t="inlineStr">
        <is>
          <t>Neighbouring grey level dependence matrix (3D)</t>
        </is>
      </c>
      <c r="C481" t="inlineStr">
        <is>
          <t>Grey level non-uniformity normalised</t>
        </is>
      </c>
      <c r="D481" t="inlineStr">
        <is>
          <t>GrayLevelNonUniformityNormalized</t>
        </is>
      </c>
      <c r="E481" t="inlineStr">
        <is>
          <t>6-9</t>
        </is>
      </c>
      <c r="F481" t="n">
        <v>0.512</v>
      </c>
      <c r="G481" t="n">
        <v>0</v>
      </c>
      <c r="H481" s="4" t="n">
        <v>0.5124178232286341</v>
      </c>
      <c r="I481" s="4">
        <f>IFERROR(IF(NOT(H481=""),ABS(ROUNDDOWN(F481-H481, 3 - (1+INT(LOG10(ABS(F481)))))),""),IF(AND(F481=0,NOT(F481="")),ABS(ROUNDDOWN(F481-H481,0)),""))</f>
        <v/>
      </c>
      <c r="J481" s="4">
        <f>IF(NOT(I481=""),IF(I481&lt;=G481,"match",IF(I481&lt;3*G481,"partial match","no match")),"")</f>
        <v/>
      </c>
      <c r="K481" t="inlineStr">
        <is>
          <t>ngl_glnu_norm_3D</t>
        </is>
      </c>
    </row>
    <row r="482" ht="15.75" customHeight="1" s="10">
      <c r="A482" t="inlineStr">
        <is>
          <t>digital phantom</t>
        </is>
      </c>
      <c r="B482" t="inlineStr">
        <is>
          <t>Neighbouring grey level dependence matrix (3D)</t>
        </is>
      </c>
      <c r="C482" t="inlineStr">
        <is>
          <t>Dependence count non-uniformity</t>
        </is>
      </c>
      <c r="D482" t="inlineStr">
        <is>
          <t>DependenceCountNonUniformity</t>
        </is>
      </c>
      <c r="E482" t="inlineStr">
        <is>
          <t>6-9</t>
        </is>
      </c>
      <c r="F482" t="n">
        <v>4.86</v>
      </c>
      <c r="G482" t="n">
        <v>0</v>
      </c>
      <c r="H482" s="4" t="n">
        <v>4.86486486486486</v>
      </c>
      <c r="I482" s="4">
        <f>IFERROR(IF(NOT(H482=""),ABS(ROUNDDOWN(F482-H482, 3 - (1+INT(LOG10(ABS(F482)))))),""),IF(AND(F482=0,NOT(F482="")),ABS(ROUNDDOWN(F482-H482,0)),""))</f>
        <v/>
      </c>
      <c r="J482" s="4">
        <f>IF(NOT(I482=""),IF(I482&lt;=G482,"match",IF(I482&lt;3*G482,"partial match","no match")),"")</f>
        <v/>
      </c>
      <c r="K482" t="inlineStr">
        <is>
          <t>ngl_dcnu_3D</t>
        </is>
      </c>
    </row>
    <row r="483" ht="15.75" customHeight="1" s="10">
      <c r="A483" t="inlineStr">
        <is>
          <t>digital phantom</t>
        </is>
      </c>
      <c r="B483" t="inlineStr">
        <is>
          <t>Neighbouring grey level dependence matrix (3D)</t>
        </is>
      </c>
      <c r="C483" t="inlineStr">
        <is>
          <t>Dependence count non-uniformity normalised</t>
        </is>
      </c>
      <c r="D483" t="inlineStr">
        <is>
          <t>DependenceCountNonUniformityNormalized</t>
        </is>
      </c>
      <c r="E483" t="inlineStr">
        <is>
          <t>6-9</t>
        </is>
      </c>
      <c r="F483" t="n">
        <v>0.06569999999999999</v>
      </c>
      <c r="G483" t="n">
        <v>0</v>
      </c>
      <c r="H483" s="4" t="n">
        <v>0.0657414170927684</v>
      </c>
      <c r="I483" s="4">
        <f>IFERROR(IF(NOT(H483=""),ABS(ROUNDDOWN(F483-H483, 3 - (1+INT(LOG10(ABS(F483)))))),""),IF(AND(F483=0,NOT(F483="")),ABS(ROUNDDOWN(F483-H483,0)),""))</f>
        <v/>
      </c>
      <c r="J483" s="4">
        <f>IF(NOT(I483=""),IF(I483&lt;=G483,"match",IF(I483&lt;3*G483,"partial match","no match")),"")</f>
        <v/>
      </c>
      <c r="K483" t="inlineStr">
        <is>
          <t>ngl_dcnu_norm_3D</t>
        </is>
      </c>
    </row>
    <row r="484" ht="15.75" customHeight="1" s="10">
      <c r="A484" t="inlineStr">
        <is>
          <t>digital phantom</t>
        </is>
      </c>
      <c r="B484" t="inlineStr">
        <is>
          <t>Neighbouring grey level dependence matrix (3D)</t>
        </is>
      </c>
      <c r="C484" t="inlineStr">
        <is>
          <t>Dependence count percentage</t>
        </is>
      </c>
      <c r="D484" t="inlineStr">
        <is>
          <t>DependenceCountPercentage</t>
        </is>
      </c>
      <c r="E484" t="inlineStr">
        <is>
          <t>6-9</t>
        </is>
      </c>
      <c r="F484" t="n">
        <v>1</v>
      </c>
      <c r="G484" t="n">
        <v>0</v>
      </c>
      <c r="H484" s="4" t="n">
        <v>1</v>
      </c>
      <c r="I484" s="4">
        <f>IFERROR(IF(NOT(H484=""),ABS(ROUNDDOWN(F484-H484, 3 - (1+INT(LOG10(ABS(F484)))))),""),IF(AND(F484=0,NOT(F484="")),ABS(ROUNDDOWN(F484-H485,0)),""))</f>
        <v/>
      </c>
      <c r="J484" s="4">
        <f>IF(NOT(I484=""),IF(I484&lt;=G484,"match",IF(I484&lt;3*G484,"partial match","no match")),"")</f>
        <v/>
      </c>
      <c r="K484" t="inlineStr">
        <is>
          <t>ngl_dc_perc_3D</t>
        </is>
      </c>
    </row>
    <row r="485" ht="15.75" customHeight="1" s="10">
      <c r="A485" t="inlineStr">
        <is>
          <t>digital phantom</t>
        </is>
      </c>
      <c r="B485" t="inlineStr">
        <is>
          <t>Neighbouring grey level dependence matrix (3D)</t>
        </is>
      </c>
      <c r="C485" t="inlineStr">
        <is>
          <t>Grey level variance</t>
        </is>
      </c>
      <c r="D485" t="inlineStr">
        <is>
          <t>GrayLevelVariance</t>
        </is>
      </c>
      <c r="E485" t="inlineStr">
        <is>
          <t>6-9</t>
        </is>
      </c>
      <c r="F485" t="n">
        <v>3.05</v>
      </c>
      <c r="G485" t="n">
        <v>0</v>
      </c>
      <c r="H485" s="4" t="n">
        <v>3.04547114682249</v>
      </c>
      <c r="I485" s="4" t="n">
        <v>0</v>
      </c>
      <c r="J485" s="4">
        <f>IF(NOT(I485=""),IF(I485&lt;=G485,"match",IF(I485&lt;3*G485,"partial match","no match")),"")</f>
        <v/>
      </c>
      <c r="K485" t="inlineStr">
        <is>
          <t>ngl_gl_var_3D</t>
        </is>
      </c>
    </row>
    <row r="486" ht="15.75" customHeight="1" s="10">
      <c r="A486" t="inlineStr">
        <is>
          <t>digital phantom</t>
        </is>
      </c>
      <c r="B486" t="inlineStr">
        <is>
          <t>Neighbouring grey level dependence matrix (3D)</t>
        </is>
      </c>
      <c r="C486" t="inlineStr">
        <is>
          <t>Dependence count variance</t>
        </is>
      </c>
      <c r="D486" t="inlineStr">
        <is>
          <t>DependenceCountVariance</t>
        </is>
      </c>
      <c r="E486" t="inlineStr">
        <is>
          <t>6-9</t>
        </is>
      </c>
      <c r="F486" t="n">
        <v>22.1</v>
      </c>
      <c r="G486" t="n">
        <v>0</v>
      </c>
      <c r="H486" s="4" t="n">
        <v>22.0569758948137</v>
      </c>
      <c r="I486" s="4" t="n">
        <v>0</v>
      </c>
      <c r="J486" s="4">
        <f>IF(NOT(I486=""),IF(I486&lt;=G486,"match",IF(I486&lt;3*G486,"partial match","no match")),"")</f>
        <v/>
      </c>
      <c r="K486" t="inlineStr">
        <is>
          <t>ngl_dc_var_3D</t>
        </is>
      </c>
    </row>
    <row r="487" ht="15.75" customHeight="1" s="10">
      <c r="A487" t="inlineStr">
        <is>
          <t>digital phantom</t>
        </is>
      </c>
      <c r="B487" t="inlineStr">
        <is>
          <t>Neighbouring grey level dependence matrix (3D)</t>
        </is>
      </c>
      <c r="C487" t="inlineStr">
        <is>
          <t>Dependence count entropy</t>
        </is>
      </c>
      <c r="D487" t="inlineStr">
        <is>
          <t>DependenceCountEntropy</t>
        </is>
      </c>
      <c r="E487" t="inlineStr">
        <is>
          <t>6-9</t>
        </is>
      </c>
      <c r="F487" t="n">
        <v>4.4</v>
      </c>
      <c r="G487" t="n">
        <v>0</v>
      </c>
      <c r="H487" s="4" t="n">
        <v>4.40373837991568</v>
      </c>
      <c r="I487" s="4" t="n">
        <v>0</v>
      </c>
      <c r="J487" s="4">
        <f>IF(NOT(I487=""),IF(I487&lt;=G487,"match",IF(I487&lt;3*G487,"partial match","no match")),"")</f>
        <v/>
      </c>
      <c r="K487" t="inlineStr">
        <is>
          <t>ngl_dc_entr_3D</t>
        </is>
      </c>
    </row>
    <row r="488" ht="15.75" customHeight="1" s="10">
      <c r="A488" t="inlineStr">
        <is>
          <t>digital phantom</t>
        </is>
      </c>
      <c r="B488" t="inlineStr">
        <is>
          <t>Neighbouring grey level dependence matrix (3D)</t>
        </is>
      </c>
      <c r="C488" t="inlineStr">
        <is>
          <t>Dependence count energy</t>
        </is>
      </c>
      <c r="D488" t="inlineStr">
        <is>
          <t>DependenceCountEnergy</t>
        </is>
      </c>
      <c r="E488" t="inlineStr">
        <is>
          <t>6-9</t>
        </is>
      </c>
      <c r="F488" t="n">
        <v>0.0533</v>
      </c>
      <c r="G488" t="n">
        <v>0</v>
      </c>
      <c r="H488" s="4" t="n">
        <v>0.0533235938641344</v>
      </c>
      <c r="I488" s="4" t="n">
        <v>0</v>
      </c>
      <c r="J488" s="4">
        <f>IF(NOT(I488=""),IF(I488&lt;=G488,"match",IF(I488&lt;3*G488,"partial match","no match")),"")</f>
        <v/>
      </c>
      <c r="K488" t="inlineStr">
        <is>
          <t>ngl_dc_energy_3D</t>
        </is>
      </c>
    </row>
  </sheetData>
  <conditionalFormatting sqref="J2:J488">
    <cfRule type="containsBlanks" priority="1" dxfId="3">
      <formula>LEN(TRIM(J2))=0</formula>
    </cfRule>
    <cfRule type="cellIs" priority="2" operator="equal" dxfId="2">
      <formula>"match"</formula>
    </cfRule>
    <cfRule type="cellIs" priority="3" operator="equal" dxfId="1">
      <formula>"partial match"</formula>
    </cfRule>
    <cfRule type="cellIs" priority="4" operator="equal" dxfId="0">
      <formula>"no match"</formula>
    </cfRule>
  </conditionalFormatting>
  <pageMargins left="0.7" right="0.7" top="0.787401575" bottom="0.7874015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412"/>
  <sheetViews>
    <sheetView topLeftCell="A55" workbookViewId="0">
      <selection activeCell="B62" sqref="B62"/>
    </sheetView>
  </sheetViews>
  <sheetFormatPr baseColWidth="8" defaultColWidth="14.42578125" defaultRowHeight="15.75" customHeight="1"/>
  <cols>
    <col width="43" customWidth="1" style="10" min="2" max="2"/>
    <col width="50.140625" customWidth="1" style="10" min="3" max="3"/>
    <col width="29" customWidth="1" style="10" min="4" max="4"/>
    <col width="30.42578125" customWidth="1" style="10" min="11" max="11"/>
  </cols>
  <sheetData>
    <row r="1" ht="15" customHeight="1" s="10">
      <c r="A1" s="1" t="inlineStr">
        <is>
          <t>data_set</t>
        </is>
      </c>
      <c r="B1" s="1" t="inlineStr">
        <is>
          <t>family</t>
        </is>
      </c>
      <c r="C1" s="1" t="inlineStr">
        <is>
          <t>image_biomarker</t>
        </is>
      </c>
      <c r="D1" s="1" t="inlineStr">
        <is>
          <t>RadiomicsJ_NAME</t>
        </is>
      </c>
      <c r="E1" s="1" t="inlineStr">
        <is>
          <t>consensus</t>
        </is>
      </c>
      <c r="F1" s="1" t="inlineStr">
        <is>
          <t>benchmark_value</t>
        </is>
      </c>
      <c r="G1" s="1" t="inlineStr">
        <is>
          <t>tolerance</t>
        </is>
      </c>
      <c r="H1" s="1" t="inlineStr">
        <is>
          <t>your_result</t>
        </is>
      </c>
      <c r="I1" s="1" t="inlineStr">
        <is>
          <t>difference</t>
        </is>
      </c>
      <c r="J1" s="1" t="inlineStr">
        <is>
          <t>check</t>
        </is>
      </c>
      <c r="K1" s="1" t="inlineStr">
        <is>
          <t>tag</t>
        </is>
      </c>
      <c r="L1" t="inlineStr">
        <is>
          <t>reference_status</t>
        </is>
      </c>
    </row>
    <row r="2" ht="15" customHeight="1" s="10">
      <c r="A2" t="inlineStr">
        <is>
          <t>configuration A</t>
        </is>
      </c>
      <c r="B2" t="inlineStr">
        <is>
          <t>Diagnostics-initial image</t>
        </is>
      </c>
      <c r="C2" t="inlineStr">
        <is>
          <t>Image dimension x</t>
        </is>
      </c>
      <c r="E2" t="inlineStr">
        <is>
          <t>≥ 10</t>
        </is>
      </c>
      <c r="F2" t="n">
        <v>204</v>
      </c>
      <c r="G2" t="n">
        <v>0</v>
      </c>
      <c r="H2" s="9" t="n"/>
      <c r="I2" s="4">
        <f>IFERROR(IF(NOT(H2=""),ABS(ROUNDDOWN(F2-H2, 3 - (1+INT(LOG10(ABS(F2)))))),""),IF(AND(F2=0,NOT(F2="")),ABS(ROUNDDOWN(F2-H2,0)),""))</f>
        <v/>
      </c>
      <c r="J2" s="4">
        <f>IF(NOT(I2=""),IF(I2&lt;=G2,"match",IF(I2&lt;3*G2,"partial match","no match")),"")</f>
        <v/>
      </c>
      <c r="K2" t="inlineStr">
        <is>
          <t>img_dim_x_init_img</t>
        </is>
      </c>
    </row>
    <row r="3" ht="15" customHeight="1" s="10">
      <c r="A3" t="inlineStr">
        <is>
          <t>configuration A</t>
        </is>
      </c>
      <c r="B3" t="inlineStr">
        <is>
          <t>Diagnostics-initial image</t>
        </is>
      </c>
      <c r="C3" t="inlineStr">
        <is>
          <t>Image dimension y</t>
        </is>
      </c>
      <c r="E3" t="inlineStr">
        <is>
          <t>≥ 10</t>
        </is>
      </c>
      <c r="F3" t="n">
        <v>201</v>
      </c>
      <c r="G3" t="n">
        <v>0</v>
      </c>
      <c r="H3" s="9" t="n"/>
      <c r="I3" s="4">
        <f>IFERROR(IF(NOT(H3=""),ABS(ROUNDDOWN(F3-H3, 3 - (1+INT(LOG10(ABS(F3)))))),""),IF(AND(F3=0,NOT(F3="")),ABS(ROUNDDOWN(F3-H3,0)),""))</f>
        <v/>
      </c>
      <c r="J3" s="4">
        <f>IF(NOT(I3=""),IF(I3&lt;=G3,"match",IF(I3&lt;3*G3,"partial match","no match")),"")</f>
        <v/>
      </c>
      <c r="K3" t="inlineStr">
        <is>
          <t>img_dim_y_init_img</t>
        </is>
      </c>
    </row>
    <row r="4" ht="15" customHeight="1" s="10">
      <c r="A4" t="inlineStr">
        <is>
          <t>configuration A</t>
        </is>
      </c>
      <c r="B4" t="inlineStr">
        <is>
          <t>Diagnostics-initial image</t>
        </is>
      </c>
      <c r="C4" t="inlineStr">
        <is>
          <t>Image dimension z</t>
        </is>
      </c>
      <c r="E4" t="inlineStr">
        <is>
          <t>≥ 10</t>
        </is>
      </c>
      <c r="F4" t="n">
        <v>60</v>
      </c>
      <c r="G4" t="n">
        <v>0</v>
      </c>
      <c r="H4" s="9" t="n"/>
      <c r="I4" s="4">
        <f>IFERROR(IF(NOT(H4=""),ABS(ROUNDDOWN(F4-H4, 3 - (1+INT(LOG10(ABS(F4)))))),""),IF(AND(F4=0,NOT(F4="")),ABS(ROUNDDOWN(F4-H4,0)),""))</f>
        <v/>
      </c>
      <c r="J4" s="4">
        <f>IF(NOT(I4=""),IF(I4&lt;=G4,"match",IF(I4&lt;3*G4,"partial match","no match")),"")</f>
        <v/>
      </c>
      <c r="K4" t="inlineStr">
        <is>
          <t>img_dim_z_init_img</t>
        </is>
      </c>
    </row>
    <row r="5" ht="15" customHeight="1" s="10">
      <c r="A5" t="inlineStr">
        <is>
          <t>configuration A</t>
        </is>
      </c>
      <c r="B5" t="inlineStr">
        <is>
          <t>Diagnostics-initial image</t>
        </is>
      </c>
      <c r="C5" t="inlineStr">
        <is>
          <t>Voxel dimension x</t>
        </is>
      </c>
      <c r="E5" t="inlineStr">
        <is>
          <t>≥ 10</t>
        </is>
      </c>
      <c r="F5" t="n">
        <v>0.977</v>
      </c>
      <c r="G5" t="n">
        <v>0</v>
      </c>
      <c r="H5" s="9" t="n"/>
      <c r="I5" s="4">
        <f>IFERROR(IF(NOT(H5=""),ABS(ROUNDDOWN(F5-H5, 3 - (1+INT(LOG10(ABS(F5)))))),""),IF(AND(F5=0,NOT(F5="")),ABS(ROUNDDOWN(F5-H5,0)),""))</f>
        <v/>
      </c>
      <c r="J5" s="4">
        <f>IF(NOT(I5=""),IF(I5&lt;=G5,"match",IF(I5&lt;3*G5,"partial match","no match")),"")</f>
        <v/>
      </c>
      <c r="K5" t="inlineStr">
        <is>
          <t>vox_dim_x_init_img</t>
        </is>
      </c>
    </row>
    <row r="6" ht="15" customHeight="1" s="10">
      <c r="A6" t="inlineStr">
        <is>
          <t>configuration A</t>
        </is>
      </c>
      <c r="B6" t="inlineStr">
        <is>
          <t>Diagnostics-initial image</t>
        </is>
      </c>
      <c r="C6" t="inlineStr">
        <is>
          <t>Voxel dimension y</t>
        </is>
      </c>
      <c r="E6" t="inlineStr">
        <is>
          <t>≥ 10</t>
        </is>
      </c>
      <c r="F6" t="n">
        <v>0.977</v>
      </c>
      <c r="G6" t="n">
        <v>0</v>
      </c>
      <c r="H6" s="9" t="n"/>
      <c r="I6" s="4">
        <f>IFERROR(IF(NOT(H6=""),ABS(ROUNDDOWN(F6-H6, 3 - (1+INT(LOG10(ABS(F6)))))),""),IF(AND(F6=0,NOT(F6="")),ABS(ROUNDDOWN(F6-H6,0)),""))</f>
        <v/>
      </c>
      <c r="J6" s="4">
        <f>IF(NOT(I6=""),IF(I6&lt;=G6,"match",IF(I6&lt;3*G6,"partial match","no match")),"")</f>
        <v/>
      </c>
      <c r="K6" t="inlineStr">
        <is>
          <t>vox_dim_y_init_img</t>
        </is>
      </c>
    </row>
    <row r="7" ht="15" customHeight="1" s="10">
      <c r="A7" t="inlineStr">
        <is>
          <t>configuration A</t>
        </is>
      </c>
      <c r="B7" t="inlineStr">
        <is>
          <t>Diagnostics-initial image</t>
        </is>
      </c>
      <c r="C7" t="inlineStr">
        <is>
          <t>Voxel dimension z</t>
        </is>
      </c>
      <c r="E7" t="inlineStr">
        <is>
          <t>≥ 10</t>
        </is>
      </c>
      <c r="F7" t="n">
        <v>3</v>
      </c>
      <c r="G7" t="n">
        <v>0</v>
      </c>
      <c r="H7" s="9" t="n"/>
      <c r="I7" s="4">
        <f>IFERROR(IF(NOT(H7=""),ABS(ROUNDDOWN(F7-H7, 3 - (1+INT(LOG10(ABS(F7)))))),""),IF(AND(F7=0,NOT(F7="")),ABS(ROUNDDOWN(F7-H7,0)),""))</f>
        <v/>
      </c>
      <c r="J7" s="4">
        <f>IF(NOT(I7=""),IF(I7&lt;=G7,"match",IF(I7&lt;3*G7,"partial match","no match")),"")</f>
        <v/>
      </c>
      <c r="K7" t="inlineStr">
        <is>
          <t>vox_dim_z_init_img</t>
        </is>
      </c>
    </row>
    <row r="8" ht="15" customHeight="1" s="10">
      <c r="A8" t="inlineStr">
        <is>
          <t>configuration A</t>
        </is>
      </c>
      <c r="B8" t="inlineStr">
        <is>
          <t>Diagnostics-initial image</t>
        </is>
      </c>
      <c r="C8" t="inlineStr">
        <is>
          <t>Mean intensity</t>
        </is>
      </c>
      <c r="E8" t="inlineStr">
        <is>
          <t>≥ 10</t>
        </is>
      </c>
      <c r="F8" t="n">
        <v>-266</v>
      </c>
      <c r="G8" t="n">
        <v>0</v>
      </c>
      <c r="H8" s="9" t="n"/>
      <c r="I8" s="4">
        <f>IFERROR(IF(NOT(H8=""),ABS(ROUNDDOWN(F8-H8, 3 - (1+INT(LOG10(ABS(F8)))))),""),IF(AND(F8=0,NOT(F8="")),ABS(ROUNDDOWN(F8-H8,0)),""))</f>
        <v/>
      </c>
      <c r="J8" s="4">
        <f>IF(NOT(I8=""),IF(I8&lt;=G8,"match",IF(I8&lt;3*G8,"partial match","no match")),"")</f>
        <v/>
      </c>
      <c r="K8" t="inlineStr">
        <is>
          <t>mean_int_init_img</t>
        </is>
      </c>
    </row>
    <row r="9" ht="15" customHeight="1" s="10">
      <c r="A9" t="inlineStr">
        <is>
          <t>configuration A</t>
        </is>
      </c>
      <c r="B9" t="inlineStr">
        <is>
          <t>Diagnostics-initial image</t>
        </is>
      </c>
      <c r="C9" t="inlineStr">
        <is>
          <t>Minimum intensity</t>
        </is>
      </c>
      <c r="E9" t="inlineStr">
        <is>
          <t>≥ 10</t>
        </is>
      </c>
      <c r="F9" t="n">
        <v>-1000</v>
      </c>
      <c r="G9" t="n">
        <v>0</v>
      </c>
      <c r="H9" s="9" t="n"/>
      <c r="I9" s="4">
        <f>IFERROR(IF(NOT(H9=""),ABS(ROUNDDOWN(F9-H9, 3 - (1+INT(LOG10(ABS(F9)))))),""),IF(AND(F9=0,NOT(F9="")),ABS(ROUNDDOWN(F9-H9,0)),""))</f>
        <v/>
      </c>
      <c r="J9" s="4">
        <f>IF(NOT(I9=""),IF(I9&lt;=G9,"match",IF(I9&lt;3*G9,"partial match","no match")),"")</f>
        <v/>
      </c>
      <c r="K9" t="inlineStr">
        <is>
          <t>min_int_init_img</t>
        </is>
      </c>
    </row>
    <row r="10" ht="15" customHeight="1" s="10">
      <c r="A10" t="inlineStr">
        <is>
          <t>configuration A</t>
        </is>
      </c>
      <c r="B10" t="inlineStr">
        <is>
          <t>Diagnostics-initial image</t>
        </is>
      </c>
      <c r="C10" t="inlineStr">
        <is>
          <t>Maximum intensity</t>
        </is>
      </c>
      <c r="E10" t="inlineStr">
        <is>
          <t>≥ 10</t>
        </is>
      </c>
      <c r="F10" t="n">
        <v>3065</v>
      </c>
      <c r="G10" t="n">
        <v>0</v>
      </c>
      <c r="H10" s="9" t="n"/>
      <c r="I10" s="4">
        <f>IFERROR(IF(NOT(H10=""),ABS(ROUNDDOWN(F10-H10, 3 - (1+INT(LOG10(ABS(F10)))))),""),IF(AND(F10=0,NOT(F10="")),ABS(ROUNDDOWN(F10-H10,0)),""))</f>
        <v/>
      </c>
      <c r="J10" s="4">
        <f>IF(NOT(I10=""),IF(I10&lt;=G10,"match",IF(I10&lt;3*G10,"partial match","no match")),"")</f>
        <v/>
      </c>
      <c r="K10" t="inlineStr">
        <is>
          <t>max_int_init_img</t>
        </is>
      </c>
    </row>
    <row r="11" ht="15" customHeight="1" s="10">
      <c r="A11" t="inlineStr">
        <is>
          <t>configuration A</t>
        </is>
      </c>
      <c r="B11" t="inlineStr">
        <is>
          <t>Diagnostics-interpolated image</t>
        </is>
      </c>
      <c r="C11" t="inlineStr">
        <is>
          <t>Image dimension x</t>
        </is>
      </c>
      <c r="E11" t="inlineStr">
        <is>
          <t>6-9</t>
        </is>
      </c>
      <c r="F11" t="n">
        <v>204</v>
      </c>
      <c r="G11" t="n">
        <v>1</v>
      </c>
      <c r="H11" s="9" t="n"/>
      <c r="I11" s="4">
        <f>IFERROR(IF(NOT(H11=""),ABS(ROUNDDOWN(F11-H11, 3 - (1+INT(LOG10(ABS(F11)))))),""),IF(AND(F11=0,NOT(F11="")),ABS(ROUNDDOWN(F11-H11,0)),""))</f>
        <v/>
      </c>
      <c r="J11" s="4">
        <f>IF(NOT(I11=""),IF(I11&lt;=G11,"match",IF(I11&lt;3*G11,"partial match","no match")),"")</f>
        <v/>
      </c>
      <c r="K11" t="inlineStr">
        <is>
          <t>img_dim_x_interp_img</t>
        </is>
      </c>
    </row>
    <row r="12" ht="15" customHeight="1" s="10">
      <c r="A12" t="inlineStr">
        <is>
          <t>configuration A</t>
        </is>
      </c>
      <c r="B12" t="inlineStr">
        <is>
          <t>Diagnostics-interpolated image</t>
        </is>
      </c>
      <c r="C12" t="inlineStr">
        <is>
          <t>Image dimension y</t>
        </is>
      </c>
      <c r="E12" t="inlineStr">
        <is>
          <t>6-9</t>
        </is>
      </c>
      <c r="F12" t="n">
        <v>201</v>
      </c>
      <c r="G12" t="n">
        <v>1</v>
      </c>
      <c r="H12" s="9" t="n"/>
      <c r="I12" s="4">
        <f>IFERROR(IF(NOT(H12=""),ABS(ROUNDDOWN(F12-H12, 3 - (1+INT(LOG10(ABS(F12)))))),""),IF(AND(F12=0,NOT(F12="")),ABS(ROUNDDOWN(F12-H12,0)),""))</f>
        <v/>
      </c>
      <c r="J12" s="4">
        <f>IF(NOT(I12=""),IF(I12&lt;=G12,"match",IF(I12&lt;3*G12,"partial match","no match")),"")</f>
        <v/>
      </c>
      <c r="K12" t="inlineStr">
        <is>
          <t>img_dim_y_interp_img</t>
        </is>
      </c>
    </row>
    <row r="13" ht="15" customHeight="1" s="10">
      <c r="A13" t="inlineStr">
        <is>
          <t>configuration A</t>
        </is>
      </c>
      <c r="B13" t="inlineStr">
        <is>
          <t>Diagnostics-interpolated image</t>
        </is>
      </c>
      <c r="C13" t="inlineStr">
        <is>
          <t>Image dimension z</t>
        </is>
      </c>
      <c r="E13" t="inlineStr">
        <is>
          <t>6-9</t>
        </is>
      </c>
      <c r="F13" t="n">
        <v>60</v>
      </c>
      <c r="G13" t="n">
        <v>0</v>
      </c>
      <c r="H13" s="9" t="n"/>
      <c r="I13" s="4">
        <f>IFERROR(IF(NOT(H13=""),ABS(ROUNDDOWN(F13-H13, 3 - (1+INT(LOG10(ABS(F13)))))),""),IF(AND(F13=0,NOT(F13="")),ABS(ROUNDDOWN(F13-H13,0)),""))</f>
        <v/>
      </c>
      <c r="J13" s="4">
        <f>IF(NOT(I13=""),IF(I13&lt;=G13,"match",IF(I13&lt;3*G13,"partial match","no match")),"")</f>
        <v/>
      </c>
      <c r="K13" t="inlineStr">
        <is>
          <t>img_dim_z_interp_img</t>
        </is>
      </c>
    </row>
    <row r="14" ht="15" customHeight="1" s="10">
      <c r="A14" t="inlineStr">
        <is>
          <t>configuration A</t>
        </is>
      </c>
      <c r="B14" t="inlineStr">
        <is>
          <t>Diagnostics-interpolated image</t>
        </is>
      </c>
      <c r="C14" t="inlineStr">
        <is>
          <t>Voxel dimension x</t>
        </is>
      </c>
      <c r="E14" t="inlineStr">
        <is>
          <t>6-9</t>
        </is>
      </c>
      <c r="F14" t="n">
        <v>0.977</v>
      </c>
      <c r="G14" t="n">
        <v>0</v>
      </c>
      <c r="H14" s="9" t="n"/>
      <c r="I14" s="4">
        <f>IFERROR(IF(NOT(H14=""),ABS(ROUNDDOWN(F14-H14, 3 - (1+INT(LOG10(ABS(F14)))))),""),IF(AND(F14=0,NOT(F14="")),ABS(ROUNDDOWN(F14-H14,0)),""))</f>
        <v/>
      </c>
      <c r="J14" s="4">
        <f>IF(NOT(I14=""),IF(I14&lt;=G14,"match",IF(I14&lt;3*G14,"partial match","no match")),"")</f>
        <v/>
      </c>
      <c r="K14" t="inlineStr">
        <is>
          <t>vox_dim_x_interp_img</t>
        </is>
      </c>
    </row>
    <row r="15" ht="15" customHeight="1" s="10">
      <c r="A15" t="inlineStr">
        <is>
          <t>configuration A</t>
        </is>
      </c>
      <c r="B15" t="inlineStr">
        <is>
          <t>Diagnostics-interpolated image</t>
        </is>
      </c>
      <c r="C15" t="inlineStr">
        <is>
          <t>Voxel dimension y</t>
        </is>
      </c>
      <c r="E15" t="inlineStr">
        <is>
          <t>6-9</t>
        </is>
      </c>
      <c r="F15" t="n">
        <v>0.977</v>
      </c>
      <c r="G15" t="n">
        <v>0</v>
      </c>
      <c r="H15" s="9" t="n"/>
      <c r="I15" s="4">
        <f>IFERROR(IF(NOT(H15=""),ABS(ROUNDDOWN(F15-H15, 3 - (1+INT(LOG10(ABS(F15)))))),""),IF(AND(F15=0,NOT(F15="")),ABS(ROUNDDOWN(F15-H15,0)),""))</f>
        <v/>
      </c>
      <c r="J15" s="4">
        <f>IF(NOT(I15=""),IF(I15&lt;=G15,"match",IF(I15&lt;3*G15,"partial match","no match")),"")</f>
        <v/>
      </c>
      <c r="K15" t="inlineStr">
        <is>
          <t>vox_dim_y_interp_img</t>
        </is>
      </c>
    </row>
    <row r="16" ht="15" customHeight="1" s="10">
      <c r="A16" t="inlineStr">
        <is>
          <t>configuration A</t>
        </is>
      </c>
      <c r="B16" t="inlineStr">
        <is>
          <t>Diagnostics-interpolated image</t>
        </is>
      </c>
      <c r="C16" t="inlineStr">
        <is>
          <t>Voxel dimension z</t>
        </is>
      </c>
      <c r="E16" t="inlineStr">
        <is>
          <t>6-9</t>
        </is>
      </c>
      <c r="F16" t="n">
        <v>3</v>
      </c>
      <c r="G16" t="n">
        <v>0</v>
      </c>
      <c r="H16" s="9" t="n"/>
      <c r="I16" s="4">
        <f>IFERROR(IF(NOT(H16=""),ABS(ROUNDDOWN(F16-H16, 3 - (1+INT(LOG10(ABS(F16)))))),""),IF(AND(F16=0,NOT(F16="")),ABS(ROUNDDOWN(F16-H16,0)),""))</f>
        <v/>
      </c>
      <c r="J16" s="4">
        <f>IF(NOT(I16=""),IF(I16&lt;=G16,"match",IF(I16&lt;3*G16,"partial match","no match")),"")</f>
        <v/>
      </c>
      <c r="K16" t="inlineStr">
        <is>
          <t>vox_dim_z_interp_img</t>
        </is>
      </c>
    </row>
    <row r="17" ht="15" customHeight="1" s="10">
      <c r="A17" t="inlineStr">
        <is>
          <t>configuration A</t>
        </is>
      </c>
      <c r="B17" t="inlineStr">
        <is>
          <t>Diagnostics-interpolated image</t>
        </is>
      </c>
      <c r="C17" t="inlineStr">
        <is>
          <t>Mean intensity</t>
        </is>
      </c>
      <c r="E17" t="inlineStr">
        <is>
          <t>6-9</t>
        </is>
      </c>
      <c r="F17" t="n">
        <v>-266</v>
      </c>
      <c r="G17" t="n">
        <v>3</v>
      </c>
      <c r="H17" s="9" t="n"/>
      <c r="I17" s="4">
        <f>IFERROR(IF(NOT(H17=""),ABS(ROUNDDOWN(F17-H17, 3 - (1+INT(LOG10(ABS(F17)))))),""),IF(AND(F17=0,NOT(F17="")),ABS(ROUNDDOWN(F17-H17,0)),""))</f>
        <v/>
      </c>
      <c r="J17" s="4">
        <f>IF(NOT(I17=""),IF(I17&lt;=G17,"match",IF(I17&lt;3*G17,"partial match","no match")),"")</f>
        <v/>
      </c>
      <c r="K17" t="inlineStr">
        <is>
          <t>mean_int_interp_img</t>
        </is>
      </c>
    </row>
    <row r="18" ht="15" customHeight="1" s="10">
      <c r="A18" t="inlineStr">
        <is>
          <t>configuration A</t>
        </is>
      </c>
      <c r="B18" t="inlineStr">
        <is>
          <t>Diagnostics-interpolated image</t>
        </is>
      </c>
      <c r="C18" t="inlineStr">
        <is>
          <t>Minimum intensity</t>
        </is>
      </c>
      <c r="E18" t="inlineStr">
        <is>
          <t>6-9</t>
        </is>
      </c>
      <c r="F18" t="n">
        <v>-1000</v>
      </c>
      <c r="G18" t="n">
        <v>0</v>
      </c>
      <c r="H18" s="9" t="n"/>
      <c r="I18" s="4">
        <f>IFERROR(IF(NOT(H18=""),ABS(ROUNDDOWN(F18-H18, 3 - (1+INT(LOG10(ABS(F18)))))),""),IF(AND(F18=0,NOT(F18="")),ABS(ROUNDDOWN(F18-H18,0)),""))</f>
        <v/>
      </c>
      <c r="J18" s="4">
        <f>IF(NOT(I18=""),IF(I18&lt;=G18,"match",IF(I18&lt;3*G18,"partial match","no match")),"")</f>
        <v/>
      </c>
      <c r="K18" t="inlineStr">
        <is>
          <t>min_int_interp_img</t>
        </is>
      </c>
    </row>
    <row r="19" ht="15" customHeight="1" s="10">
      <c r="A19" t="inlineStr">
        <is>
          <t>configuration A</t>
        </is>
      </c>
      <c r="B19" t="inlineStr">
        <is>
          <t>Diagnostics-interpolated image</t>
        </is>
      </c>
      <c r="C19" t="inlineStr">
        <is>
          <t>Maximum intensity</t>
        </is>
      </c>
      <c r="E19" t="inlineStr">
        <is>
          <t>6-9</t>
        </is>
      </c>
      <c r="F19" t="n">
        <v>3065</v>
      </c>
      <c r="G19" t="n">
        <v>40</v>
      </c>
      <c r="H19" s="9" t="n"/>
      <c r="I19" s="4">
        <f>IFERROR(IF(NOT(H19=""),ABS(ROUNDDOWN(F19-H19, 3 - (1+INT(LOG10(ABS(F19)))))),""),IF(AND(F19=0,NOT(F19="")),ABS(ROUNDDOWN(F19-H19,0)),""))</f>
        <v/>
      </c>
      <c r="J19" s="4">
        <f>IF(NOT(I19=""),IF(I19&lt;=G19,"match",IF(I19&lt;3*G19,"partial match","no match")),"")</f>
        <v/>
      </c>
      <c r="K19" t="inlineStr">
        <is>
          <t>max_int_interp_img</t>
        </is>
      </c>
    </row>
    <row r="20" ht="15" customHeight="1" s="10">
      <c r="A20" t="inlineStr">
        <is>
          <t>configuration A</t>
        </is>
      </c>
      <c r="B20" t="inlineStr">
        <is>
          <t>Diagnostics-initial ROI</t>
        </is>
      </c>
      <c r="C20" t="inlineStr">
        <is>
          <t>Int. mask dimension x</t>
        </is>
      </c>
      <c r="E20" t="inlineStr">
        <is>
          <t>≥ 10</t>
        </is>
      </c>
      <c r="F20" t="n">
        <v>204</v>
      </c>
      <c r="G20" t="n">
        <v>0</v>
      </c>
      <c r="H20" s="9" t="n"/>
      <c r="I20" s="4">
        <f>IFERROR(IF(NOT(H20=""),ABS(ROUNDDOWN(F20-H20, 3 - (1+INT(LOG10(ABS(F20)))))),""),IF(AND(F20=0,NOT(F20="")),ABS(ROUNDDOWN(F20-H20,0)),""))</f>
        <v/>
      </c>
      <c r="J20" s="4">
        <f>IF(NOT(I20=""),IF(I20&lt;=G20,"match",IF(I20&lt;3*G20,"partial match","no match")),"")</f>
        <v/>
      </c>
      <c r="K20" t="inlineStr">
        <is>
          <t>int_mask_dim_x_init_roi</t>
        </is>
      </c>
    </row>
    <row r="21" ht="15" customHeight="1" s="10">
      <c r="A21" t="inlineStr">
        <is>
          <t>configuration A</t>
        </is>
      </c>
      <c r="B21" t="inlineStr">
        <is>
          <t>Diagnostics-initial ROI</t>
        </is>
      </c>
      <c r="C21" t="inlineStr">
        <is>
          <t>Int. mask dimension y</t>
        </is>
      </c>
      <c r="E21" t="inlineStr">
        <is>
          <t>≥ 10</t>
        </is>
      </c>
      <c r="F21" t="n">
        <v>201</v>
      </c>
      <c r="G21" t="n">
        <v>0</v>
      </c>
      <c r="H21" s="9" t="n"/>
      <c r="I21" s="4">
        <f>IFERROR(IF(NOT(H21=""),ABS(ROUNDDOWN(F21-H21, 3 - (1+INT(LOG10(ABS(F21)))))),""),IF(AND(F21=0,NOT(F21="")),ABS(ROUNDDOWN(F21-H21,0)),""))</f>
        <v/>
      </c>
      <c r="J21" s="4">
        <f>IF(NOT(I21=""),IF(I21&lt;=G21,"match",IF(I21&lt;3*G21,"partial match","no match")),"")</f>
        <v/>
      </c>
      <c r="K21" t="inlineStr">
        <is>
          <t>int_mask_dim_y_init_roi</t>
        </is>
      </c>
    </row>
    <row r="22" ht="15" customHeight="1" s="10">
      <c r="A22" t="inlineStr">
        <is>
          <t>configuration A</t>
        </is>
      </c>
      <c r="B22" t="inlineStr">
        <is>
          <t>Diagnostics-initial ROI</t>
        </is>
      </c>
      <c r="C22" t="inlineStr">
        <is>
          <t>Int. mask dimension z</t>
        </is>
      </c>
      <c r="E22" t="inlineStr">
        <is>
          <t>≥ 10</t>
        </is>
      </c>
      <c r="F22" t="n">
        <v>60</v>
      </c>
      <c r="G22" t="n">
        <v>0</v>
      </c>
      <c r="H22" s="9" t="n"/>
      <c r="I22" s="4">
        <f>IFERROR(IF(NOT(H22=""),ABS(ROUNDDOWN(F22-H22, 3 - (1+INT(LOG10(ABS(F22)))))),""),IF(AND(F22=0,NOT(F22="")),ABS(ROUNDDOWN(F22-H22,0)),""))</f>
        <v/>
      </c>
      <c r="J22" s="4">
        <f>IF(NOT(I22=""),IF(I22&lt;=G22,"match",IF(I22&lt;3*G22,"partial match","no match")),"")</f>
        <v/>
      </c>
      <c r="K22" t="inlineStr">
        <is>
          <t>int_mask_dim_z_init_roi</t>
        </is>
      </c>
    </row>
    <row r="23" ht="15" customHeight="1" s="10">
      <c r="A23" t="inlineStr">
        <is>
          <t>configuration A</t>
        </is>
      </c>
      <c r="B23" t="inlineStr">
        <is>
          <t>Diagnostics-initial ROI</t>
        </is>
      </c>
      <c r="C23" t="inlineStr">
        <is>
          <t>Int. mask bounding box dimension x</t>
        </is>
      </c>
      <c r="E23" t="inlineStr">
        <is>
          <t>≥ 10</t>
        </is>
      </c>
      <c r="F23" t="n">
        <v>100</v>
      </c>
      <c r="G23" t="n">
        <v>0</v>
      </c>
      <c r="H23" s="9" t="n"/>
      <c r="I23" s="4">
        <f>IFERROR(IF(NOT(H23=""),ABS(ROUNDDOWN(F23-H23, 3 - (1+INT(LOG10(ABS(F23)))))),""),IF(AND(F23=0,NOT(F23="")),ABS(ROUNDDOWN(F23-H23,0)),""))</f>
        <v/>
      </c>
      <c r="J23" s="4">
        <f>IF(NOT(I23=""),IF(I23&lt;=G23,"match",IF(I23&lt;3*G23,"partial match","no match")),"")</f>
        <v/>
      </c>
      <c r="K23" t="inlineStr">
        <is>
          <t>int_mask_bb_dim_x_init_roi</t>
        </is>
      </c>
    </row>
    <row r="24" ht="15" customHeight="1" s="10">
      <c r="A24" t="inlineStr">
        <is>
          <t>configuration A</t>
        </is>
      </c>
      <c r="B24" t="inlineStr">
        <is>
          <t>Diagnostics-initial ROI</t>
        </is>
      </c>
      <c r="C24" t="inlineStr">
        <is>
          <t>Int. mask bounding box dimension y</t>
        </is>
      </c>
      <c r="E24" t="inlineStr">
        <is>
          <t>≥ 10</t>
        </is>
      </c>
      <c r="F24" t="n">
        <v>99</v>
      </c>
      <c r="G24" t="n">
        <v>0</v>
      </c>
      <c r="H24" s="9" t="n"/>
      <c r="I24" s="4">
        <f>IFERROR(IF(NOT(H24=""),ABS(ROUNDDOWN(F24-H24, 3 - (1+INT(LOG10(ABS(F24)))))),""),IF(AND(F24=0,NOT(F24="")),ABS(ROUNDDOWN(F24-H24,0)),""))</f>
        <v/>
      </c>
      <c r="J24" s="4">
        <f>IF(NOT(I24=""),IF(I24&lt;=G24,"match",IF(I24&lt;3*G24,"partial match","no match")),"")</f>
        <v/>
      </c>
      <c r="K24" t="inlineStr">
        <is>
          <t>int_mask_bb_dim_y_init_roi</t>
        </is>
      </c>
    </row>
    <row r="25" ht="15" customHeight="1" s="10">
      <c r="A25" t="inlineStr">
        <is>
          <t>configuration A</t>
        </is>
      </c>
      <c r="B25" t="inlineStr">
        <is>
          <t>Diagnostics-initial ROI</t>
        </is>
      </c>
      <c r="C25" t="inlineStr">
        <is>
          <t>Int. mask bounding box dimension z</t>
        </is>
      </c>
      <c r="E25" t="inlineStr">
        <is>
          <t>≥ 10</t>
        </is>
      </c>
      <c r="F25" t="n">
        <v>26</v>
      </c>
      <c r="G25" t="n">
        <v>0</v>
      </c>
      <c r="H25" s="9" t="n"/>
      <c r="I25" s="4">
        <f>IFERROR(IF(NOT(H25=""),ABS(ROUNDDOWN(F25-H25, 3 - (1+INT(LOG10(ABS(F25)))))),""),IF(AND(F25=0,NOT(F25="")),ABS(ROUNDDOWN(F25-H25,0)),""))</f>
        <v/>
      </c>
      <c r="J25" s="4">
        <f>IF(NOT(I25=""),IF(I25&lt;=G25,"match",IF(I25&lt;3*G25,"partial match","no match")),"")</f>
        <v/>
      </c>
      <c r="K25" t="inlineStr">
        <is>
          <t>int_mask_bb_dim_z_init_roi</t>
        </is>
      </c>
    </row>
    <row r="26" ht="15" customHeight="1" s="10">
      <c r="A26" t="inlineStr">
        <is>
          <t>configuration A</t>
        </is>
      </c>
      <c r="B26" t="inlineStr">
        <is>
          <t>Diagnostics-initial ROI</t>
        </is>
      </c>
      <c r="C26" t="inlineStr">
        <is>
          <t>Morph. mask bounding box dimension x</t>
        </is>
      </c>
      <c r="E26" t="inlineStr">
        <is>
          <t>6-9</t>
        </is>
      </c>
      <c r="F26" t="n">
        <v>100</v>
      </c>
      <c r="G26" t="n">
        <v>0</v>
      </c>
      <c r="H26" s="9" t="n"/>
      <c r="I26" s="4">
        <f>IFERROR(IF(NOT(H26=""),ABS(ROUNDDOWN(F26-H26, 3 - (1+INT(LOG10(ABS(F26)))))),""),IF(AND(F26=0,NOT(F26="")),ABS(ROUNDDOWN(F26-H26,0)),""))</f>
        <v/>
      </c>
      <c r="J26" s="4">
        <f>IF(NOT(I26=""),IF(I26&lt;=G26,"match",IF(I26&lt;3*G26,"partial match","no match")),"")</f>
        <v/>
      </c>
      <c r="K26" t="inlineStr">
        <is>
          <t>morph_mask_bb_dim_x_init_roi</t>
        </is>
      </c>
    </row>
    <row r="27" ht="15" customHeight="1" s="10">
      <c r="A27" t="inlineStr">
        <is>
          <t>configuration A</t>
        </is>
      </c>
      <c r="B27" t="inlineStr">
        <is>
          <t>Diagnostics-initial ROI</t>
        </is>
      </c>
      <c r="C27" t="inlineStr">
        <is>
          <t>Morph. mask bounding box dimension y</t>
        </is>
      </c>
      <c r="E27" t="inlineStr">
        <is>
          <t>6-9</t>
        </is>
      </c>
      <c r="F27" t="n">
        <v>99</v>
      </c>
      <c r="G27" t="n">
        <v>0</v>
      </c>
      <c r="H27" s="9" t="n"/>
      <c r="I27" s="4">
        <f>IFERROR(IF(NOT(H27=""),ABS(ROUNDDOWN(F27-H27, 3 - (1+INT(LOG10(ABS(F27)))))),""),IF(AND(F27=0,NOT(F27="")),ABS(ROUNDDOWN(F27-H27,0)),""))</f>
        <v/>
      </c>
      <c r="J27" s="4">
        <f>IF(NOT(I27=""),IF(I27&lt;=G27,"match",IF(I27&lt;3*G27,"partial match","no match")),"")</f>
        <v/>
      </c>
      <c r="K27" t="inlineStr">
        <is>
          <t>morph_mask_bb_dim_y_init_roi</t>
        </is>
      </c>
    </row>
    <row r="28" ht="15" customHeight="1" s="10">
      <c r="A28" t="inlineStr">
        <is>
          <t>configuration A</t>
        </is>
      </c>
      <c r="B28" t="inlineStr">
        <is>
          <t>Diagnostics-initial ROI</t>
        </is>
      </c>
      <c r="C28" t="inlineStr">
        <is>
          <t>Morph. mask bounding box dimension z</t>
        </is>
      </c>
      <c r="E28" t="inlineStr">
        <is>
          <t>6-9</t>
        </is>
      </c>
      <c r="F28" t="n">
        <v>26</v>
      </c>
      <c r="G28" t="n">
        <v>0</v>
      </c>
      <c r="H28" s="9" t="n"/>
      <c r="I28" s="4">
        <f>IFERROR(IF(NOT(H28=""),ABS(ROUNDDOWN(F28-H28, 3 - (1+INT(LOG10(ABS(F28)))))),""),IF(AND(F28=0,NOT(F28="")),ABS(ROUNDDOWN(F28-H28,0)),""))</f>
        <v/>
      </c>
      <c r="J28" s="4">
        <f>IF(NOT(I28=""),IF(I28&lt;=G28,"match",IF(I28&lt;3*G28,"partial match","no match")),"")</f>
        <v/>
      </c>
      <c r="K28" t="inlineStr">
        <is>
          <t>morph_mask_bb_dim_z_init_roi</t>
        </is>
      </c>
    </row>
    <row r="29" ht="15" customHeight="1" s="10">
      <c r="A29" t="inlineStr">
        <is>
          <t>configuration A</t>
        </is>
      </c>
      <c r="B29" t="inlineStr">
        <is>
          <t>Diagnostics-initial ROI</t>
        </is>
      </c>
      <c r="C29" t="inlineStr">
        <is>
          <t>Int. mask voxel count</t>
        </is>
      </c>
      <c r="E29" t="inlineStr">
        <is>
          <t>6-9</t>
        </is>
      </c>
      <c r="F29" t="n">
        <v>125256</v>
      </c>
      <c r="G29" t="n">
        <v>0</v>
      </c>
      <c r="H29" s="9" t="n"/>
      <c r="I29" s="4">
        <f>IFERROR(IF(NOT(H29=""),ABS(ROUNDDOWN(F29-H29, 3 - (1+INT(LOG10(ABS(F29)))))),""),IF(AND(F29=0,NOT(F29="")),ABS(ROUNDDOWN(F29-H29,0)),""))</f>
        <v/>
      </c>
      <c r="J29" s="4">
        <f>IF(NOT(I29=""),IF(I29&lt;=G29,"match",IF(I29&lt;3*G29,"partial match","no match")),"")</f>
        <v/>
      </c>
      <c r="K29" t="inlineStr">
        <is>
          <t>int_mask_vox_count_init_roi</t>
        </is>
      </c>
    </row>
    <row r="30" ht="15" customHeight="1" s="10">
      <c r="A30" t="inlineStr">
        <is>
          <t>configuration A</t>
        </is>
      </c>
      <c r="B30" t="inlineStr">
        <is>
          <t>Diagnostics-initial ROI</t>
        </is>
      </c>
      <c r="C30" t="inlineStr">
        <is>
          <t>Morph. mask voxel count</t>
        </is>
      </c>
      <c r="E30" t="inlineStr">
        <is>
          <t>6-9</t>
        </is>
      </c>
      <c r="F30" t="n">
        <v>125256</v>
      </c>
      <c r="G30" t="n">
        <v>0</v>
      </c>
      <c r="H30" s="9" t="n"/>
      <c r="I30" s="4">
        <f>IFERROR(IF(NOT(H30=""),ABS(ROUNDDOWN(F30-H30, 3 - (1+INT(LOG10(ABS(F30)))))),""),IF(AND(F30=0,NOT(F30="")),ABS(ROUNDDOWN(F30-H30,0)),""))</f>
        <v/>
      </c>
      <c r="J30" s="4">
        <f>IF(NOT(I30=""),IF(I30&lt;=G30,"match",IF(I30&lt;3*G30,"partial match","no match")),"")</f>
        <v/>
      </c>
      <c r="K30" t="inlineStr">
        <is>
          <t>morph_mask_vox_count_init_roi</t>
        </is>
      </c>
    </row>
    <row r="31" ht="15" customHeight="1" s="10">
      <c r="A31" t="inlineStr">
        <is>
          <t>configuration A</t>
        </is>
      </c>
      <c r="B31" t="inlineStr">
        <is>
          <t>Diagnostics-initial ROI</t>
        </is>
      </c>
      <c r="C31" t="inlineStr">
        <is>
          <t>Int. mask mean intensity</t>
        </is>
      </c>
      <c r="E31" t="inlineStr">
        <is>
          <t>≥ 10</t>
        </is>
      </c>
      <c r="F31" t="n">
        <v>-46.9</v>
      </c>
      <c r="G31" t="n">
        <v>0</v>
      </c>
      <c r="H31" s="9" t="n"/>
      <c r="I31" s="4">
        <f>IFERROR(IF(NOT(H31=""),ABS(ROUNDDOWN(F31-H31, 3 - (1+INT(LOG10(ABS(F31)))))),""),IF(AND(F31=0,NOT(F31="")),ABS(ROUNDDOWN(F31-H31,0)),""))</f>
        <v/>
      </c>
      <c r="J31" s="4">
        <f>IF(NOT(I31=""),IF(I31&lt;=G31,"match",IF(I31&lt;3*G31,"partial match","no match")),"")</f>
        <v/>
      </c>
      <c r="K31" t="inlineStr">
        <is>
          <t>int_mask_mean_int_init_roi</t>
        </is>
      </c>
    </row>
    <row r="32" ht="15" customHeight="1" s="10">
      <c r="A32" t="inlineStr">
        <is>
          <t>configuration A</t>
        </is>
      </c>
      <c r="B32" t="inlineStr">
        <is>
          <t>Diagnostics-initial ROI</t>
        </is>
      </c>
      <c r="C32" t="inlineStr">
        <is>
          <t>Int. mask minimum intensity</t>
        </is>
      </c>
      <c r="E32" t="inlineStr">
        <is>
          <t>≥ 10</t>
        </is>
      </c>
      <c r="F32" t="n">
        <v>-1000</v>
      </c>
      <c r="G32" t="n">
        <v>0</v>
      </c>
      <c r="H32" s="9" t="n"/>
      <c r="I32" s="4">
        <f>IFERROR(IF(NOT(H32=""),ABS(ROUNDDOWN(F32-H32, 3 - (1+INT(LOG10(ABS(F32)))))),""),IF(AND(F32=0,NOT(F32="")),ABS(ROUNDDOWN(F32-H32,0)),""))</f>
        <v/>
      </c>
      <c r="J32" s="4">
        <f>IF(NOT(I32=""),IF(I32&lt;=G32,"match",IF(I32&lt;3*G32,"partial match","no match")),"")</f>
        <v/>
      </c>
      <c r="K32" t="inlineStr">
        <is>
          <t>int_mask_min_int_init_roi</t>
        </is>
      </c>
    </row>
    <row r="33" ht="15" customHeight="1" s="10">
      <c r="A33" t="inlineStr">
        <is>
          <t>configuration A</t>
        </is>
      </c>
      <c r="B33" t="inlineStr">
        <is>
          <t>Diagnostics-initial ROI</t>
        </is>
      </c>
      <c r="C33" t="inlineStr">
        <is>
          <t>Int. mask maximum intensity</t>
        </is>
      </c>
      <c r="E33" t="inlineStr">
        <is>
          <t>≥ 10</t>
        </is>
      </c>
      <c r="F33" t="n">
        <v>723</v>
      </c>
      <c r="G33" t="n">
        <v>0</v>
      </c>
      <c r="H33" s="9" t="n"/>
      <c r="I33" s="4">
        <f>IFERROR(IF(NOT(H33=""),ABS(ROUNDDOWN(F33-H33, 3 - (1+INT(LOG10(ABS(F33)))))),""),IF(AND(F33=0,NOT(F33="")),ABS(ROUNDDOWN(F33-H33,0)),""))</f>
        <v/>
      </c>
      <c r="J33" s="4">
        <f>IF(NOT(I33=""),IF(I33&lt;=G33,"match",IF(I33&lt;3*G33,"partial match","no match")),"")</f>
        <v/>
      </c>
      <c r="K33" t="inlineStr">
        <is>
          <t>int_mask_max_int_init_roi</t>
        </is>
      </c>
    </row>
    <row r="34" ht="15" customHeight="1" s="10">
      <c r="A34" t="inlineStr">
        <is>
          <t>configuration A</t>
        </is>
      </c>
      <c r="B34" t="inlineStr">
        <is>
          <t>Diagnostics-interpolated ROI</t>
        </is>
      </c>
      <c r="C34" t="inlineStr">
        <is>
          <t>Int. mask dimension x</t>
        </is>
      </c>
      <c r="E34" t="inlineStr">
        <is>
          <t>6-9</t>
        </is>
      </c>
      <c r="F34" t="n">
        <v>204</v>
      </c>
      <c r="G34" t="n">
        <v>1</v>
      </c>
      <c r="H34" s="9" t="n"/>
      <c r="I34" s="4">
        <f>IFERROR(IF(NOT(H34=""),ABS(ROUNDDOWN(F34-H34, 3 - (1+INT(LOG10(ABS(F34)))))),""),IF(AND(F34=0,NOT(F34="")),ABS(ROUNDDOWN(F34-H34,0)),""))</f>
        <v/>
      </c>
      <c r="J34" s="4">
        <f>IF(NOT(I34=""),IF(I34&lt;=G34,"match",IF(I34&lt;3*G34,"partial match","no match")),"")</f>
        <v/>
      </c>
      <c r="K34" t="inlineStr">
        <is>
          <t>int_mask_dim_x_interp_roi</t>
        </is>
      </c>
    </row>
    <row r="35" ht="15" customHeight="1" s="10">
      <c r="A35" t="inlineStr">
        <is>
          <t>configuration A</t>
        </is>
      </c>
      <c r="B35" t="inlineStr">
        <is>
          <t>Diagnostics-interpolated ROI</t>
        </is>
      </c>
      <c r="C35" t="inlineStr">
        <is>
          <t>Int. mask dimension y</t>
        </is>
      </c>
      <c r="E35" t="inlineStr">
        <is>
          <t>6-9</t>
        </is>
      </c>
      <c r="F35" t="n">
        <v>201</v>
      </c>
      <c r="G35" t="n">
        <v>1</v>
      </c>
      <c r="H35" s="9" t="n"/>
      <c r="I35" s="4">
        <f>IFERROR(IF(NOT(H35=""),ABS(ROUNDDOWN(F35-H35, 3 - (1+INT(LOG10(ABS(F35)))))),""),IF(AND(F35=0,NOT(F35="")),ABS(ROUNDDOWN(F35-H35,0)),""))</f>
        <v/>
      </c>
      <c r="J35" s="4">
        <f>IF(NOT(I35=""),IF(I35&lt;=G35,"match",IF(I35&lt;3*G35,"partial match","no match")),"")</f>
        <v/>
      </c>
      <c r="K35" t="inlineStr">
        <is>
          <t>int_mask_dim_y_interp_roi</t>
        </is>
      </c>
    </row>
    <row r="36" ht="15" customHeight="1" s="10">
      <c r="A36" t="inlineStr">
        <is>
          <t>configuration A</t>
        </is>
      </c>
      <c r="B36" t="inlineStr">
        <is>
          <t>Diagnostics-interpolated ROI</t>
        </is>
      </c>
      <c r="C36" t="inlineStr">
        <is>
          <t>Int. mask dimension z</t>
        </is>
      </c>
      <c r="E36" t="inlineStr">
        <is>
          <t>6-9</t>
        </is>
      </c>
      <c r="F36" t="n">
        <v>60</v>
      </c>
      <c r="G36" t="n">
        <v>0</v>
      </c>
      <c r="H36" s="9" t="n"/>
      <c r="I36" s="4">
        <f>IFERROR(IF(NOT(H36=""),ABS(ROUNDDOWN(F36-H36, 3 - (1+INT(LOG10(ABS(F36)))))),""),IF(AND(F36=0,NOT(F36="")),ABS(ROUNDDOWN(F36-H36,0)),""))</f>
        <v/>
      </c>
      <c r="J36" s="4">
        <f>IF(NOT(I36=""),IF(I36&lt;=G36,"match",IF(I36&lt;3*G36,"partial match","no match")),"")</f>
        <v/>
      </c>
      <c r="K36" t="inlineStr">
        <is>
          <t>int_mask_dim_z_interp_roi</t>
        </is>
      </c>
    </row>
    <row r="37" ht="15" customHeight="1" s="10">
      <c r="A37" t="inlineStr">
        <is>
          <t>configuration A</t>
        </is>
      </c>
      <c r="B37" t="inlineStr">
        <is>
          <t>Diagnostics-interpolated ROI</t>
        </is>
      </c>
      <c r="C37" t="inlineStr">
        <is>
          <t>Int. mask bounding box dimension x</t>
        </is>
      </c>
      <c r="E37" t="inlineStr">
        <is>
          <t>6-9</t>
        </is>
      </c>
      <c r="F37" t="n">
        <v>100</v>
      </c>
      <c r="G37" t="n">
        <v>1</v>
      </c>
      <c r="H37" s="9" t="n"/>
      <c r="I37" s="4">
        <f>IFERROR(IF(NOT(H37=""),ABS(ROUNDDOWN(F37-H37, 3 - (1+INT(LOG10(ABS(F37)))))),""),IF(AND(F37=0,NOT(F37="")),ABS(ROUNDDOWN(F37-H37,0)),""))</f>
        <v/>
      </c>
      <c r="J37" s="4">
        <f>IF(NOT(I37=""),IF(I37&lt;=G37,"match",IF(I37&lt;3*G37,"partial match","no match")),"")</f>
        <v/>
      </c>
      <c r="K37" t="inlineStr">
        <is>
          <t>int_mask_bb_dim_x_interp_roi</t>
        </is>
      </c>
    </row>
    <row r="38" ht="15" customHeight="1" s="10">
      <c r="A38" t="inlineStr">
        <is>
          <t>configuration A</t>
        </is>
      </c>
      <c r="B38" t="inlineStr">
        <is>
          <t>Diagnostics-interpolated ROI</t>
        </is>
      </c>
      <c r="C38" t="inlineStr">
        <is>
          <t>Int. mask bounding box dimension y</t>
        </is>
      </c>
      <c r="E38" t="inlineStr">
        <is>
          <t>6-9</t>
        </is>
      </c>
      <c r="F38" t="n">
        <v>99</v>
      </c>
      <c r="G38" t="n">
        <v>0.3</v>
      </c>
      <c r="H38" s="9" t="n"/>
      <c r="I38" s="4">
        <f>IFERROR(IF(NOT(H38=""),ABS(ROUNDDOWN(F38-H38, 3 - (1+INT(LOG10(ABS(F38)))))),""),IF(AND(F38=0,NOT(F38="")),ABS(ROUNDDOWN(F38-H38,0)),""))</f>
        <v/>
      </c>
      <c r="J38" s="4">
        <f>IF(NOT(I38=""),IF(I38&lt;=G38,"match",IF(I38&lt;3*G38,"partial match","no match")),"")</f>
        <v/>
      </c>
      <c r="K38" t="inlineStr">
        <is>
          <t>int_mask_bb_dim_y_interp_roi</t>
        </is>
      </c>
    </row>
    <row r="39" ht="15" customHeight="1" s="10">
      <c r="A39" t="inlineStr">
        <is>
          <t>configuration A</t>
        </is>
      </c>
      <c r="B39" t="inlineStr">
        <is>
          <t>Diagnostics-interpolated ROI</t>
        </is>
      </c>
      <c r="C39" t="inlineStr">
        <is>
          <t>Int. mask bounding box dimension z</t>
        </is>
      </c>
      <c r="E39" t="inlineStr">
        <is>
          <t>6-9</t>
        </is>
      </c>
      <c r="F39" t="n">
        <v>26</v>
      </c>
      <c r="G39" t="n">
        <v>0</v>
      </c>
      <c r="H39" s="9" t="n"/>
      <c r="I39" s="4">
        <f>IFERROR(IF(NOT(H39=""),ABS(ROUNDDOWN(F39-H39, 3 - (1+INT(LOG10(ABS(F39)))))),""),IF(AND(F39=0,NOT(F39="")),ABS(ROUNDDOWN(F39-H39,0)),""))</f>
        <v/>
      </c>
      <c r="J39" s="4">
        <f>IF(NOT(I39=""),IF(I39&lt;=G39,"match",IF(I39&lt;3*G39,"partial match","no match")),"")</f>
        <v/>
      </c>
      <c r="K39" t="inlineStr">
        <is>
          <t>int_mask_bb_dim_z_interp_roi</t>
        </is>
      </c>
    </row>
    <row r="40" ht="15" customHeight="1" s="10">
      <c r="A40" t="inlineStr">
        <is>
          <t>configuration A</t>
        </is>
      </c>
      <c r="B40" t="inlineStr">
        <is>
          <t>Diagnostics-interpolated ROI</t>
        </is>
      </c>
      <c r="C40" t="inlineStr">
        <is>
          <t>Morph. mask bounding box dimension x</t>
        </is>
      </c>
      <c r="E40" t="inlineStr">
        <is>
          <t>6-9</t>
        </is>
      </c>
      <c r="F40" t="n">
        <v>100</v>
      </c>
      <c r="G40" t="n">
        <v>1</v>
      </c>
      <c r="H40" s="9" t="n"/>
      <c r="I40" s="4">
        <f>IFERROR(IF(NOT(H40=""),ABS(ROUNDDOWN(F40-H40, 3 - (1+INT(LOG10(ABS(F40)))))),""),IF(AND(F40=0,NOT(F40="")),ABS(ROUNDDOWN(F40-H40,0)),""))</f>
        <v/>
      </c>
      <c r="J40" s="4">
        <f>IF(NOT(I40=""),IF(I40&lt;=G40,"match",IF(I40&lt;3*G40,"partial match","no match")),"")</f>
        <v/>
      </c>
      <c r="K40" t="inlineStr">
        <is>
          <t>morph_mask_bb_dim_x_interp_roi</t>
        </is>
      </c>
    </row>
    <row r="41" ht="15" customHeight="1" s="10">
      <c r="A41" t="inlineStr">
        <is>
          <t>configuration A</t>
        </is>
      </c>
      <c r="B41" t="inlineStr">
        <is>
          <t>Diagnostics-interpolated ROI</t>
        </is>
      </c>
      <c r="C41" t="inlineStr">
        <is>
          <t>Morph. mask bounding box dimension y</t>
        </is>
      </c>
      <c r="E41" t="inlineStr">
        <is>
          <t>6-9</t>
        </is>
      </c>
      <c r="F41" t="n">
        <v>99</v>
      </c>
      <c r="G41" t="n">
        <v>0.3</v>
      </c>
      <c r="H41" s="9" t="n"/>
      <c r="I41" s="4">
        <f>IFERROR(IF(NOT(H41=""),ABS(ROUNDDOWN(F41-H41, 3 - (1+INT(LOG10(ABS(F41)))))),""),IF(AND(F41=0,NOT(F41="")),ABS(ROUNDDOWN(F41-H41,0)),""))</f>
        <v/>
      </c>
      <c r="J41" s="4">
        <f>IF(NOT(I41=""),IF(I41&lt;=G41,"match",IF(I41&lt;3*G41,"partial match","no match")),"")</f>
        <v/>
      </c>
      <c r="K41" t="inlineStr">
        <is>
          <t>morph_mask_bb_dim_y_interp_roi</t>
        </is>
      </c>
    </row>
    <row r="42" ht="15" customHeight="1" s="10">
      <c r="A42" t="inlineStr">
        <is>
          <t>configuration A</t>
        </is>
      </c>
      <c r="B42" t="inlineStr">
        <is>
          <t>Diagnostics-interpolated ROI</t>
        </is>
      </c>
      <c r="C42" t="inlineStr">
        <is>
          <t>Morph. mask bounding box dimension z</t>
        </is>
      </c>
      <c r="E42" t="inlineStr">
        <is>
          <t>6-9</t>
        </is>
      </c>
      <c r="F42" t="n">
        <v>26</v>
      </c>
      <c r="G42" t="n">
        <v>0</v>
      </c>
      <c r="H42" s="9" t="n"/>
      <c r="I42" s="4">
        <f>IFERROR(IF(NOT(H42=""),ABS(ROUNDDOWN(F42-H42, 3 - (1+INT(LOG10(ABS(F42)))))),""),IF(AND(F42=0,NOT(F42="")),ABS(ROUNDDOWN(F42-H42,0)),""))</f>
        <v/>
      </c>
      <c r="J42" s="4">
        <f>IF(NOT(I42=""),IF(I42&lt;=G42,"match",IF(I42&lt;3*G42,"partial match","no match")),"")</f>
        <v/>
      </c>
      <c r="K42" t="inlineStr">
        <is>
          <t>morph_mask_bb_dim_z_interp_roi</t>
        </is>
      </c>
    </row>
    <row r="43" ht="15" customHeight="1" s="10">
      <c r="A43" t="inlineStr">
        <is>
          <t>configuration A</t>
        </is>
      </c>
      <c r="B43" t="inlineStr">
        <is>
          <t>Diagnostics-interpolated ROI</t>
        </is>
      </c>
      <c r="C43" t="inlineStr">
        <is>
          <t>Int. mask voxel count</t>
        </is>
      </c>
      <c r="E43" t="inlineStr">
        <is>
          <t>6-9</t>
        </is>
      </c>
      <c r="F43" t="n">
        <v>125256</v>
      </c>
      <c r="G43" t="n">
        <v>1000</v>
      </c>
      <c r="H43" s="9" t="n"/>
      <c r="I43" s="4">
        <f>IFERROR(IF(NOT(H43=""),ABS(ROUNDDOWN(F43-H43, 3 - (1+INT(LOG10(ABS(F43)))))),""),IF(AND(F43=0,NOT(F43="")),ABS(ROUNDDOWN(F43-H43,0)),""))</f>
        <v/>
      </c>
      <c r="J43" s="4">
        <f>IF(NOT(I43=""),IF(I43&lt;=G43,"match",IF(I43&lt;3*G43,"partial match","no match")),"")</f>
        <v/>
      </c>
      <c r="K43" t="inlineStr">
        <is>
          <t>int_mask_vox_count_interp_roi</t>
        </is>
      </c>
    </row>
    <row r="44" ht="15" customHeight="1" s="10">
      <c r="A44" t="inlineStr">
        <is>
          <t>configuration A</t>
        </is>
      </c>
      <c r="B44" t="inlineStr">
        <is>
          <t>Diagnostics-interpolated ROI</t>
        </is>
      </c>
      <c r="C44" t="inlineStr">
        <is>
          <t>Morph. mask voxel count</t>
        </is>
      </c>
      <c r="E44" t="inlineStr">
        <is>
          <t>6-9</t>
        </is>
      </c>
      <c r="F44" t="n">
        <v>125256</v>
      </c>
      <c r="G44" t="n">
        <v>1000</v>
      </c>
      <c r="H44" s="9" t="n"/>
      <c r="I44" s="4">
        <f>IFERROR(IF(NOT(H44=""),ABS(ROUNDDOWN(F44-H44, 3 - (1+INT(LOG10(ABS(F44)))))),""),IF(AND(F44=0,NOT(F44="")),ABS(ROUNDDOWN(F44-H44,0)),""))</f>
        <v/>
      </c>
      <c r="J44" s="4">
        <f>IF(NOT(I44=""),IF(I44&lt;=G44,"match",IF(I44&lt;3*G44,"partial match","no match")),"")</f>
        <v/>
      </c>
      <c r="K44" t="inlineStr">
        <is>
          <t>morph_mask_vox_count_interp_roi</t>
        </is>
      </c>
    </row>
    <row r="45" ht="15" customHeight="1" s="10">
      <c r="A45" t="inlineStr">
        <is>
          <t>configuration A</t>
        </is>
      </c>
      <c r="B45" t="inlineStr">
        <is>
          <t>Diagnostics-interpolated ROI</t>
        </is>
      </c>
      <c r="C45" t="inlineStr">
        <is>
          <t>Int. mask mean intensity</t>
        </is>
      </c>
      <c r="E45" t="inlineStr">
        <is>
          <t>6-9</t>
        </is>
      </c>
      <c r="F45" t="n">
        <v>-46.9</v>
      </c>
      <c r="G45" t="n">
        <v>0.1</v>
      </c>
      <c r="H45" s="9" t="n"/>
      <c r="I45" s="4">
        <f>IFERROR(IF(NOT(H45=""),ABS(ROUNDDOWN(F45-H45, 3 - (1+INT(LOG10(ABS(F45)))))),""),IF(AND(F45=0,NOT(F45="")),ABS(ROUNDDOWN(F45-H45,0)),""))</f>
        <v/>
      </c>
      <c r="J45" s="4">
        <f>IF(NOT(I45=""),IF(I45&lt;=G45,"match",IF(I45&lt;3*G45,"partial match","no match")),"")</f>
        <v/>
      </c>
      <c r="K45" t="inlineStr">
        <is>
          <t>int_mask_mean_int_interp_roi</t>
        </is>
      </c>
    </row>
    <row r="46" ht="15" customHeight="1" s="10">
      <c r="A46" t="inlineStr">
        <is>
          <t>configuration A</t>
        </is>
      </c>
      <c r="B46" t="inlineStr">
        <is>
          <t>Diagnostics-interpolated ROI</t>
        </is>
      </c>
      <c r="C46" t="inlineStr">
        <is>
          <t>Int. mask minimum intensity</t>
        </is>
      </c>
      <c r="E46" t="inlineStr">
        <is>
          <t>6-9</t>
        </is>
      </c>
      <c r="F46" t="n">
        <v>-1000</v>
      </c>
      <c r="G46" t="n">
        <v>10</v>
      </c>
      <c r="H46" s="9" t="n"/>
      <c r="I46" s="4">
        <f>IFERROR(IF(NOT(H46=""),ABS(ROUNDDOWN(F46-H46, 3 - (1+INT(LOG10(ABS(F46)))))),""),IF(AND(F46=0,NOT(F46="")),ABS(ROUNDDOWN(F46-H46,0)),""))</f>
        <v/>
      </c>
      <c r="J46" s="4">
        <f>IF(NOT(I46=""),IF(I46&lt;=G46,"match",IF(I46&lt;3*G46,"partial match","no match")),"")</f>
        <v/>
      </c>
      <c r="K46" t="inlineStr">
        <is>
          <t>int_mask_min_int_interp_roi</t>
        </is>
      </c>
    </row>
    <row r="47" ht="15" customHeight="1" s="10">
      <c r="A47" t="inlineStr">
        <is>
          <t>configuration A</t>
        </is>
      </c>
      <c r="B47" t="inlineStr">
        <is>
          <t>Diagnostics-interpolated ROI</t>
        </is>
      </c>
      <c r="C47" t="inlineStr">
        <is>
          <t>Int. mask maximum intensity</t>
        </is>
      </c>
      <c r="E47" t="inlineStr">
        <is>
          <t>6-9</t>
        </is>
      </c>
      <c r="F47" t="n">
        <v>723</v>
      </c>
      <c r="G47" t="n">
        <v>7</v>
      </c>
      <c r="H47" s="9" t="n"/>
      <c r="I47" s="4">
        <f>IFERROR(IF(NOT(H47=""),ABS(ROUNDDOWN(F47-H47, 3 - (1+INT(LOG10(ABS(F47)))))),""),IF(AND(F47=0,NOT(F47="")),ABS(ROUNDDOWN(F47-H47,0)),""))</f>
        <v/>
      </c>
      <c r="J47" s="4">
        <f>IF(NOT(I47=""),IF(I47&lt;=G47,"match",IF(I47&lt;3*G47,"partial match","no match")),"")</f>
        <v/>
      </c>
      <c r="K47" t="inlineStr">
        <is>
          <t>int_mask_max_int_interp_roi</t>
        </is>
      </c>
    </row>
    <row r="48" ht="15" customHeight="1" s="10">
      <c r="A48" t="inlineStr">
        <is>
          <t>configuration A</t>
        </is>
      </c>
      <c r="B48" t="inlineStr">
        <is>
          <t>Diagnostics-resegmented ROI</t>
        </is>
      </c>
      <c r="C48" t="inlineStr">
        <is>
          <t>Int. mask dimension x</t>
        </is>
      </c>
      <c r="E48" t="inlineStr">
        <is>
          <t>6-9</t>
        </is>
      </c>
      <c r="F48" t="n">
        <v>204</v>
      </c>
      <c r="G48" t="n">
        <v>1</v>
      </c>
      <c r="H48" s="9" t="n"/>
      <c r="I48" s="4">
        <f>IFERROR(IF(NOT(H48=""),ABS(ROUNDDOWN(F48-H48, 3 - (1+INT(LOG10(ABS(F48)))))),""),IF(AND(F48=0,NOT(F48="")),ABS(ROUNDDOWN(F48-H48,0)),""))</f>
        <v/>
      </c>
      <c r="J48" s="4">
        <f>IF(NOT(I48=""),IF(I48&lt;=G48,"match",IF(I48&lt;3*G48,"partial match","no match")),"")</f>
        <v/>
      </c>
      <c r="K48" t="inlineStr">
        <is>
          <t>int_mask_dim_x_reseg_roi</t>
        </is>
      </c>
    </row>
    <row r="49" ht="15" customHeight="1" s="10">
      <c r="A49" t="inlineStr">
        <is>
          <t>configuration A</t>
        </is>
      </c>
      <c r="B49" t="inlineStr">
        <is>
          <t>Diagnostics-resegmented ROI</t>
        </is>
      </c>
      <c r="C49" t="inlineStr">
        <is>
          <t>Int. mask dimension y</t>
        </is>
      </c>
      <c r="E49" t="inlineStr">
        <is>
          <t>6-9</t>
        </is>
      </c>
      <c r="F49" t="n">
        <v>201</v>
      </c>
      <c r="G49" t="n">
        <v>1</v>
      </c>
      <c r="H49" s="9" t="n"/>
      <c r="I49" s="4">
        <f>IFERROR(IF(NOT(H49=""),ABS(ROUNDDOWN(F49-H49, 3 - (1+INT(LOG10(ABS(F49)))))),""),IF(AND(F49=0,NOT(F49="")),ABS(ROUNDDOWN(F49-H49,0)),""))</f>
        <v/>
      </c>
      <c r="J49" s="4">
        <f>IF(NOT(I49=""),IF(I49&lt;=G49,"match",IF(I49&lt;3*G49,"partial match","no match")),"")</f>
        <v/>
      </c>
      <c r="K49" t="inlineStr">
        <is>
          <t>int_mask_dim_y_reseg_roi</t>
        </is>
      </c>
    </row>
    <row r="50" ht="15" customHeight="1" s="10">
      <c r="A50" t="inlineStr">
        <is>
          <t>configuration A</t>
        </is>
      </c>
      <c r="B50" t="inlineStr">
        <is>
          <t>Diagnostics-resegmented ROI</t>
        </is>
      </c>
      <c r="C50" t="inlineStr">
        <is>
          <t>Int. mask dimension z</t>
        </is>
      </c>
      <c r="E50" t="inlineStr">
        <is>
          <t>6-9</t>
        </is>
      </c>
      <c r="F50" t="n">
        <v>60</v>
      </c>
      <c r="G50" t="n">
        <v>0</v>
      </c>
      <c r="H50" s="9" t="n"/>
      <c r="I50" s="4">
        <f>IFERROR(IF(NOT(H50=""),ABS(ROUNDDOWN(F50-H50, 3 - (1+INT(LOG10(ABS(F50)))))),""),IF(AND(F50=0,NOT(F50="")),ABS(ROUNDDOWN(F50-H50,0)),""))</f>
        <v/>
      </c>
      <c r="J50" s="4">
        <f>IF(NOT(I50=""),IF(I50&lt;=G50,"match",IF(I50&lt;3*G50,"partial match","no match")),"")</f>
        <v/>
      </c>
      <c r="K50" t="inlineStr">
        <is>
          <t>int_mask_dim_z_reseg_roi</t>
        </is>
      </c>
    </row>
    <row r="51" ht="15" customHeight="1" s="10">
      <c r="A51" t="inlineStr">
        <is>
          <t>configuration A</t>
        </is>
      </c>
      <c r="B51" t="inlineStr">
        <is>
          <t>Diagnostics-resegmented ROI</t>
        </is>
      </c>
      <c r="C51" t="inlineStr">
        <is>
          <t>Int. mask bounding box dimension x</t>
        </is>
      </c>
      <c r="E51" t="inlineStr">
        <is>
          <t>6-9</t>
        </is>
      </c>
      <c r="F51" t="n">
        <v>100</v>
      </c>
      <c r="G51" t="n">
        <v>1</v>
      </c>
      <c r="H51" s="9" t="n"/>
      <c r="I51" s="4">
        <f>IFERROR(IF(NOT(H51=""),ABS(ROUNDDOWN(F51-H51, 3 - (1+INT(LOG10(ABS(F51)))))),""),IF(AND(F51=0,NOT(F51="")),ABS(ROUNDDOWN(F51-H51,0)),""))</f>
        <v/>
      </c>
      <c r="J51" s="4">
        <f>IF(NOT(I51=""),IF(I51&lt;=G51,"match",IF(I51&lt;3*G51,"partial match","no match")),"")</f>
        <v/>
      </c>
      <c r="K51" t="inlineStr">
        <is>
          <t>int_mask_bb_dim_x_reseg_roi</t>
        </is>
      </c>
    </row>
    <row r="52" ht="15" customHeight="1" s="10">
      <c r="A52" t="inlineStr">
        <is>
          <t>configuration A</t>
        </is>
      </c>
      <c r="B52" t="inlineStr">
        <is>
          <t>Diagnostics-resegmented ROI</t>
        </is>
      </c>
      <c r="C52" t="inlineStr">
        <is>
          <t>Int. mask bounding box dimension y</t>
        </is>
      </c>
      <c r="E52" t="inlineStr">
        <is>
          <t>6-9</t>
        </is>
      </c>
      <c r="F52" t="n">
        <v>99</v>
      </c>
      <c r="G52" t="n">
        <v>0.3</v>
      </c>
      <c r="H52" s="9" t="n"/>
      <c r="I52" s="4">
        <f>IFERROR(IF(NOT(H52=""),ABS(ROUNDDOWN(F52-H52, 3 - (1+INT(LOG10(ABS(F52)))))),""),IF(AND(F52=0,NOT(F52="")),ABS(ROUNDDOWN(F52-H52,0)),""))</f>
        <v/>
      </c>
      <c r="J52" s="4">
        <f>IF(NOT(I52=""),IF(I52&lt;=G52,"match",IF(I52&lt;3*G52,"partial match","no match")),"")</f>
        <v/>
      </c>
      <c r="K52" t="inlineStr">
        <is>
          <t>int_mask_bb_dim_y_reseg_roi</t>
        </is>
      </c>
    </row>
    <row r="53" ht="15" customHeight="1" s="10">
      <c r="A53" t="inlineStr">
        <is>
          <t>configuration A</t>
        </is>
      </c>
      <c r="B53" t="inlineStr">
        <is>
          <t>Diagnostics-resegmented ROI</t>
        </is>
      </c>
      <c r="C53" t="inlineStr">
        <is>
          <t>Int. mask bounding box dimension z</t>
        </is>
      </c>
      <c r="E53" t="inlineStr">
        <is>
          <t>6-9</t>
        </is>
      </c>
      <c r="F53" t="n">
        <v>26</v>
      </c>
      <c r="G53" t="n">
        <v>0</v>
      </c>
      <c r="H53" s="9" t="n"/>
      <c r="I53" s="4">
        <f>IFERROR(IF(NOT(H53=""),ABS(ROUNDDOWN(F53-H53, 3 - (1+INT(LOG10(ABS(F53)))))),""),IF(AND(F53=0,NOT(F53="")),ABS(ROUNDDOWN(F53-H53,0)),""))</f>
        <v/>
      </c>
      <c r="J53" s="4">
        <f>IF(NOT(I53=""),IF(I53&lt;=G53,"match",IF(I53&lt;3*G53,"partial match","no match")),"")</f>
        <v/>
      </c>
      <c r="K53" t="inlineStr">
        <is>
          <t>int_mask_bb_dim_z_reseg_roi</t>
        </is>
      </c>
    </row>
    <row r="54" ht="15" customHeight="1" s="10">
      <c r="A54" t="inlineStr">
        <is>
          <t>configuration A</t>
        </is>
      </c>
      <c r="B54" t="inlineStr">
        <is>
          <t>Diagnostics-resegmented ROI</t>
        </is>
      </c>
      <c r="C54" t="inlineStr">
        <is>
          <t>Morph. mask bounding box dimension x</t>
        </is>
      </c>
      <c r="E54" t="inlineStr">
        <is>
          <t>6-9</t>
        </is>
      </c>
      <c r="F54" t="n">
        <v>100</v>
      </c>
      <c r="G54" t="n">
        <v>1</v>
      </c>
      <c r="H54" s="9" t="n"/>
      <c r="I54" s="4">
        <f>IFERROR(IF(NOT(H54=""),ABS(ROUNDDOWN(F54-H54, 3 - (1+INT(LOG10(ABS(F54)))))),""),IF(AND(F54=0,NOT(F54="")),ABS(ROUNDDOWN(F54-H54,0)),""))</f>
        <v/>
      </c>
      <c r="J54" s="4">
        <f>IF(NOT(I54=""),IF(I54&lt;=G54,"match",IF(I54&lt;3*G54,"partial match","no match")),"")</f>
        <v/>
      </c>
      <c r="K54" t="inlineStr">
        <is>
          <t>morph_mask_bb_dim_x_reseg_roi</t>
        </is>
      </c>
    </row>
    <row r="55" ht="15" customHeight="1" s="10">
      <c r="A55" t="inlineStr">
        <is>
          <t>configuration A</t>
        </is>
      </c>
      <c r="B55" t="inlineStr">
        <is>
          <t>Diagnostics-resegmented ROI</t>
        </is>
      </c>
      <c r="C55" t="inlineStr">
        <is>
          <t>Morph. mask bounding box dimension y</t>
        </is>
      </c>
      <c r="E55" t="inlineStr">
        <is>
          <t>6-9</t>
        </is>
      </c>
      <c r="F55" t="n">
        <v>99</v>
      </c>
      <c r="G55" t="n">
        <v>0.3</v>
      </c>
      <c r="H55" s="9" t="n"/>
      <c r="I55" s="4">
        <f>IFERROR(IF(NOT(H55=""),ABS(ROUNDDOWN(F55-H55, 3 - (1+INT(LOG10(ABS(F55)))))),""),IF(AND(F55=0,NOT(F55="")),ABS(ROUNDDOWN(F55-H55,0)),""))</f>
        <v/>
      </c>
      <c r="J55" s="4">
        <f>IF(NOT(I55=""),IF(I55&lt;=G55,"match",IF(I55&lt;3*G55,"partial match","no match")),"")</f>
        <v/>
      </c>
      <c r="K55" t="inlineStr">
        <is>
          <t>morph_mask_bb_dim_y_reseg_roi</t>
        </is>
      </c>
    </row>
    <row r="56" ht="15" customHeight="1" s="10">
      <c r="A56" t="inlineStr">
        <is>
          <t>configuration A</t>
        </is>
      </c>
      <c r="B56" t="inlineStr">
        <is>
          <t>Diagnostics-resegmented ROI</t>
        </is>
      </c>
      <c r="C56" t="inlineStr">
        <is>
          <t>Morph. mask bounding box dimension z</t>
        </is>
      </c>
      <c r="E56" t="inlineStr">
        <is>
          <t>6-9</t>
        </is>
      </c>
      <c r="F56" t="n">
        <v>26</v>
      </c>
      <c r="G56" t="n">
        <v>0</v>
      </c>
      <c r="H56" s="9" t="n"/>
      <c r="I56" s="4">
        <f>IFERROR(IF(NOT(H56=""),ABS(ROUNDDOWN(F56-H56, 3 - (1+INT(LOG10(ABS(F56)))))),""),IF(AND(F56=0,NOT(F56="")),ABS(ROUNDDOWN(F56-H56,0)),""))</f>
        <v/>
      </c>
      <c r="J56" s="4">
        <f>IF(NOT(I56=""),IF(I56&lt;=G56,"match",IF(I56&lt;3*G56,"partial match","no match")),"")</f>
        <v/>
      </c>
      <c r="K56" t="inlineStr">
        <is>
          <t>morph_mask_bb_dim_z_reseg_roi</t>
        </is>
      </c>
    </row>
    <row r="57" ht="15" customHeight="1" s="10">
      <c r="A57" t="inlineStr">
        <is>
          <t>configuration A</t>
        </is>
      </c>
      <c r="B57" t="inlineStr">
        <is>
          <t>Diagnostics-resegmented ROI</t>
        </is>
      </c>
      <c r="C57" t="inlineStr">
        <is>
          <t>Int. mask voxel count</t>
        </is>
      </c>
      <c r="E57" t="inlineStr">
        <is>
          <t>≥ 10</t>
        </is>
      </c>
      <c r="F57" t="n">
        <v>114596</v>
      </c>
      <c r="G57" t="n">
        <v>1000</v>
      </c>
      <c r="H57" s="9" t="n"/>
      <c r="I57" s="4">
        <f>IFERROR(IF(NOT(H57=""),ABS(ROUNDDOWN(F57-H57, 3 - (1+INT(LOG10(ABS(F57)))))),""),IF(AND(F57=0,NOT(F57="")),ABS(ROUNDDOWN(F57-H57,0)),""))</f>
        <v/>
      </c>
      <c r="J57" s="4">
        <f>IF(NOT(I57=""),IF(I57&lt;=G57,"match",IF(I57&lt;3*G57,"partial match","no match")),"")</f>
        <v/>
      </c>
      <c r="K57" t="inlineStr">
        <is>
          <t>int_mask_vox_count_reseg_roi</t>
        </is>
      </c>
    </row>
    <row r="58" ht="15" customHeight="1" s="10">
      <c r="A58" t="inlineStr">
        <is>
          <t>configuration A</t>
        </is>
      </c>
      <c r="B58" t="inlineStr">
        <is>
          <t>Diagnostics-resegmented ROI</t>
        </is>
      </c>
      <c r="C58" t="inlineStr">
        <is>
          <t>Morph. mask voxel count</t>
        </is>
      </c>
      <c r="E58" t="inlineStr">
        <is>
          <t>6-9</t>
        </is>
      </c>
      <c r="F58" t="n">
        <v>125256</v>
      </c>
      <c r="G58" t="n">
        <v>1000</v>
      </c>
      <c r="H58" s="9" t="n"/>
      <c r="I58" s="4">
        <f>IFERROR(IF(NOT(H58=""),ABS(ROUNDDOWN(F58-H58, 3 - (1+INT(LOG10(ABS(F58)))))),""),IF(AND(F58=0,NOT(F58="")),ABS(ROUNDDOWN(F58-H58,0)),""))</f>
        <v/>
      </c>
      <c r="J58" s="4">
        <f>IF(NOT(I58=""),IF(I58&lt;=G58,"match",IF(I58&lt;3*G58,"partial match","no match")),"")</f>
        <v/>
      </c>
      <c r="K58" t="inlineStr">
        <is>
          <t>morph_mask_vox_count_reseg_roi</t>
        </is>
      </c>
    </row>
    <row r="59" ht="15" customHeight="1" s="10">
      <c r="A59" t="inlineStr">
        <is>
          <t>configuration A</t>
        </is>
      </c>
      <c r="B59" t="inlineStr">
        <is>
          <t>Diagnostics-resegmented ROI</t>
        </is>
      </c>
      <c r="C59" t="inlineStr">
        <is>
          <t>Int. mask mean intensity</t>
        </is>
      </c>
      <c r="E59" t="inlineStr">
        <is>
          <t>≥ 10</t>
        </is>
      </c>
      <c r="F59" t="n">
        <v>13.4</v>
      </c>
      <c r="G59" t="n">
        <v>1.1</v>
      </c>
      <c r="H59" s="9" t="n"/>
      <c r="I59" s="4">
        <f>IFERROR(IF(NOT(H59=""),ABS(ROUNDDOWN(F59-H59, 3 - (1+INT(LOG10(ABS(F59)))))),""),IF(AND(F59=0,NOT(F59="")),ABS(ROUNDDOWN(F59-H59,0)),""))</f>
        <v/>
      </c>
      <c r="J59" s="4">
        <f>IF(NOT(I59=""),IF(I59&lt;=G59,"match",IF(I59&lt;3*G59,"partial match","no match")),"")</f>
        <v/>
      </c>
      <c r="K59" t="inlineStr">
        <is>
          <t>int_mask_mean_int_reseg_roi</t>
        </is>
      </c>
    </row>
    <row r="60" ht="15" customHeight="1" s="10">
      <c r="A60" t="inlineStr">
        <is>
          <t>configuration A</t>
        </is>
      </c>
      <c r="B60" t="inlineStr">
        <is>
          <t>Diagnostics-resegmented ROI</t>
        </is>
      </c>
      <c r="C60" t="inlineStr">
        <is>
          <t>Int. mask minimum intensity</t>
        </is>
      </c>
      <c r="E60" t="inlineStr">
        <is>
          <t>≥ 10</t>
        </is>
      </c>
      <c r="F60" t="n">
        <v>-500</v>
      </c>
      <c r="G60" t="n">
        <v>0</v>
      </c>
      <c r="H60" s="9" t="n"/>
      <c r="I60" s="4">
        <f>IFERROR(IF(NOT(H60=""),ABS(ROUNDDOWN(F60-H60, 3 - (1+INT(LOG10(ABS(F60)))))),""),IF(AND(F60=0,NOT(F60="")),ABS(ROUNDDOWN(F60-H60,0)),""))</f>
        <v/>
      </c>
      <c r="J60" s="4">
        <f>IF(NOT(I60=""),IF(I60&lt;=G60,"match",IF(I60&lt;3*G60,"partial match","no match")),"")</f>
        <v/>
      </c>
      <c r="K60" t="inlineStr">
        <is>
          <t>int_mask_min_int_reseg_roi</t>
        </is>
      </c>
    </row>
    <row r="61" ht="15" customHeight="1" s="10">
      <c r="A61" t="inlineStr">
        <is>
          <t>configuration A</t>
        </is>
      </c>
      <c r="B61" t="inlineStr">
        <is>
          <t>Diagnostics-resegmented ROI</t>
        </is>
      </c>
      <c r="C61" t="inlineStr">
        <is>
          <t>Int. mask maximum intensity</t>
        </is>
      </c>
      <c r="E61" t="inlineStr">
        <is>
          <t>≥ 10</t>
        </is>
      </c>
      <c r="F61" t="n">
        <v>377</v>
      </c>
      <c r="G61" t="n">
        <v>9</v>
      </c>
      <c r="H61" s="9" t="n"/>
      <c r="I61" s="4">
        <f>IFERROR(IF(NOT(H61=""),ABS(ROUNDDOWN(F61-H61, 3 - (1+INT(LOG10(ABS(F61)))))),""),IF(AND(F61=0,NOT(F61="")),ABS(ROUNDDOWN(F61-H61,0)),""))</f>
        <v/>
      </c>
      <c r="J61" s="4">
        <f>IF(NOT(I61=""),IF(I61&lt;=G61,"match",IF(I61&lt;3*G61,"partial match","no match")),"")</f>
        <v/>
      </c>
      <c r="K61" t="inlineStr">
        <is>
          <t>int_mask_max_int_reseg_roi</t>
        </is>
      </c>
    </row>
    <row r="62" ht="15" customHeight="1" s="10">
      <c r="A62" t="inlineStr">
        <is>
          <t>configuration A</t>
        </is>
      </c>
      <c r="B62" t="inlineStr">
        <is>
          <t>Morphology</t>
        </is>
      </c>
      <c r="C62" t="inlineStr">
        <is>
          <t>Volume (mesh-based)</t>
        </is>
      </c>
      <c r="E62" t="inlineStr">
        <is>
          <t>≥ 10</t>
        </is>
      </c>
      <c r="F62" t="n">
        <v>358000</v>
      </c>
      <c r="G62" t="n">
        <v>5000</v>
      </c>
      <c r="H62" s="9" t="n"/>
      <c r="I62" s="4">
        <f>IFERROR(IF(NOT(H62=""),ABS(ROUNDDOWN(F62-H62, 3 - (1+INT(LOG10(ABS(F62)))))),""),IF(AND(F62=0,NOT(F62="")),ABS(ROUNDDOWN(F62-H62,0)),""))</f>
        <v/>
      </c>
      <c r="J62" s="4">
        <f>IF(NOT(I62=""),IF(I62&lt;=G62,"match",IF(I62&lt;3*G62,"partial match","no match")),"")</f>
        <v/>
      </c>
      <c r="K62" t="inlineStr">
        <is>
          <t>morph_volume</t>
        </is>
      </c>
    </row>
    <row r="63" ht="15" customHeight="1" s="10">
      <c r="A63" t="inlineStr">
        <is>
          <t>configuration A</t>
        </is>
      </c>
      <c r="B63" t="inlineStr">
        <is>
          <t>Morphology</t>
        </is>
      </c>
      <c r="C63" t="inlineStr">
        <is>
          <t>Volume (counting)</t>
        </is>
      </c>
      <c r="E63" t="inlineStr">
        <is>
          <t>6-9</t>
        </is>
      </c>
      <c r="F63" t="n">
        <v>359000</v>
      </c>
      <c r="G63" t="n">
        <v>5000</v>
      </c>
      <c r="H63" s="9" t="n"/>
      <c r="I63" s="4">
        <f>IFERROR(IF(NOT(H63=""),ABS(ROUNDDOWN(F63-H63, 3 - (1+INT(LOG10(ABS(F63)))))),""),IF(AND(F63=0,NOT(F63="")),ABS(ROUNDDOWN(F63-H63,0)),""))</f>
        <v/>
      </c>
      <c r="J63" s="4">
        <f>IF(NOT(I63=""),IF(I63&lt;=G63,"match",IF(I63&lt;3*G63,"partial match","no match")),"")</f>
        <v/>
      </c>
      <c r="K63" t="inlineStr">
        <is>
          <t>morph_vol_approx</t>
        </is>
      </c>
    </row>
    <row r="64" ht="15" customHeight="1" s="10">
      <c r="A64" t="inlineStr">
        <is>
          <t>configuration A</t>
        </is>
      </c>
      <c r="B64" t="inlineStr">
        <is>
          <t>Morphology</t>
        </is>
      </c>
      <c r="C64" t="inlineStr">
        <is>
          <t>Surface area</t>
        </is>
      </c>
      <c r="E64" t="inlineStr">
        <is>
          <t>6-9</t>
        </is>
      </c>
      <c r="F64" t="n">
        <v>35700</v>
      </c>
      <c r="G64" t="n">
        <v>300</v>
      </c>
      <c r="H64" s="9" t="n"/>
      <c r="I64" s="4">
        <f>IFERROR(IF(NOT(H64=""),ABS(ROUNDDOWN(F64-H64, 3 - (1+INT(LOG10(ABS(F64)))))),""),IF(AND(F64=0,NOT(F64="")),ABS(ROUNDDOWN(F64-H64,0)),""))</f>
        <v/>
      </c>
      <c r="J64" s="4">
        <f>IF(NOT(I64=""),IF(I64&lt;=G64,"match",IF(I64&lt;3*G64,"partial match","no match")),"")</f>
        <v/>
      </c>
      <c r="K64" t="inlineStr">
        <is>
          <t>morph_area_mesh</t>
        </is>
      </c>
    </row>
    <row r="65" ht="15" customHeight="1" s="10">
      <c r="A65" t="inlineStr">
        <is>
          <t>configuration A</t>
        </is>
      </c>
      <c r="B65" t="inlineStr">
        <is>
          <t>Morphology</t>
        </is>
      </c>
      <c r="C65" t="inlineStr">
        <is>
          <t>Surface to volume ratio</t>
        </is>
      </c>
      <c r="E65" t="inlineStr">
        <is>
          <t>6-9</t>
        </is>
      </c>
      <c r="F65" t="n">
        <v>0.09959999999999999</v>
      </c>
      <c r="G65" t="n">
        <v>0.0005</v>
      </c>
      <c r="H65" s="9" t="n"/>
      <c r="I65" s="4">
        <f>IFERROR(IF(NOT(H65=""),ABS(ROUNDDOWN(F65-H65, 3 - (1+INT(LOG10(ABS(F65)))))),""),IF(AND(F65=0,NOT(F65="")),ABS(ROUNDDOWN(F65-H65,0)),""))</f>
        <v/>
      </c>
      <c r="J65" s="4">
        <f>IF(NOT(I65=""),IF(I65&lt;=G65,"match",IF(I65&lt;3*G65,"partial match","no match")),"")</f>
        <v/>
      </c>
      <c r="K65" t="inlineStr">
        <is>
          <t>morph_av</t>
        </is>
      </c>
    </row>
    <row r="66" ht="15" customHeight="1" s="10">
      <c r="A66" t="inlineStr">
        <is>
          <t>configuration A</t>
        </is>
      </c>
      <c r="B66" t="inlineStr">
        <is>
          <t>Morphology</t>
        </is>
      </c>
      <c r="C66" t="inlineStr">
        <is>
          <t>Compactness 1</t>
        </is>
      </c>
      <c r="E66" t="inlineStr">
        <is>
          <t>6-9</t>
        </is>
      </c>
      <c r="F66" t="n">
        <v>0.03</v>
      </c>
      <c r="G66" t="n">
        <v>0.0001</v>
      </c>
      <c r="H66" s="9" t="n"/>
      <c r="I66" s="4">
        <f>IFERROR(IF(NOT(H66=""),ABS(ROUNDDOWN(F66-H66, 3 - (1+INT(LOG10(ABS(F66)))))),""),IF(AND(F66=0,NOT(F66="")),ABS(ROUNDDOWN(F66-H66,0)),""))</f>
        <v/>
      </c>
      <c r="J66" s="4">
        <f>IF(NOT(I66=""),IF(I66&lt;=G66,"match",IF(I66&lt;3*G66,"partial match","no match")),"")</f>
        <v/>
      </c>
      <c r="K66" t="inlineStr">
        <is>
          <t>morph_comp_1</t>
        </is>
      </c>
    </row>
    <row r="67" ht="15" customHeight="1" s="10">
      <c r="A67" t="inlineStr">
        <is>
          <t>configuration A</t>
        </is>
      </c>
      <c r="B67" t="inlineStr">
        <is>
          <t>Morphology</t>
        </is>
      </c>
      <c r="C67" t="inlineStr">
        <is>
          <t>Compactness 2</t>
        </is>
      </c>
      <c r="E67" t="inlineStr">
        <is>
          <t>6-9</t>
        </is>
      </c>
      <c r="F67" t="n">
        <v>0.319</v>
      </c>
      <c r="G67" t="n">
        <v>0.001</v>
      </c>
      <c r="H67" s="9" t="n"/>
      <c r="I67" s="4">
        <f>IFERROR(IF(NOT(H67=""),ABS(ROUNDDOWN(F67-H67, 3 - (1+INT(LOG10(ABS(F67)))))),""),IF(AND(F67=0,NOT(F67="")),ABS(ROUNDDOWN(F67-H67,0)),""))</f>
        <v/>
      </c>
      <c r="J67" s="4">
        <f>IF(NOT(I67=""),IF(I67&lt;=G67,"match",IF(I67&lt;3*G67,"partial match","no match")),"")</f>
        <v/>
      </c>
      <c r="K67" t="inlineStr">
        <is>
          <t>morph_comp_2</t>
        </is>
      </c>
    </row>
    <row r="68" ht="15" customHeight="1" s="10">
      <c r="A68" t="inlineStr">
        <is>
          <t>configuration A</t>
        </is>
      </c>
      <c r="B68" t="inlineStr">
        <is>
          <t>Morphology</t>
        </is>
      </c>
      <c r="C68" t="inlineStr">
        <is>
          <t>Spherical disproportion</t>
        </is>
      </c>
      <c r="E68" t="inlineStr">
        <is>
          <t>6-9</t>
        </is>
      </c>
      <c r="F68" t="n">
        <v>1.46</v>
      </c>
      <c r="G68" t="n">
        <v>0.01</v>
      </c>
      <c r="H68" s="9" t="n"/>
      <c r="I68" s="4">
        <f>IFERROR(IF(NOT(H68=""),ABS(ROUNDDOWN(F68-H68, 3 - (1+INT(LOG10(ABS(F68)))))),""),IF(AND(F68=0,NOT(F68="")),ABS(ROUNDDOWN(F68-H68,0)),""))</f>
        <v/>
      </c>
      <c r="J68" s="4">
        <f>IF(NOT(I68=""),IF(I68&lt;=G68,"match",IF(I68&lt;3*G68,"partial match","no match")),"")</f>
        <v/>
      </c>
      <c r="K68" t="inlineStr">
        <is>
          <t>morph_sph_dispr</t>
        </is>
      </c>
    </row>
    <row r="69" ht="15" customHeight="1" s="10">
      <c r="A69" t="inlineStr">
        <is>
          <t>configuration A</t>
        </is>
      </c>
      <c r="B69" t="inlineStr">
        <is>
          <t>Morphology</t>
        </is>
      </c>
      <c r="C69" t="inlineStr">
        <is>
          <t>Sphericity</t>
        </is>
      </c>
      <c r="E69" t="inlineStr">
        <is>
          <t>6-9</t>
        </is>
      </c>
      <c r="F69" t="n">
        <v>0.6830000000000001</v>
      </c>
      <c r="G69" t="n">
        <v>0.001</v>
      </c>
      <c r="H69" s="9" t="n"/>
      <c r="I69" s="4">
        <f>IFERROR(IF(NOT(H69=""),ABS(ROUNDDOWN(F69-H69, 3 - (1+INT(LOG10(ABS(F69)))))),""),IF(AND(F69=0,NOT(F69="")),ABS(ROUNDDOWN(F69-H69,0)),""))</f>
        <v/>
      </c>
      <c r="J69" s="4">
        <f>IF(NOT(I69=""),IF(I69&lt;=G69,"match",IF(I69&lt;3*G69,"partial match","no match")),"")</f>
        <v/>
      </c>
      <c r="K69" t="inlineStr">
        <is>
          <t>morph_sphericity</t>
        </is>
      </c>
    </row>
    <row r="70" ht="15" customHeight="1" s="10">
      <c r="A70" t="inlineStr">
        <is>
          <t>configuration A</t>
        </is>
      </c>
      <c r="B70" t="inlineStr">
        <is>
          <t>Morphology</t>
        </is>
      </c>
      <c r="C70" t="inlineStr">
        <is>
          <t>Asphericity</t>
        </is>
      </c>
      <c r="E70" t="inlineStr">
        <is>
          <t>6-9</t>
        </is>
      </c>
      <c r="F70" t="n">
        <v>0.463</v>
      </c>
      <c r="G70" t="n">
        <v>0.001</v>
      </c>
      <c r="H70" s="9" t="n"/>
      <c r="I70" s="4">
        <f>IFERROR(IF(NOT(H70=""),ABS(ROUNDDOWN(F70-H70, 3 - (1+INT(LOG10(ABS(F70)))))),""),IF(AND(F70=0,NOT(F70="")),ABS(ROUNDDOWN(F70-H70,0)),""))</f>
        <v/>
      </c>
      <c r="J70" s="4">
        <f>IF(NOT(I70=""),IF(I70&lt;=G70,"match",IF(I70&lt;3*G70,"partial match","no match")),"")</f>
        <v/>
      </c>
      <c r="K70" t="inlineStr">
        <is>
          <t>morph_asphericity</t>
        </is>
      </c>
    </row>
    <row r="71" ht="15" customHeight="1" s="10">
      <c r="A71" t="inlineStr">
        <is>
          <t>configuration A</t>
        </is>
      </c>
      <c r="B71" t="inlineStr">
        <is>
          <t>Morphology</t>
        </is>
      </c>
      <c r="C71" t="inlineStr">
        <is>
          <t>Centre of mass shift</t>
        </is>
      </c>
      <c r="E71" t="inlineStr">
        <is>
          <t>6-9</t>
        </is>
      </c>
      <c r="F71" t="n">
        <v>52.9</v>
      </c>
      <c r="G71" t="n">
        <v>28.3</v>
      </c>
      <c r="H71" s="9" t="n"/>
      <c r="I71" s="4">
        <f>IFERROR(IF(NOT(H71=""),ABS(ROUNDDOWN(F71-H71, 3 - (1+INT(LOG10(ABS(F71)))))),""),IF(AND(F71=0,NOT(F71="")),ABS(ROUNDDOWN(F71-H71,0)),""))</f>
        <v/>
      </c>
      <c r="J71" s="4">
        <f>IF(NOT(I71=""),IF(I71&lt;=G71,"match",IF(I71&lt;3*G71,"partial match","no match")),"")</f>
        <v/>
      </c>
      <c r="K71" t="inlineStr">
        <is>
          <t>morph_com</t>
        </is>
      </c>
    </row>
    <row r="72" ht="15" customHeight="1" s="10">
      <c r="A72" t="inlineStr">
        <is>
          <t>configuration A</t>
        </is>
      </c>
      <c r="B72" t="inlineStr">
        <is>
          <t>Morphology</t>
        </is>
      </c>
      <c r="C72" t="inlineStr">
        <is>
          <t>Maximum 3D diameter</t>
        </is>
      </c>
      <c r="E72" t="inlineStr">
        <is>
          <t>6-9</t>
        </is>
      </c>
      <c r="F72" t="n">
        <v>125</v>
      </c>
      <c r="G72" t="n">
        <v>1</v>
      </c>
      <c r="H72" s="9" t="n"/>
      <c r="I72" s="4">
        <f>IFERROR(IF(NOT(H72=""),ABS(ROUNDDOWN(F72-H72, 3 - (1+INT(LOG10(ABS(F72)))))),""),IF(AND(F72=0,NOT(F72="")),ABS(ROUNDDOWN(F72-H72,0)),""))</f>
        <v/>
      </c>
      <c r="J72" s="4">
        <f>IF(NOT(I72=""),IF(I72&lt;=G72,"match",IF(I72&lt;3*G72,"partial match","no match")),"")</f>
        <v/>
      </c>
      <c r="K72" t="inlineStr">
        <is>
          <t>morph_diam</t>
        </is>
      </c>
    </row>
    <row r="73" ht="15" customHeight="1" s="10">
      <c r="A73" t="inlineStr">
        <is>
          <t>configuration A</t>
        </is>
      </c>
      <c r="B73" t="inlineStr">
        <is>
          <t>Morphology</t>
        </is>
      </c>
      <c r="C73" t="inlineStr">
        <is>
          <t>Major axis length</t>
        </is>
      </c>
      <c r="E73" t="inlineStr">
        <is>
          <t>≥ 10</t>
        </is>
      </c>
      <c r="F73" t="n">
        <v>92.7</v>
      </c>
      <c r="G73" t="n">
        <v>0.4</v>
      </c>
      <c r="H73" s="9" t="n"/>
      <c r="I73" s="4">
        <f>IFERROR(IF(NOT(H73=""),ABS(ROUNDDOWN(F73-H73, 3 - (1+INT(LOG10(ABS(F73)))))),""),IF(AND(F73=0,NOT(F73="")),ABS(ROUNDDOWN(F73-H73,0)),""))</f>
        <v/>
      </c>
      <c r="J73" s="4">
        <f>IF(NOT(I73=""),IF(I73&lt;=G73,"match",IF(I73&lt;3*G73,"partial match","no match")),"")</f>
        <v/>
      </c>
      <c r="K73" t="inlineStr">
        <is>
          <t>morph_pca_maj_axis</t>
        </is>
      </c>
    </row>
    <row r="74" ht="15" customHeight="1" s="10">
      <c r="A74" t="inlineStr">
        <is>
          <t>configuration A</t>
        </is>
      </c>
      <c r="B74" t="inlineStr">
        <is>
          <t>Morphology</t>
        </is>
      </c>
      <c r="C74" t="inlineStr">
        <is>
          <t>Minor axis length</t>
        </is>
      </c>
      <c r="E74" t="inlineStr">
        <is>
          <t>≥ 10</t>
        </is>
      </c>
      <c r="F74" t="n">
        <v>81.5</v>
      </c>
      <c r="G74" t="n">
        <v>0.4</v>
      </c>
      <c r="H74" s="9" t="n"/>
      <c r="I74" s="4">
        <f>IFERROR(IF(NOT(H74=""),ABS(ROUNDDOWN(F74-H74, 3 - (1+INT(LOG10(ABS(F74)))))),""),IF(AND(F74=0,NOT(F74="")),ABS(ROUNDDOWN(F74-H74,0)),""))</f>
        <v/>
      </c>
      <c r="J74" s="4">
        <f>IF(NOT(I74=""),IF(I74&lt;=G74,"match",IF(I74&lt;3*G74,"partial match","no match")),"")</f>
        <v/>
      </c>
      <c r="K74" t="inlineStr">
        <is>
          <t>morph_pca_min_axis</t>
        </is>
      </c>
    </row>
    <row r="75" ht="15" customHeight="1" s="10">
      <c r="A75" t="inlineStr">
        <is>
          <t>configuration A</t>
        </is>
      </c>
      <c r="B75" t="inlineStr">
        <is>
          <t>Morphology</t>
        </is>
      </c>
      <c r="C75" t="inlineStr">
        <is>
          <t>Least axis length</t>
        </is>
      </c>
      <c r="E75" t="inlineStr">
        <is>
          <t>≥ 10</t>
        </is>
      </c>
      <c r="F75" t="n">
        <v>70.09999999999999</v>
      </c>
      <c r="G75" t="n">
        <v>0.3</v>
      </c>
      <c r="H75" s="9" t="n"/>
      <c r="I75" s="4">
        <f>IFERROR(IF(NOT(H75=""),ABS(ROUNDDOWN(F75-H75, 3 - (1+INT(LOG10(ABS(F75)))))),""),IF(AND(F75=0,NOT(F75="")),ABS(ROUNDDOWN(F75-H75,0)),""))</f>
        <v/>
      </c>
      <c r="J75" s="4">
        <f>IF(NOT(I75=""),IF(I75&lt;=G75,"match",IF(I75&lt;3*G75,"partial match","no match")),"")</f>
        <v/>
      </c>
      <c r="K75" t="inlineStr">
        <is>
          <t>morph_pca_least_axis</t>
        </is>
      </c>
    </row>
    <row r="76" ht="15" customHeight="1" s="10">
      <c r="A76" t="inlineStr">
        <is>
          <t>configuration A</t>
        </is>
      </c>
      <c r="B76" t="inlineStr">
        <is>
          <t>Morphology</t>
        </is>
      </c>
      <c r="C76" t="inlineStr">
        <is>
          <t>Elongation</t>
        </is>
      </c>
      <c r="E76" t="inlineStr">
        <is>
          <t>6-9</t>
        </is>
      </c>
      <c r="F76" t="n">
        <v>0.879</v>
      </c>
      <c r="G76" t="n">
        <v>0.001</v>
      </c>
      <c r="H76" s="9" t="n"/>
      <c r="I76" s="4">
        <f>IFERROR(IF(NOT(H76=""),ABS(ROUNDDOWN(F76-H76, 3 - (1+INT(LOG10(ABS(F76)))))),""),IF(AND(F76=0,NOT(F76="")),ABS(ROUNDDOWN(F76-H76,0)),""))</f>
        <v/>
      </c>
      <c r="J76" s="4">
        <f>IF(NOT(I76=""),IF(I76&lt;=G76,"match",IF(I76&lt;3*G76,"partial match","no match")),"")</f>
        <v/>
      </c>
      <c r="K76" t="inlineStr">
        <is>
          <t>morph_pca_elongation</t>
        </is>
      </c>
    </row>
    <row r="77" ht="15" customHeight="1" s="10">
      <c r="A77" t="inlineStr">
        <is>
          <t>configuration A</t>
        </is>
      </c>
      <c r="B77" t="inlineStr">
        <is>
          <t>Morphology</t>
        </is>
      </c>
      <c r="C77" t="inlineStr">
        <is>
          <t>Flatness</t>
        </is>
      </c>
      <c r="E77" t="inlineStr">
        <is>
          <t>6-9</t>
        </is>
      </c>
      <c r="F77" t="n">
        <v>0.756</v>
      </c>
      <c r="G77" t="n">
        <v>0.001</v>
      </c>
      <c r="H77" s="9" t="n"/>
      <c r="I77" s="4">
        <f>IFERROR(IF(NOT(H77=""),ABS(ROUNDDOWN(F77-H77, 3 - (1+INT(LOG10(ABS(F77)))))),""),IF(AND(F77=0,NOT(F77="")),ABS(ROUNDDOWN(F77-H77,0)),""))</f>
        <v/>
      </c>
      <c r="J77" s="4">
        <f>IF(NOT(I77=""),IF(I77&lt;=G77,"match",IF(I77&lt;3*G77,"partial match","no match")),"")</f>
        <v/>
      </c>
      <c r="K77" t="inlineStr">
        <is>
          <t>morph_pca_flatness</t>
        </is>
      </c>
    </row>
    <row r="78" ht="15" customHeight="1" s="10">
      <c r="A78" t="inlineStr">
        <is>
          <t>configuration A</t>
        </is>
      </c>
      <c r="B78" t="inlineStr">
        <is>
          <t>Morphology</t>
        </is>
      </c>
      <c r="C78" t="inlineStr">
        <is>
          <t>Volume density (AABB)</t>
        </is>
      </c>
      <c r="E78" t="inlineStr">
        <is>
          <t>6-9</t>
        </is>
      </c>
      <c r="F78" t="n">
        <v>0.486</v>
      </c>
      <c r="G78" t="n">
        <v>0.003</v>
      </c>
      <c r="H78" s="9" t="n"/>
      <c r="I78" s="4">
        <f>IFERROR(IF(NOT(H78=""),ABS(ROUNDDOWN(F78-H78, 3 - (1+INT(LOG10(ABS(F78)))))),""),IF(AND(F78=0,NOT(F78="")),ABS(ROUNDDOWN(F78-H78,0)),""))</f>
        <v/>
      </c>
      <c r="J78" s="4">
        <f>IF(NOT(I78=""),IF(I78&lt;=G78,"match",IF(I78&lt;3*G78,"partial match","no match")),"")</f>
        <v/>
      </c>
      <c r="K78" t="inlineStr">
        <is>
          <t>morph_vol_dens_aabb</t>
        </is>
      </c>
    </row>
    <row r="79" ht="15" customHeight="1" s="10">
      <c r="A79" t="inlineStr">
        <is>
          <t>configuration A</t>
        </is>
      </c>
      <c r="B79" t="inlineStr">
        <is>
          <t>Morphology</t>
        </is>
      </c>
      <c r="C79" t="inlineStr">
        <is>
          <t>Area density (AABB)</t>
        </is>
      </c>
      <c r="E79" t="inlineStr">
        <is>
          <t>6-9</t>
        </is>
      </c>
      <c r="F79" t="n">
        <v>0.725</v>
      </c>
      <c r="G79" t="n">
        <v>0.003</v>
      </c>
      <c r="H79" s="9" t="n"/>
      <c r="I79" s="4">
        <f>IFERROR(IF(NOT(H79=""),ABS(ROUNDDOWN(F79-H79, 3 - (1+INT(LOG10(ABS(F79)))))),""),IF(AND(F79=0,NOT(F79="")),ABS(ROUNDDOWN(F79-H79,0)),""))</f>
        <v/>
      </c>
      <c r="J79" s="4">
        <f>IF(NOT(I79=""),IF(I79&lt;=G79,"match",IF(I79&lt;3*G79,"partial match","no match")),"")</f>
        <v/>
      </c>
      <c r="K79" t="inlineStr">
        <is>
          <t>morph_area_dens_aabb</t>
        </is>
      </c>
    </row>
    <row r="80" ht="15" customHeight="1" s="10">
      <c r="A80" t="inlineStr">
        <is>
          <t>configuration A</t>
        </is>
      </c>
      <c r="B80" t="inlineStr">
        <is>
          <t>Morphology</t>
        </is>
      </c>
      <c r="C80" t="inlineStr">
        <is>
          <t>Volume density (OMBB)</t>
        </is>
      </c>
      <c r="E80" t="inlineStr">
        <is>
          <t>&lt; 3</t>
        </is>
      </c>
      <c r="H80" s="9" t="n"/>
      <c r="I80" s="4">
        <f>IFERROR(IF(NOT(H80=""),ABS(ROUNDDOWN(F80-H80, 3 - (1+INT(LOG10(ABS(F80)))))),""),IF(AND(F80=0,NOT(F80="")),ABS(ROUNDDOWN(F80-H80,0)),""))</f>
        <v/>
      </c>
      <c r="J80" s="4">
        <f>IF(NOT(I80=""),IF(I80&lt;=G80,"match",IF(I80&lt;3*G80,"partial match","no match")),"")</f>
        <v/>
      </c>
      <c r="K80" t="inlineStr">
        <is>
          <t>morph_vol_dens_ombb</t>
        </is>
      </c>
    </row>
    <row r="81" ht="15" customHeight="1" s="10">
      <c r="A81" t="inlineStr">
        <is>
          <t>configuration A</t>
        </is>
      </c>
      <c r="B81" t="inlineStr">
        <is>
          <t>Morphology</t>
        </is>
      </c>
      <c r="C81" t="inlineStr">
        <is>
          <t>Area density (OMBB)</t>
        </is>
      </c>
      <c r="E81" t="inlineStr">
        <is>
          <t>&lt; 3</t>
        </is>
      </c>
      <c r="H81" s="9" t="n"/>
      <c r="I81" s="4">
        <f>IFERROR(IF(NOT(H81=""),ABS(ROUNDDOWN(F81-H81, 3 - (1+INT(LOG10(ABS(F81)))))),""),IF(AND(F81=0,NOT(F81="")),ABS(ROUNDDOWN(F81-H81,0)),""))</f>
        <v/>
      </c>
      <c r="J81" s="4">
        <f>IF(NOT(I81=""),IF(I81&lt;=G81,"match",IF(I81&lt;3*G81,"partial match","no match")),"")</f>
        <v/>
      </c>
      <c r="K81" t="inlineStr">
        <is>
          <t>morph_area_dens_ombb</t>
        </is>
      </c>
    </row>
    <row r="82" ht="15" customHeight="1" s="10">
      <c r="A82" t="inlineStr">
        <is>
          <t>configuration A</t>
        </is>
      </c>
      <c r="B82" t="inlineStr">
        <is>
          <t>Morphology</t>
        </is>
      </c>
      <c r="C82" t="inlineStr">
        <is>
          <t>Volume density (AEE)</t>
        </is>
      </c>
      <c r="E82" t="inlineStr">
        <is>
          <t>3-5</t>
        </is>
      </c>
      <c r="F82" t="n">
        <v>1.29</v>
      </c>
      <c r="G82" t="n">
        <v>0.01</v>
      </c>
      <c r="H82" s="9" t="n"/>
      <c r="I82" s="4">
        <f>IFERROR(IF(NOT(H82=""),ABS(ROUNDDOWN(F82-H82, 3 - (1+INT(LOG10(ABS(F82)))))),""),IF(AND(F82=0,NOT(F82="")),ABS(ROUNDDOWN(F82-H82,0)),""))</f>
        <v/>
      </c>
      <c r="J82" s="4">
        <f>IF(NOT(I82=""),IF(I82&lt;=G82,"match",IF(I82&lt;3*G82,"partial match","no match")),"")</f>
        <v/>
      </c>
      <c r="K82" t="inlineStr">
        <is>
          <t>morph_vol_dens_aee</t>
        </is>
      </c>
    </row>
    <row r="83" ht="15" customHeight="1" s="10">
      <c r="A83" t="inlineStr">
        <is>
          <t>configuration A</t>
        </is>
      </c>
      <c r="B83" t="inlineStr">
        <is>
          <t>Morphology</t>
        </is>
      </c>
      <c r="C83" t="inlineStr">
        <is>
          <t>Area density (AEE)</t>
        </is>
      </c>
      <c r="E83" t="inlineStr">
        <is>
          <t>3-5</t>
        </is>
      </c>
      <c r="F83" t="n">
        <v>1.71</v>
      </c>
      <c r="G83" t="n">
        <v>0.01</v>
      </c>
      <c r="H83" s="9" t="n"/>
      <c r="I83" s="4">
        <f>IFERROR(IF(NOT(H83=""),ABS(ROUNDDOWN(F83-H83, 3 - (1+INT(LOG10(ABS(F83)))))),""),IF(AND(F83=0,NOT(F83="")),ABS(ROUNDDOWN(F83-H83,0)),""))</f>
        <v/>
      </c>
      <c r="J83" s="4">
        <f>IF(NOT(I83=""),IF(I83&lt;=G83,"match",IF(I83&lt;3*G83,"partial match","no match")),"")</f>
        <v/>
      </c>
      <c r="K83" t="inlineStr">
        <is>
          <t>morph_area_dens_aee</t>
        </is>
      </c>
    </row>
    <row r="84" ht="15" customHeight="1" s="10">
      <c r="A84" t="inlineStr">
        <is>
          <t>configuration A</t>
        </is>
      </c>
      <c r="B84" t="inlineStr">
        <is>
          <t>Morphology</t>
        </is>
      </c>
      <c r="C84" t="inlineStr">
        <is>
          <t>Volume density (MVEE)</t>
        </is>
      </c>
      <c r="E84" t="inlineStr">
        <is>
          <t>&lt; 3</t>
        </is>
      </c>
      <c r="H84" s="9" t="n"/>
      <c r="I84" s="4">
        <f>IFERROR(IF(NOT(H84=""),ABS(ROUNDDOWN(F84-H84, 3 - (1+INT(LOG10(ABS(F84)))))),""),IF(AND(F84=0,NOT(F84="")),ABS(ROUNDDOWN(F84-H84,0)),""))</f>
        <v/>
      </c>
      <c r="J84" s="4">
        <f>IF(NOT(I84=""),IF(I84&lt;=G84,"match",IF(I84&lt;3*G84,"partial match","no match")),"")</f>
        <v/>
      </c>
      <c r="K84" t="inlineStr">
        <is>
          <t>morph_vol_dens_mvee</t>
        </is>
      </c>
    </row>
    <row r="85" ht="15" customHeight="1" s="10">
      <c r="A85" t="inlineStr">
        <is>
          <t>configuration A</t>
        </is>
      </c>
      <c r="B85" t="inlineStr">
        <is>
          <t>Morphology</t>
        </is>
      </c>
      <c r="C85" t="inlineStr">
        <is>
          <t>Area density (MVEE)</t>
        </is>
      </c>
      <c r="E85" t="inlineStr">
        <is>
          <t>&lt; 3</t>
        </is>
      </c>
      <c r="H85" s="9" t="n"/>
      <c r="I85" s="4">
        <f>IFERROR(IF(NOT(H85=""),ABS(ROUNDDOWN(F85-H85, 3 - (1+INT(LOG10(ABS(F85)))))),""),IF(AND(F85=0,NOT(F85="")),ABS(ROUNDDOWN(F85-H85,0)),""))</f>
        <v/>
      </c>
      <c r="J85" s="4">
        <f>IF(NOT(I85=""),IF(I85&lt;=G85,"match",IF(I85&lt;3*G85,"partial match","no match")),"")</f>
        <v/>
      </c>
      <c r="K85" t="inlineStr">
        <is>
          <t>morph_area_dens_mvee</t>
        </is>
      </c>
    </row>
    <row r="86" ht="15" customHeight="1" s="10">
      <c r="A86" t="inlineStr">
        <is>
          <t>configuration A</t>
        </is>
      </c>
      <c r="B86" t="inlineStr">
        <is>
          <t>Morphology</t>
        </is>
      </c>
      <c r="C86" t="inlineStr">
        <is>
          <t>Volume density (convex hull)</t>
        </is>
      </c>
      <c r="E86" t="inlineStr">
        <is>
          <t>3-5</t>
        </is>
      </c>
      <c r="F86" t="n">
        <v>0.827</v>
      </c>
      <c r="G86" t="n">
        <v>0.001</v>
      </c>
      <c r="H86" s="9" t="n"/>
      <c r="I86" s="4">
        <f>IFERROR(IF(NOT(H86=""),ABS(ROUNDDOWN(F86-H86, 3 - (1+INT(LOG10(ABS(F86)))))),""),IF(AND(F86=0,NOT(F86="")),ABS(ROUNDDOWN(F86-H86,0)),""))</f>
        <v/>
      </c>
      <c r="J86" s="4">
        <f>IF(NOT(I86=""),IF(I86&lt;=G86,"match",IF(I86&lt;3*G86,"partial match","no match")),"")</f>
        <v/>
      </c>
      <c r="K86" t="inlineStr">
        <is>
          <t>morph_vol_dens_conv_hull</t>
        </is>
      </c>
    </row>
    <row r="87" ht="15" customHeight="1" s="10">
      <c r="A87" t="inlineStr">
        <is>
          <t>configuration A</t>
        </is>
      </c>
      <c r="B87" t="inlineStr">
        <is>
          <t>Morphology</t>
        </is>
      </c>
      <c r="C87" t="inlineStr">
        <is>
          <t>Area density (convex hull)</t>
        </is>
      </c>
      <c r="E87" t="inlineStr">
        <is>
          <t>3-5</t>
        </is>
      </c>
      <c r="F87" t="n">
        <v>1.18</v>
      </c>
      <c r="G87" t="n">
        <v>0.01</v>
      </c>
      <c r="H87" s="9" t="n"/>
      <c r="I87" s="4">
        <f>IFERROR(IF(NOT(H87=""),ABS(ROUNDDOWN(F87-H87, 3 - (1+INT(LOG10(ABS(F87)))))),""),IF(AND(F87=0,NOT(F87="")),ABS(ROUNDDOWN(F87-H87,0)),""))</f>
        <v/>
      </c>
      <c r="J87" s="4">
        <f>IF(NOT(I87=""),IF(I87&lt;=G87,"match",IF(I87&lt;3*G87,"partial match","no match")),"")</f>
        <v/>
      </c>
      <c r="K87" t="inlineStr">
        <is>
          <t>morph_area_dens_conv_hull</t>
        </is>
      </c>
    </row>
    <row r="88" ht="15" customHeight="1" s="10">
      <c r="A88" t="inlineStr">
        <is>
          <t>configuration A</t>
        </is>
      </c>
      <c r="B88" t="inlineStr">
        <is>
          <t>Morphology</t>
        </is>
      </c>
      <c r="C88" t="inlineStr">
        <is>
          <t>Integrated intensity</t>
        </is>
      </c>
      <c r="E88" t="inlineStr">
        <is>
          <t>6-9</t>
        </is>
      </c>
      <c r="F88" t="n">
        <v>4810000</v>
      </c>
      <c r="G88" t="n">
        <v>320000</v>
      </c>
      <c r="H88" s="9" t="n"/>
      <c r="I88" s="4">
        <f>IFERROR(IF(NOT(H88=""),ABS(ROUNDDOWN(F88-H88, 3 - (1+INT(LOG10(ABS(F88)))))),""),IF(AND(F88=0,NOT(F88="")),ABS(ROUNDDOWN(F88-H88,0)),""))</f>
        <v/>
      </c>
      <c r="J88" s="4">
        <f>IF(NOT(I88=""),IF(I88&lt;=G88,"match",IF(I88&lt;3*G88,"partial match","no match")),"")</f>
        <v/>
      </c>
      <c r="K88" t="inlineStr">
        <is>
          <t>morph_integ_int</t>
        </is>
      </c>
    </row>
    <row r="89" ht="15" customHeight="1" s="10">
      <c r="A89" t="inlineStr">
        <is>
          <t>configuration A</t>
        </is>
      </c>
      <c r="B89" t="inlineStr">
        <is>
          <t>Morphology</t>
        </is>
      </c>
      <c r="C89" t="inlineStr">
        <is>
          <t>Moran's I index</t>
        </is>
      </c>
      <c r="E89" t="inlineStr">
        <is>
          <t>&lt; 3</t>
        </is>
      </c>
      <c r="H89" s="9" t="n"/>
      <c r="I89" s="4">
        <f>IFERROR(IF(NOT(H89=""),ABS(ROUNDDOWN(F89-H89, 3 - (1+INT(LOG10(ABS(F89)))))),""),IF(AND(F89=0,NOT(F89="")),ABS(ROUNDDOWN(F89-H89,0)),""))</f>
        <v/>
      </c>
      <c r="J89" s="4">
        <f>IF(NOT(I89=""),IF(I89&lt;=G89,"match",IF(I89&lt;3*G89,"partial match","no match")),"")</f>
        <v/>
      </c>
      <c r="K89" t="inlineStr">
        <is>
          <t>morph_moran_i</t>
        </is>
      </c>
    </row>
    <row r="90" ht="15" customHeight="1" s="10">
      <c r="A90" t="inlineStr">
        <is>
          <t>configuration A</t>
        </is>
      </c>
      <c r="B90" t="inlineStr">
        <is>
          <t>Morphology</t>
        </is>
      </c>
      <c r="C90" t="inlineStr">
        <is>
          <t>Geary's C measure</t>
        </is>
      </c>
      <c r="E90" t="inlineStr">
        <is>
          <t>&lt; 3</t>
        </is>
      </c>
      <c r="H90" s="9" t="n"/>
      <c r="I90" s="4">
        <f>IFERROR(IF(NOT(H90=""),ABS(ROUNDDOWN(F90-H90, 3 - (1+INT(LOG10(ABS(F90)))))),""),IF(AND(F90=0,NOT(F90="")),ABS(ROUNDDOWN(F90-H90,0)),""))</f>
        <v/>
      </c>
      <c r="J90" s="4">
        <f>IF(NOT(I90=""),IF(I90&lt;=G90,"match",IF(I90&lt;3*G90,"partial match","no match")),"")</f>
        <v/>
      </c>
      <c r="K90" t="inlineStr">
        <is>
          <t>morph_geary_c</t>
        </is>
      </c>
    </row>
    <row r="91" ht="15" customHeight="1" s="10">
      <c r="A91" t="inlineStr">
        <is>
          <t>configuration A</t>
        </is>
      </c>
      <c r="B91" t="inlineStr">
        <is>
          <t>Local intensity</t>
        </is>
      </c>
      <c r="C91" t="inlineStr">
        <is>
          <t>Local intensity peak</t>
        </is>
      </c>
      <c r="E91" t="inlineStr">
        <is>
          <t>3-5</t>
        </is>
      </c>
      <c r="F91" t="n">
        <v>-277</v>
      </c>
      <c r="G91" t="n">
        <v>10</v>
      </c>
      <c r="H91" s="9" t="n"/>
      <c r="I91" s="4">
        <f>IFERROR(IF(NOT(H91=""),ABS(ROUNDDOWN(F91-H91, 3 - (1+INT(LOG10(ABS(F91)))))),""),IF(AND(F91=0,NOT(F91="")),ABS(ROUNDDOWN(F91-H91,0)),""))</f>
        <v/>
      </c>
      <c r="J91" s="4">
        <f>IF(NOT(I91=""),IF(I91&lt;=G91,"match",IF(I91&lt;3*G91,"partial match","no match")),"")</f>
        <v/>
      </c>
      <c r="K91" t="inlineStr">
        <is>
          <t>loc_peak_loc</t>
        </is>
      </c>
    </row>
    <row r="92" ht="15" customHeight="1" s="10">
      <c r="A92" t="inlineStr">
        <is>
          <t>configuration A</t>
        </is>
      </c>
      <c r="B92" t="inlineStr">
        <is>
          <t>Local intensity</t>
        </is>
      </c>
      <c r="C92" t="inlineStr">
        <is>
          <t>Global intensity peak</t>
        </is>
      </c>
      <c r="E92" t="inlineStr">
        <is>
          <t>3-5</t>
        </is>
      </c>
      <c r="F92" t="n">
        <v>189</v>
      </c>
      <c r="G92" t="n">
        <v>5</v>
      </c>
      <c r="H92" s="9" t="n"/>
      <c r="I92" s="4">
        <f>IFERROR(IF(NOT(H92=""),ABS(ROUNDDOWN(F92-H92, 3 - (1+INT(LOG10(ABS(F92)))))),""),IF(AND(F92=0,NOT(F92="")),ABS(ROUNDDOWN(F92-H92,0)),""))</f>
        <v/>
      </c>
      <c r="J92" s="4">
        <f>IF(NOT(I92=""),IF(I92&lt;=G92,"match",IF(I92&lt;3*G92,"partial match","no match")),"")</f>
        <v/>
      </c>
      <c r="K92" t="inlineStr">
        <is>
          <t>loc_peak_glob</t>
        </is>
      </c>
    </row>
    <row r="93" ht="15" customHeight="1" s="10">
      <c r="A93" t="inlineStr">
        <is>
          <t>configuration A</t>
        </is>
      </c>
      <c r="B93" t="inlineStr">
        <is>
          <t>Statistics</t>
        </is>
      </c>
      <c r="C93" t="inlineStr">
        <is>
          <t>Mean</t>
        </is>
      </c>
      <c r="E93" t="inlineStr">
        <is>
          <t>≥ 10</t>
        </is>
      </c>
      <c r="F93" t="n">
        <v>13.4</v>
      </c>
      <c r="G93" t="n">
        <v>1.1</v>
      </c>
      <c r="H93" s="9" t="n"/>
      <c r="I93" s="4">
        <f>IFERROR(IF(NOT(H93=""),ABS(ROUNDDOWN(F93-H93, 3 - (1+INT(LOG10(ABS(F93)))))),""),IF(AND(F93=0,NOT(F93="")),ABS(ROUNDDOWN(F93-H93,0)),""))</f>
        <v/>
      </c>
      <c r="J93" s="4">
        <f>IF(NOT(I93=""),IF(I93&lt;=G93,"match",IF(I93&lt;3*G93,"partial match","no match")),"")</f>
        <v/>
      </c>
      <c r="K93" t="inlineStr">
        <is>
          <t>stat_mean</t>
        </is>
      </c>
    </row>
    <row r="94" ht="15" customHeight="1" s="10">
      <c r="A94" t="inlineStr">
        <is>
          <t>configuration A</t>
        </is>
      </c>
      <c r="B94" t="inlineStr">
        <is>
          <t>Statistics</t>
        </is>
      </c>
      <c r="C94" t="inlineStr">
        <is>
          <t>Variance</t>
        </is>
      </c>
      <c r="E94" t="inlineStr">
        <is>
          <t>≥ 10</t>
        </is>
      </c>
      <c r="F94" t="n">
        <v>14200</v>
      </c>
      <c r="G94" t="n">
        <v>400</v>
      </c>
      <c r="H94" s="9" t="n"/>
      <c r="I94" s="4">
        <f>IFERROR(IF(NOT(H94=""),ABS(ROUNDDOWN(F94-H94, 3 - (1+INT(LOG10(ABS(F94)))))),""),IF(AND(F94=0,NOT(F94="")),ABS(ROUNDDOWN(F94-H94,0)),""))</f>
        <v/>
      </c>
      <c r="J94" s="4">
        <f>IF(NOT(I94=""),IF(I94&lt;=G94,"match",IF(I94&lt;3*G94,"partial match","no match")),"")</f>
        <v/>
      </c>
      <c r="K94" t="inlineStr">
        <is>
          <t>stat_var</t>
        </is>
      </c>
    </row>
    <row r="95" ht="15" customHeight="1" s="10">
      <c r="A95" t="inlineStr">
        <is>
          <t>configuration A</t>
        </is>
      </c>
      <c r="B95" t="inlineStr">
        <is>
          <t>Statistics</t>
        </is>
      </c>
      <c r="C95" t="inlineStr">
        <is>
          <t>Skewness</t>
        </is>
      </c>
      <c r="E95" t="inlineStr">
        <is>
          <t>≥ 10</t>
        </is>
      </c>
      <c r="F95" t="n">
        <v>-2.47</v>
      </c>
      <c r="G95" t="n">
        <v>0.05</v>
      </c>
      <c r="H95" s="9" t="n"/>
      <c r="I95" s="4">
        <f>IFERROR(IF(NOT(H95=""),ABS(ROUNDDOWN(F95-H95, 3 - (1+INT(LOG10(ABS(F95)))))),""),IF(AND(F95=0,NOT(F95="")),ABS(ROUNDDOWN(F95-H95,0)),""))</f>
        <v/>
      </c>
      <c r="J95" s="4">
        <f>IF(NOT(I95=""),IF(I95&lt;=G95,"match",IF(I95&lt;3*G95,"partial match","no match")),"")</f>
        <v/>
      </c>
      <c r="K95" t="inlineStr">
        <is>
          <t>stat_skew</t>
        </is>
      </c>
    </row>
    <row r="96" ht="15" customHeight="1" s="10">
      <c r="A96" t="inlineStr">
        <is>
          <t>configuration A</t>
        </is>
      </c>
      <c r="B96" t="inlineStr">
        <is>
          <t>Statistics</t>
        </is>
      </c>
      <c r="C96" t="inlineStr">
        <is>
          <t>(Excess) kurtosis</t>
        </is>
      </c>
      <c r="E96" t="inlineStr">
        <is>
          <t>≥ 10</t>
        </is>
      </c>
      <c r="F96" t="n">
        <v>5.96</v>
      </c>
      <c r="G96" t="n">
        <v>0.24</v>
      </c>
      <c r="H96" s="9" t="n"/>
      <c r="I96" s="4">
        <f>IFERROR(IF(NOT(H96=""),ABS(ROUNDDOWN(F96-H96, 3 - (1+INT(LOG10(ABS(F96)))))),""),IF(AND(F96=0,NOT(F96="")),ABS(ROUNDDOWN(F96-H96,0)),""))</f>
        <v/>
      </c>
      <c r="J96" s="4">
        <f>IF(NOT(I96=""),IF(I96&lt;=G96,"match",IF(I96&lt;3*G96,"partial match","no match")),"")</f>
        <v/>
      </c>
      <c r="K96" t="inlineStr">
        <is>
          <t>stat_kurt</t>
        </is>
      </c>
    </row>
    <row r="97" ht="15" customHeight="1" s="10">
      <c r="A97" t="inlineStr">
        <is>
          <t>configuration A</t>
        </is>
      </c>
      <c r="B97" t="inlineStr">
        <is>
          <t>Statistics</t>
        </is>
      </c>
      <c r="C97" t="inlineStr">
        <is>
          <t>Median</t>
        </is>
      </c>
      <c r="E97" t="inlineStr">
        <is>
          <t>≥ 10</t>
        </is>
      </c>
      <c r="F97" t="n">
        <v>46</v>
      </c>
      <c r="G97" t="n">
        <v>0.3</v>
      </c>
      <c r="H97" s="9" t="n"/>
      <c r="I97" s="4">
        <f>IFERROR(IF(NOT(H97=""),ABS(ROUNDDOWN(F97-H97, 3 - (1+INT(LOG10(ABS(F97)))))),""),IF(AND(F97=0,NOT(F97="")),ABS(ROUNDDOWN(F97-H97,0)),""))</f>
        <v/>
      </c>
      <c r="J97" s="4">
        <f>IF(NOT(I97=""),IF(I97&lt;=G97,"match",IF(I97&lt;3*G97,"partial match","no match")),"")</f>
        <v/>
      </c>
      <c r="K97" t="inlineStr">
        <is>
          <t>stat_median</t>
        </is>
      </c>
    </row>
    <row r="98" ht="15" customHeight="1" s="10">
      <c r="A98" t="inlineStr">
        <is>
          <t>configuration A</t>
        </is>
      </c>
      <c r="B98" t="inlineStr">
        <is>
          <t>Statistics</t>
        </is>
      </c>
      <c r="C98" t="inlineStr">
        <is>
          <t>Minimum</t>
        </is>
      </c>
      <c r="E98" t="inlineStr">
        <is>
          <t>≥ 10</t>
        </is>
      </c>
      <c r="F98" t="n">
        <v>-500</v>
      </c>
      <c r="G98" t="n">
        <v>0</v>
      </c>
      <c r="H98" s="9" t="n"/>
      <c r="I98" s="4">
        <f>IFERROR(IF(NOT(H98=""),ABS(ROUNDDOWN(F98-H98, 3 - (1+INT(LOG10(ABS(F98)))))),""),IF(AND(F98=0,NOT(F98="")),ABS(ROUNDDOWN(F98-H98,0)),""))</f>
        <v/>
      </c>
      <c r="J98" s="4">
        <f>IF(NOT(I98=""),IF(I98&lt;=G98,"match",IF(I98&lt;3*G98,"partial match","no match")),"")</f>
        <v/>
      </c>
      <c r="K98" t="inlineStr">
        <is>
          <t>stat_min</t>
        </is>
      </c>
    </row>
    <row r="99" ht="15" customHeight="1" s="10">
      <c r="A99" t="inlineStr">
        <is>
          <t>configuration A</t>
        </is>
      </c>
      <c r="B99" t="inlineStr">
        <is>
          <t>Statistics</t>
        </is>
      </c>
      <c r="C99" t="inlineStr">
        <is>
          <t>10th percentile</t>
        </is>
      </c>
      <c r="E99" t="inlineStr">
        <is>
          <t>6-9</t>
        </is>
      </c>
      <c r="F99" t="n">
        <v>-129</v>
      </c>
      <c r="G99" t="n">
        <v>8</v>
      </c>
      <c r="H99" s="9" t="n"/>
      <c r="I99" s="4">
        <f>IFERROR(IF(NOT(H99=""),ABS(ROUNDDOWN(F99-H99, 3 - (1+INT(LOG10(ABS(F99)))))),""),IF(AND(F99=0,NOT(F99="")),ABS(ROUNDDOWN(F99-H99,0)),""))</f>
        <v/>
      </c>
      <c r="J99" s="4">
        <f>IF(NOT(I99=""),IF(I99&lt;=G99,"match",IF(I99&lt;3*G99,"partial match","no match")),"")</f>
        <v/>
      </c>
      <c r="K99" t="inlineStr">
        <is>
          <t>stat_p10</t>
        </is>
      </c>
    </row>
    <row r="100" ht="15" customHeight="1" s="10">
      <c r="A100" t="inlineStr">
        <is>
          <t>configuration A</t>
        </is>
      </c>
      <c r="B100" t="inlineStr">
        <is>
          <t>Statistics</t>
        </is>
      </c>
      <c r="C100" t="inlineStr">
        <is>
          <t>90th percentile</t>
        </is>
      </c>
      <c r="E100" t="inlineStr">
        <is>
          <t>6-9</t>
        </is>
      </c>
      <c r="F100" t="n">
        <v>95</v>
      </c>
      <c r="G100" t="n">
        <v>0</v>
      </c>
      <c r="H100" s="9" t="n"/>
      <c r="I100" s="4">
        <f>IFERROR(IF(NOT(H100=""),ABS(ROUNDDOWN(F100-H100, 3 - (1+INT(LOG10(ABS(F100)))))),""),IF(AND(F100=0,NOT(F100="")),ABS(ROUNDDOWN(F100-H100,0)),""))</f>
        <v/>
      </c>
      <c r="J100" s="4">
        <f>IF(NOT(I100=""),IF(I100&lt;=G100,"match",IF(I100&lt;3*G100,"partial match","no match")),"")</f>
        <v/>
      </c>
      <c r="K100" t="inlineStr">
        <is>
          <t>stat_p90</t>
        </is>
      </c>
    </row>
    <row r="101" ht="15" customHeight="1" s="10">
      <c r="A101" t="inlineStr">
        <is>
          <t>configuration A</t>
        </is>
      </c>
      <c r="B101" t="inlineStr">
        <is>
          <t>Statistics</t>
        </is>
      </c>
      <c r="C101" t="inlineStr">
        <is>
          <t>Maximum</t>
        </is>
      </c>
      <c r="E101" t="inlineStr">
        <is>
          <t>≥ 10</t>
        </is>
      </c>
      <c r="F101" t="n">
        <v>377</v>
      </c>
      <c r="G101" t="n">
        <v>9</v>
      </c>
      <c r="H101" s="9" t="n"/>
      <c r="I101" s="4">
        <f>IFERROR(IF(NOT(H101=""),ABS(ROUNDDOWN(F101-H101, 3 - (1+INT(LOG10(ABS(F101)))))),""),IF(AND(F101=0,NOT(F101="")),ABS(ROUNDDOWN(F101-H101,0)),""))</f>
        <v/>
      </c>
      <c r="J101" s="4">
        <f>IF(NOT(I101=""),IF(I101&lt;=G101,"match",IF(I101&lt;3*G101,"partial match","no match")),"")</f>
        <v/>
      </c>
      <c r="K101" t="inlineStr">
        <is>
          <t>stat_max</t>
        </is>
      </c>
    </row>
    <row r="102" ht="15" customHeight="1" s="10">
      <c r="A102" t="inlineStr">
        <is>
          <t>configuration A</t>
        </is>
      </c>
      <c r="B102" t="inlineStr">
        <is>
          <t>Statistics</t>
        </is>
      </c>
      <c r="C102" t="inlineStr">
        <is>
          <t>Interquartile range</t>
        </is>
      </c>
      <c r="E102" t="inlineStr">
        <is>
          <t>≥ 10</t>
        </is>
      </c>
      <c r="F102" t="n">
        <v>56</v>
      </c>
      <c r="G102" t="n">
        <v>0.4</v>
      </c>
      <c r="H102" s="9" t="n"/>
      <c r="I102" s="4">
        <f>IFERROR(IF(NOT(H102=""),ABS(ROUNDDOWN(F102-H102, 3 - (1+INT(LOG10(ABS(F102)))))),""),IF(AND(F102=0,NOT(F102="")),ABS(ROUNDDOWN(F102-H102,0)),""))</f>
        <v/>
      </c>
      <c r="J102" s="4">
        <f>IF(NOT(I102=""),IF(I102&lt;=G102,"match",IF(I102&lt;3*G102,"partial match","no match")),"")</f>
        <v/>
      </c>
      <c r="K102" t="inlineStr">
        <is>
          <t>stat_iqr</t>
        </is>
      </c>
    </row>
    <row r="103" ht="15" customHeight="1" s="10">
      <c r="A103" t="inlineStr">
        <is>
          <t>configuration A</t>
        </is>
      </c>
      <c r="B103" t="inlineStr">
        <is>
          <t>Statistics</t>
        </is>
      </c>
      <c r="C103" t="inlineStr">
        <is>
          <t>Range</t>
        </is>
      </c>
      <c r="E103" t="inlineStr">
        <is>
          <t>≥ 10</t>
        </is>
      </c>
      <c r="F103" t="n">
        <v>877</v>
      </c>
      <c r="G103" t="n">
        <v>9</v>
      </c>
      <c r="H103" s="9" t="n"/>
      <c r="I103" s="4">
        <f>IFERROR(IF(NOT(H103=""),ABS(ROUNDDOWN(F103-H103, 3 - (1+INT(LOG10(ABS(F103)))))),""),IF(AND(F103=0,NOT(F103="")),ABS(ROUNDDOWN(F103-H103,0)),""))</f>
        <v/>
      </c>
      <c r="J103" s="4">
        <f>IF(NOT(I103=""),IF(I103&lt;=G103,"match",IF(I103&lt;3*G103,"partial match","no match")),"")</f>
        <v/>
      </c>
      <c r="K103" t="inlineStr">
        <is>
          <t>stat_range</t>
        </is>
      </c>
    </row>
    <row r="104" ht="15" customHeight="1" s="10">
      <c r="A104" t="inlineStr">
        <is>
          <t>configuration A</t>
        </is>
      </c>
      <c r="B104" t="inlineStr">
        <is>
          <t>Statistics</t>
        </is>
      </c>
      <c r="C104" t="inlineStr">
        <is>
          <t>Mean absolute deviation</t>
        </is>
      </c>
      <c r="E104" t="inlineStr">
        <is>
          <t>≥ 10</t>
        </is>
      </c>
      <c r="F104" t="n">
        <v>73.59999999999999</v>
      </c>
      <c r="G104" t="n">
        <v>1.4</v>
      </c>
      <c r="H104" s="9" t="n"/>
      <c r="I104" s="4">
        <f>IFERROR(IF(NOT(H104=""),ABS(ROUNDDOWN(F104-H104, 3 - (1+INT(LOG10(ABS(F104)))))),""),IF(AND(F104=0,NOT(F104="")),ABS(ROUNDDOWN(F104-H104,0)),""))</f>
        <v/>
      </c>
      <c r="J104" s="4">
        <f>IF(NOT(I104=""),IF(I104&lt;=G104,"match",IF(I104&lt;3*G104,"partial match","no match")),"")</f>
        <v/>
      </c>
      <c r="K104" t="inlineStr">
        <is>
          <t>stat_mad</t>
        </is>
      </c>
    </row>
    <row r="105" ht="15" customHeight="1" s="10">
      <c r="A105" t="inlineStr">
        <is>
          <t>configuration A</t>
        </is>
      </c>
      <c r="B105" t="inlineStr">
        <is>
          <t>Statistics</t>
        </is>
      </c>
      <c r="C105" t="inlineStr">
        <is>
          <t>Robust mean absolute deviation</t>
        </is>
      </c>
      <c r="E105" t="inlineStr">
        <is>
          <t>6-9</t>
        </is>
      </c>
      <c r="F105" t="n">
        <v>27.7</v>
      </c>
      <c r="G105" t="n">
        <v>0.8</v>
      </c>
      <c r="H105" s="9" t="n"/>
      <c r="I105" s="4">
        <f>IFERROR(IF(NOT(H105=""),ABS(ROUNDDOWN(F105-H105, 3 - (1+INT(LOG10(ABS(F105)))))),""),IF(AND(F105=0,NOT(F105="")),ABS(ROUNDDOWN(F105-H105,0)),""))</f>
        <v/>
      </c>
      <c r="J105" s="4">
        <f>IF(NOT(I105=""),IF(I105&lt;=G105,"match",IF(I105&lt;3*G105,"partial match","no match")),"")</f>
        <v/>
      </c>
      <c r="K105" t="inlineStr">
        <is>
          <t>stat_rmad</t>
        </is>
      </c>
    </row>
    <row r="106" ht="15" customHeight="1" s="10">
      <c r="A106" t="inlineStr">
        <is>
          <t>configuration A</t>
        </is>
      </c>
      <c r="B106" t="inlineStr">
        <is>
          <t>Statistics</t>
        </is>
      </c>
      <c r="C106" t="inlineStr">
        <is>
          <t>Median absolute deviation</t>
        </is>
      </c>
      <c r="E106" t="inlineStr">
        <is>
          <t>6-9</t>
        </is>
      </c>
      <c r="F106" t="n">
        <v>64.3</v>
      </c>
      <c r="G106" t="n">
        <v>1</v>
      </c>
      <c r="H106" s="9" t="n"/>
      <c r="I106" s="4">
        <f>IFERROR(IF(NOT(H106=""),ABS(ROUNDDOWN(F106-H106, 3 - (1+INT(LOG10(ABS(F106)))))),""),IF(AND(F106=0,NOT(F106="")),ABS(ROUNDDOWN(F106-H106,0)),""))</f>
        <v/>
      </c>
      <c r="J106" s="4">
        <f>IF(NOT(I106=""),IF(I106&lt;=G106,"match",IF(I106&lt;3*G106,"partial match","no match")),"")</f>
        <v/>
      </c>
      <c r="K106" t="inlineStr">
        <is>
          <t>stat_medad</t>
        </is>
      </c>
    </row>
    <row r="107" ht="15" customHeight="1" s="10">
      <c r="A107" t="inlineStr">
        <is>
          <t>configuration A</t>
        </is>
      </c>
      <c r="B107" t="inlineStr">
        <is>
          <t>Statistics</t>
        </is>
      </c>
      <c r="C107" t="inlineStr">
        <is>
          <t>Coefficient of variation</t>
        </is>
      </c>
      <c r="E107" t="inlineStr">
        <is>
          <t>6-9</t>
        </is>
      </c>
      <c r="F107" t="n">
        <v>8.9</v>
      </c>
      <c r="G107" t="n">
        <v>4.89</v>
      </c>
      <c r="H107" s="9" t="n"/>
      <c r="I107" s="4">
        <f>IFERROR(IF(NOT(H107=""),ABS(ROUNDDOWN(F107-H107, 3 - (1+INT(LOG10(ABS(F107)))))),""),IF(AND(F107=0,NOT(F107="")),ABS(ROUNDDOWN(F107-H107,0)),""))</f>
        <v/>
      </c>
      <c r="J107" s="4">
        <f>IF(NOT(I107=""),IF(I107&lt;=G107,"match",IF(I107&lt;3*G107,"partial match","no match")),"")</f>
        <v/>
      </c>
      <c r="K107" t="inlineStr">
        <is>
          <t>stat_cov</t>
        </is>
      </c>
    </row>
    <row r="108" ht="15" customHeight="1" s="10">
      <c r="A108" t="inlineStr">
        <is>
          <t>configuration A</t>
        </is>
      </c>
      <c r="B108" t="inlineStr">
        <is>
          <t>Statistics</t>
        </is>
      </c>
      <c r="C108" t="inlineStr">
        <is>
          <t>Quartile coefficient of dispersion</t>
        </is>
      </c>
      <c r="E108" t="inlineStr">
        <is>
          <t>6-9</t>
        </is>
      </c>
      <c r="F108" t="n">
        <v>0.636</v>
      </c>
      <c r="G108" t="n">
        <v>0.008</v>
      </c>
      <c r="H108" s="9" t="n"/>
      <c r="I108" s="4">
        <f>IFERROR(IF(NOT(H108=""),ABS(ROUNDDOWN(F108-H108, 3 - (1+INT(LOG10(ABS(F108)))))),""),IF(AND(F108=0,NOT(F108="")),ABS(ROUNDDOWN(F108-H108,0)),""))</f>
        <v/>
      </c>
      <c r="J108" s="4">
        <f>IF(NOT(I108=""),IF(I108&lt;=G108,"match",IF(I108&lt;3*G108,"partial match","no match")),"")</f>
        <v/>
      </c>
      <c r="K108" t="inlineStr">
        <is>
          <t>stat_qcod</t>
        </is>
      </c>
    </row>
    <row r="109" ht="15" customHeight="1" s="10">
      <c r="A109" t="inlineStr">
        <is>
          <t>configuration A</t>
        </is>
      </c>
      <c r="B109" t="inlineStr">
        <is>
          <t>Statistics</t>
        </is>
      </c>
      <c r="C109" t="inlineStr">
        <is>
          <t>Energy</t>
        </is>
      </c>
      <c r="E109" t="inlineStr">
        <is>
          <t>≥ 10</t>
        </is>
      </c>
      <c r="F109" t="n">
        <v>1650000000</v>
      </c>
      <c r="G109" t="n">
        <v>20000000</v>
      </c>
      <c r="H109" s="9" t="n"/>
      <c r="I109" s="4">
        <f>IFERROR(IF(NOT(H109=""),ABS(ROUNDDOWN(F109-H109, 3 - (1+INT(LOG10(ABS(F109)))))),""),IF(AND(F109=0,NOT(F109="")),ABS(ROUNDDOWN(F109-H109,0)),""))</f>
        <v/>
      </c>
      <c r="J109" s="4">
        <f>IF(NOT(I109=""),IF(I109&lt;=G109,"match",IF(I109&lt;3*G109,"partial match","no match")),"")</f>
        <v/>
      </c>
      <c r="K109" t="inlineStr">
        <is>
          <t>stat_energy</t>
        </is>
      </c>
    </row>
    <row r="110" ht="15" customHeight="1" s="10">
      <c r="A110" t="inlineStr">
        <is>
          <t>configuration A</t>
        </is>
      </c>
      <c r="B110" t="inlineStr">
        <is>
          <t>Statistics</t>
        </is>
      </c>
      <c r="C110" t="inlineStr">
        <is>
          <t>Root mean square</t>
        </is>
      </c>
      <c r="E110" t="inlineStr">
        <is>
          <t>≥ 10</t>
        </is>
      </c>
      <c r="F110" t="n">
        <v>120</v>
      </c>
      <c r="G110" t="n">
        <v>2</v>
      </c>
      <c r="H110" s="9" t="n"/>
      <c r="I110" s="4">
        <f>IFERROR(IF(NOT(H110=""),ABS(ROUNDDOWN(F110-H110, 3 - (1+INT(LOG10(ABS(F110)))))),""),IF(AND(F110=0,NOT(F110="")),ABS(ROUNDDOWN(F110-H110,0)),""))</f>
        <v/>
      </c>
      <c r="J110" s="4">
        <f>IF(NOT(I110=""),IF(I110&lt;=G110,"match",IF(I110&lt;3*G110,"partial match","no match")),"")</f>
        <v/>
      </c>
      <c r="K110" t="inlineStr">
        <is>
          <t>stat_rms</t>
        </is>
      </c>
    </row>
    <row r="111" ht="15" customHeight="1" s="10">
      <c r="A111" t="inlineStr">
        <is>
          <t>configuration A</t>
        </is>
      </c>
      <c r="B111" t="inlineStr">
        <is>
          <t>Intensity histogram</t>
        </is>
      </c>
      <c r="C111" t="inlineStr">
        <is>
          <t>Mean</t>
        </is>
      </c>
      <c r="E111" t="inlineStr">
        <is>
          <t>6-9</t>
        </is>
      </c>
      <c r="F111" t="n">
        <v>21</v>
      </c>
      <c r="G111" t="n">
        <v>0.1</v>
      </c>
      <c r="H111" s="9" t="n"/>
      <c r="I111" s="4">
        <f>IFERROR(IF(NOT(H111=""),ABS(ROUNDDOWN(F111-H111, 3 - (1+INT(LOG10(ABS(F111)))))),""),IF(AND(F111=0,NOT(F111="")),ABS(ROUNDDOWN(F111-H111,0)),""))</f>
        <v/>
      </c>
      <c r="J111" s="4">
        <f>IF(NOT(I111=""),IF(I111&lt;=G111,"match",IF(I111&lt;3*G111,"partial match","no match")),"")</f>
        <v/>
      </c>
      <c r="K111" t="inlineStr">
        <is>
          <t>ih_mean</t>
        </is>
      </c>
    </row>
    <row r="112" ht="15" customHeight="1" s="10">
      <c r="A112" t="inlineStr">
        <is>
          <t>configuration A</t>
        </is>
      </c>
      <c r="B112" t="inlineStr">
        <is>
          <t>Intensity histogram</t>
        </is>
      </c>
      <c r="C112" t="inlineStr">
        <is>
          <t>Variance</t>
        </is>
      </c>
      <c r="E112" t="inlineStr">
        <is>
          <t>6-9</t>
        </is>
      </c>
      <c r="F112" t="n">
        <v>22.8</v>
      </c>
      <c r="G112" t="n">
        <v>0.6</v>
      </c>
      <c r="H112" s="9" t="n"/>
      <c r="I112" s="4">
        <f>IFERROR(IF(NOT(H112=""),ABS(ROUNDDOWN(F112-H112, 3 - (1+INT(LOG10(ABS(F112)))))),""),IF(AND(F112=0,NOT(F112="")),ABS(ROUNDDOWN(F112-H112,0)),""))</f>
        <v/>
      </c>
      <c r="J112" s="4">
        <f>IF(NOT(I112=""),IF(I112&lt;=G112,"match",IF(I112&lt;3*G112,"partial match","no match")),"")</f>
        <v/>
      </c>
      <c r="K112" t="inlineStr">
        <is>
          <t>ih_var</t>
        </is>
      </c>
    </row>
    <row r="113" ht="15" customHeight="1" s="10">
      <c r="A113" t="inlineStr">
        <is>
          <t>configuration A</t>
        </is>
      </c>
      <c r="B113" t="inlineStr">
        <is>
          <t>Intensity histogram</t>
        </is>
      </c>
      <c r="C113" t="inlineStr">
        <is>
          <t>Skewness</t>
        </is>
      </c>
      <c r="E113" t="inlineStr">
        <is>
          <t>3-5</t>
        </is>
      </c>
      <c r="F113" t="n">
        <v>-2.46</v>
      </c>
      <c r="G113" t="n">
        <v>0.05</v>
      </c>
      <c r="H113" s="9" t="n"/>
      <c r="I113" s="4">
        <f>IFERROR(IF(NOT(H113=""),ABS(ROUNDDOWN(F113-H113, 3 - (1+INT(LOG10(ABS(F113)))))),""),IF(AND(F113=0,NOT(F113="")),ABS(ROUNDDOWN(F113-H113,0)),""))</f>
        <v/>
      </c>
      <c r="J113" s="4">
        <f>IF(NOT(I113=""),IF(I113&lt;=G113,"match",IF(I113&lt;3*G113,"partial match","no match")),"")</f>
        <v/>
      </c>
      <c r="K113" t="inlineStr">
        <is>
          <t>ih_skew</t>
        </is>
      </c>
    </row>
    <row r="114" ht="15" customHeight="1" s="10">
      <c r="A114" t="inlineStr">
        <is>
          <t>configuration A</t>
        </is>
      </c>
      <c r="B114" t="inlineStr">
        <is>
          <t>Intensity histogram</t>
        </is>
      </c>
      <c r="C114" t="inlineStr">
        <is>
          <t>Kurtosis</t>
        </is>
      </c>
      <c r="E114" t="inlineStr">
        <is>
          <t>3-5</t>
        </is>
      </c>
      <c r="F114" t="n">
        <v>5.9</v>
      </c>
      <c r="G114" t="n">
        <v>0.24</v>
      </c>
      <c r="H114" s="9" t="n"/>
      <c r="I114" s="4">
        <f>IFERROR(IF(NOT(H114=""),ABS(ROUNDDOWN(F114-H114, 3 - (1+INT(LOG10(ABS(F114)))))),""),IF(AND(F114=0,NOT(F114="")),ABS(ROUNDDOWN(F114-H114,0)),""))</f>
        <v/>
      </c>
      <c r="J114" s="4">
        <f>IF(NOT(I114=""),IF(I114&lt;=G114,"match",IF(I114&lt;3*G114,"partial match","no match")),"")</f>
        <v/>
      </c>
      <c r="K114" t="inlineStr">
        <is>
          <t>ih_kurt</t>
        </is>
      </c>
    </row>
    <row r="115" ht="15" customHeight="1" s="10">
      <c r="A115" t="inlineStr">
        <is>
          <t>configuration A</t>
        </is>
      </c>
      <c r="B115" t="inlineStr">
        <is>
          <t>Intensity histogram</t>
        </is>
      </c>
      <c r="C115" t="inlineStr">
        <is>
          <t>Median</t>
        </is>
      </c>
      <c r="E115" t="inlineStr">
        <is>
          <t>6-9</t>
        </is>
      </c>
      <c r="F115" t="n">
        <v>22</v>
      </c>
      <c r="G115" t="n">
        <v>0</v>
      </c>
      <c r="H115" s="9" t="n"/>
      <c r="I115" s="4">
        <f>IFERROR(IF(NOT(H115=""),ABS(ROUNDDOWN(F115-H115, 3 - (1+INT(LOG10(ABS(F115)))))),""),IF(AND(F115=0,NOT(F115="")),ABS(ROUNDDOWN(F115-H115,0)),""))</f>
        <v/>
      </c>
      <c r="J115" s="4">
        <f>IF(NOT(I115=""),IF(I115&lt;=G115,"match",IF(I115&lt;3*G115,"partial match","no match")),"")</f>
        <v/>
      </c>
      <c r="K115" t="inlineStr">
        <is>
          <t>ih_median</t>
        </is>
      </c>
    </row>
    <row r="116" ht="15" customHeight="1" s="10">
      <c r="A116" t="inlineStr">
        <is>
          <t>configuration A</t>
        </is>
      </c>
      <c r="B116" t="inlineStr">
        <is>
          <t>Intensity histogram</t>
        </is>
      </c>
      <c r="C116" t="inlineStr">
        <is>
          <t>Minimum</t>
        </is>
      </c>
      <c r="E116" t="inlineStr">
        <is>
          <t>6-9</t>
        </is>
      </c>
      <c r="F116" t="n">
        <v>1</v>
      </c>
      <c r="G116" t="n">
        <v>0</v>
      </c>
      <c r="H116" s="9" t="n"/>
      <c r="I116" s="4">
        <f>IFERROR(IF(NOT(H116=""),ABS(ROUNDDOWN(F116-H116, 3 - (1+INT(LOG10(ABS(F116)))))),""),IF(AND(F116=0,NOT(F116="")),ABS(ROUNDDOWN(F116-H116,0)),""))</f>
        <v/>
      </c>
      <c r="J116" s="4">
        <f>IF(NOT(I116=""),IF(I116&lt;=G116,"match",IF(I116&lt;3*G116,"partial match","no match")),"")</f>
        <v/>
      </c>
      <c r="K116" t="inlineStr">
        <is>
          <t>ih_min</t>
        </is>
      </c>
    </row>
    <row r="117" ht="15" customHeight="1" s="10">
      <c r="A117" t="inlineStr">
        <is>
          <t>configuration A</t>
        </is>
      </c>
      <c r="B117" t="inlineStr">
        <is>
          <t>Intensity histogram</t>
        </is>
      </c>
      <c r="C117" t="inlineStr">
        <is>
          <t>10th percentile</t>
        </is>
      </c>
      <c r="E117" t="inlineStr">
        <is>
          <t>6-9</t>
        </is>
      </c>
      <c r="F117" t="n">
        <v>15</v>
      </c>
      <c r="G117" t="n">
        <v>0.4</v>
      </c>
      <c r="H117" s="9" t="n"/>
      <c r="I117" s="4">
        <f>IFERROR(IF(NOT(H117=""),ABS(ROUNDDOWN(F117-H117, 3 - (1+INT(LOG10(ABS(F117)))))),""),IF(AND(F117=0,NOT(F117="")),ABS(ROUNDDOWN(F117-H117,0)),""))</f>
        <v/>
      </c>
      <c r="J117" s="4">
        <f>IF(NOT(I117=""),IF(I117&lt;=G117,"match",IF(I117&lt;3*G117,"partial match","no match")),"")</f>
        <v/>
      </c>
      <c r="K117" t="inlineStr">
        <is>
          <t>ih_p10</t>
        </is>
      </c>
    </row>
    <row r="118" ht="15" customHeight="1" s="10">
      <c r="A118" t="inlineStr">
        <is>
          <t>configuration A</t>
        </is>
      </c>
      <c r="B118" t="inlineStr">
        <is>
          <t>Intensity histogram</t>
        </is>
      </c>
      <c r="C118" t="inlineStr">
        <is>
          <t>90th percentile</t>
        </is>
      </c>
      <c r="E118" t="inlineStr">
        <is>
          <t>6-9</t>
        </is>
      </c>
      <c r="F118" t="n">
        <v>24</v>
      </c>
      <c r="G118" t="n">
        <v>0</v>
      </c>
      <c r="H118" s="9" t="n"/>
      <c r="I118" s="4">
        <f>IFERROR(IF(NOT(H118=""),ABS(ROUNDDOWN(F118-H118, 3 - (1+INT(LOG10(ABS(F118)))))),""),IF(AND(F118=0,NOT(F118="")),ABS(ROUNDDOWN(F118-H118,0)),""))</f>
        <v/>
      </c>
      <c r="J118" s="4">
        <f>IF(NOT(I118=""),IF(I118&lt;=G118,"match",IF(I118&lt;3*G118,"partial match","no match")),"")</f>
        <v/>
      </c>
      <c r="K118" t="inlineStr">
        <is>
          <t>ih_p90</t>
        </is>
      </c>
    </row>
    <row r="119" ht="15" customHeight="1" s="10">
      <c r="A119" t="inlineStr">
        <is>
          <t>configuration A</t>
        </is>
      </c>
      <c r="B119" t="inlineStr">
        <is>
          <t>Intensity histogram</t>
        </is>
      </c>
      <c r="C119" t="inlineStr">
        <is>
          <t>Maximum</t>
        </is>
      </c>
      <c r="E119" t="inlineStr">
        <is>
          <t>6-9</t>
        </is>
      </c>
      <c r="F119" t="n">
        <v>36</v>
      </c>
      <c r="G119" t="n">
        <v>0.4</v>
      </c>
      <c r="H119" s="9" t="n"/>
      <c r="I119" s="4">
        <f>IFERROR(IF(NOT(H119=""),ABS(ROUNDDOWN(F119-H119, 3 - (1+INT(LOG10(ABS(F119)))))),""),IF(AND(F119=0,NOT(F119="")),ABS(ROUNDDOWN(F119-H119,0)),""))</f>
        <v/>
      </c>
      <c r="J119" s="4">
        <f>IF(NOT(I119=""),IF(I119&lt;=G119,"match",IF(I119&lt;3*G119,"partial match","no match")),"")</f>
        <v/>
      </c>
      <c r="K119" t="inlineStr">
        <is>
          <t>ih_max</t>
        </is>
      </c>
    </row>
    <row r="120" ht="15" customHeight="1" s="10">
      <c r="A120" t="inlineStr">
        <is>
          <t>configuration A</t>
        </is>
      </c>
      <c r="B120" t="inlineStr">
        <is>
          <t>Intensity histogram</t>
        </is>
      </c>
      <c r="C120" t="inlineStr">
        <is>
          <t>Mode</t>
        </is>
      </c>
      <c r="E120" t="inlineStr">
        <is>
          <t>3-5</t>
        </is>
      </c>
      <c r="F120" t="n">
        <v>23</v>
      </c>
      <c r="G120" t="n">
        <v>0.1</v>
      </c>
      <c r="H120" s="9" t="n"/>
      <c r="I120" s="4">
        <f>IFERROR(IF(NOT(H120=""),ABS(ROUNDDOWN(F120-H120, 3 - (1+INT(LOG10(ABS(F120)))))),""),IF(AND(F120=0,NOT(F120="")),ABS(ROUNDDOWN(F120-H120,0)),""))</f>
        <v/>
      </c>
      <c r="J120" s="4">
        <f>IF(NOT(I120=""),IF(I120&lt;=G120,"match",IF(I120&lt;3*G120,"partial match","no match")),"")</f>
        <v/>
      </c>
      <c r="K120" t="inlineStr">
        <is>
          <t>ih_mode</t>
        </is>
      </c>
    </row>
    <row r="121" ht="15" customHeight="1" s="10">
      <c r="A121" t="inlineStr">
        <is>
          <t>configuration A</t>
        </is>
      </c>
      <c r="B121" t="inlineStr">
        <is>
          <t>Intensity histogram</t>
        </is>
      </c>
      <c r="C121" t="inlineStr">
        <is>
          <t>Interquartile range</t>
        </is>
      </c>
      <c r="E121" t="inlineStr">
        <is>
          <t>6-9</t>
        </is>
      </c>
      <c r="F121" t="n">
        <v>2</v>
      </c>
      <c r="G121" t="n">
        <v>0</v>
      </c>
      <c r="H121" s="9" t="n"/>
      <c r="I121" s="4">
        <f>IFERROR(IF(NOT(H121=""),ABS(ROUNDDOWN(F121-H121, 3 - (1+INT(LOG10(ABS(F121)))))),""),IF(AND(F121=0,NOT(F121="")),ABS(ROUNDDOWN(F121-H121,0)),""))</f>
        <v/>
      </c>
      <c r="J121" s="4">
        <f>IF(NOT(I121=""),IF(I121&lt;=G121,"match",IF(I121&lt;3*G121,"partial match","no match")),"")</f>
        <v/>
      </c>
      <c r="K121" t="inlineStr">
        <is>
          <t>ih_iqr</t>
        </is>
      </c>
    </row>
    <row r="122" ht="15" customHeight="1" s="10">
      <c r="A122" t="inlineStr">
        <is>
          <t>configuration A</t>
        </is>
      </c>
      <c r="B122" t="inlineStr">
        <is>
          <t>Intensity histogram</t>
        </is>
      </c>
      <c r="C122" t="inlineStr">
        <is>
          <t>Range</t>
        </is>
      </c>
      <c r="E122" t="inlineStr">
        <is>
          <t>6-9</t>
        </is>
      </c>
      <c r="F122" t="n">
        <v>35</v>
      </c>
      <c r="G122" t="n">
        <v>0.4</v>
      </c>
      <c r="H122" s="9" t="n"/>
      <c r="I122" s="4">
        <f>IFERROR(IF(NOT(H122=""),ABS(ROUNDDOWN(F122-H122, 3 - (1+INT(LOG10(ABS(F122)))))),""),IF(AND(F122=0,NOT(F122="")),ABS(ROUNDDOWN(F122-H122,0)),""))</f>
        <v/>
      </c>
      <c r="J122" s="4">
        <f>IF(NOT(I122=""),IF(I122&lt;=G122,"match",IF(I122&lt;3*G122,"partial match","no match")),"")</f>
        <v/>
      </c>
      <c r="K122" t="inlineStr">
        <is>
          <t>ih_range</t>
        </is>
      </c>
    </row>
    <row r="123" ht="15" customHeight="1" s="10">
      <c r="A123" t="inlineStr">
        <is>
          <t>configuration A</t>
        </is>
      </c>
      <c r="B123" t="inlineStr">
        <is>
          <t>Intensity histogram</t>
        </is>
      </c>
      <c r="C123" t="inlineStr">
        <is>
          <t>Mean absolute deviation</t>
        </is>
      </c>
      <c r="E123" t="inlineStr">
        <is>
          <t>6-9</t>
        </is>
      </c>
      <c r="F123" t="n">
        <v>2.93</v>
      </c>
      <c r="G123" t="n">
        <v>0.06</v>
      </c>
      <c r="H123" s="9" t="n"/>
      <c r="I123" s="4">
        <f>IFERROR(IF(NOT(H123=""),ABS(ROUNDDOWN(F123-H123, 3 - (1+INT(LOG10(ABS(F123)))))),""),IF(AND(F123=0,NOT(F123="")),ABS(ROUNDDOWN(F123-H123,0)),""))</f>
        <v/>
      </c>
      <c r="J123" s="4">
        <f>IF(NOT(I123=""),IF(I123&lt;=G123,"match",IF(I123&lt;3*G123,"partial match","no match")),"")</f>
        <v/>
      </c>
      <c r="K123" t="inlineStr">
        <is>
          <t>ih_mad</t>
        </is>
      </c>
    </row>
    <row r="124" ht="15" customHeight="1" s="10">
      <c r="A124" t="inlineStr">
        <is>
          <t>configuration A</t>
        </is>
      </c>
      <c r="B124" t="inlineStr">
        <is>
          <t>Intensity histogram</t>
        </is>
      </c>
      <c r="C124" t="inlineStr">
        <is>
          <t>Robust mean absolute deviation</t>
        </is>
      </c>
      <c r="E124" t="inlineStr">
        <is>
          <t>3-5</t>
        </is>
      </c>
      <c r="F124" t="n">
        <v>1.18</v>
      </c>
      <c r="G124" t="n">
        <v>0.04</v>
      </c>
      <c r="H124" s="9" t="n"/>
      <c r="I124" s="4">
        <f>IFERROR(IF(NOT(H124=""),ABS(ROUNDDOWN(F124-H124, 3 - (1+INT(LOG10(ABS(F124)))))),""),IF(AND(F124=0,NOT(F124="")),ABS(ROUNDDOWN(F124-H124,0)),""))</f>
        <v/>
      </c>
      <c r="J124" s="4">
        <f>IF(NOT(I124=""),IF(I124&lt;=G124,"match",IF(I124&lt;3*G124,"partial match","no match")),"")</f>
        <v/>
      </c>
      <c r="K124" t="inlineStr">
        <is>
          <t>ih_rmad</t>
        </is>
      </c>
    </row>
    <row r="125" ht="15" customHeight="1" s="10">
      <c r="A125" t="inlineStr">
        <is>
          <t>configuration A</t>
        </is>
      </c>
      <c r="B125" t="inlineStr">
        <is>
          <t>Intensity histogram</t>
        </is>
      </c>
      <c r="C125" t="inlineStr">
        <is>
          <t>Median absolute deviation</t>
        </is>
      </c>
      <c r="E125" t="inlineStr">
        <is>
          <t>6-9</t>
        </is>
      </c>
      <c r="F125" t="n">
        <v>2.57</v>
      </c>
      <c r="G125" t="n">
        <v>0.05</v>
      </c>
      <c r="H125" s="9" t="n"/>
      <c r="I125" s="4">
        <f>IFERROR(IF(NOT(H125=""),ABS(ROUNDDOWN(F125-H125, 3 - (1+INT(LOG10(ABS(F125)))))),""),IF(AND(F125=0,NOT(F125="")),ABS(ROUNDDOWN(F125-H125,0)),""))</f>
        <v/>
      </c>
      <c r="J125" s="4">
        <f>IF(NOT(I125=""),IF(I125&lt;=G125,"match",IF(I125&lt;3*G125,"partial match","no match")),"")</f>
        <v/>
      </c>
      <c r="K125" t="inlineStr">
        <is>
          <t>ih_medad</t>
        </is>
      </c>
    </row>
    <row r="126" ht="15" customHeight="1" s="10">
      <c r="A126" t="inlineStr">
        <is>
          <t>configuration A</t>
        </is>
      </c>
      <c r="B126" t="inlineStr">
        <is>
          <t>Intensity histogram</t>
        </is>
      </c>
      <c r="C126" t="inlineStr">
        <is>
          <t>Coefficient of variation</t>
        </is>
      </c>
      <c r="E126" t="inlineStr">
        <is>
          <t>6-9</t>
        </is>
      </c>
      <c r="F126" t="n">
        <v>0.227</v>
      </c>
      <c r="G126" t="n">
        <v>0.004</v>
      </c>
      <c r="H126" s="9" t="n"/>
      <c r="I126" s="4">
        <f>IFERROR(IF(NOT(H126=""),ABS(ROUNDDOWN(F126-H126, 3 - (1+INT(LOG10(ABS(F126)))))),""),IF(AND(F126=0,NOT(F126="")),ABS(ROUNDDOWN(F126-H126,0)),""))</f>
        <v/>
      </c>
      <c r="J126" s="4">
        <f>IF(NOT(I126=""),IF(I126&lt;=G126,"match",IF(I126&lt;3*G126,"partial match","no match")),"")</f>
        <v/>
      </c>
      <c r="K126" t="inlineStr">
        <is>
          <t>ih_cov</t>
        </is>
      </c>
    </row>
    <row r="127" ht="15" customHeight="1" s="10">
      <c r="A127" t="inlineStr">
        <is>
          <t>configuration A</t>
        </is>
      </c>
      <c r="B127" t="inlineStr">
        <is>
          <t>Intensity histogram</t>
        </is>
      </c>
      <c r="C127" t="inlineStr">
        <is>
          <t>Quartile coefficient of dispersion</t>
        </is>
      </c>
      <c r="E127" t="inlineStr">
        <is>
          <t>6-9</t>
        </is>
      </c>
      <c r="F127" t="n">
        <v>0.0455</v>
      </c>
      <c r="G127" t="n">
        <v>0</v>
      </c>
      <c r="H127" s="9" t="n"/>
      <c r="I127" s="4">
        <f>IFERROR(IF(NOT(H127=""),ABS(ROUNDDOWN(F127-H127, 3 - (1+INT(LOG10(ABS(F127)))))),""),IF(AND(F127=0,NOT(F127="")),ABS(ROUNDDOWN(F127-H127,0)),""))</f>
        <v/>
      </c>
      <c r="J127" s="4">
        <f>IF(NOT(I127=""),IF(I127&lt;=G127,"match",IF(I127&lt;3*G127,"partial match","no match")),"")</f>
        <v/>
      </c>
      <c r="K127" t="inlineStr">
        <is>
          <t>ih_qcod</t>
        </is>
      </c>
    </row>
    <row r="128" ht="15" customHeight="1" s="10">
      <c r="A128" t="inlineStr">
        <is>
          <t>configuration A</t>
        </is>
      </c>
      <c r="B128" t="inlineStr">
        <is>
          <t>Intensity histogram</t>
        </is>
      </c>
      <c r="C128" t="inlineStr">
        <is>
          <t>Entropy</t>
        </is>
      </c>
      <c r="E128" t="inlineStr">
        <is>
          <t>6-9</t>
        </is>
      </c>
      <c r="F128" t="n">
        <v>3.36</v>
      </c>
      <c r="G128" t="n">
        <v>0.03</v>
      </c>
      <c r="H128" s="9" t="n"/>
      <c r="I128" s="4">
        <f>IFERROR(IF(NOT(H128=""),ABS(ROUNDDOWN(F128-H128, 3 - (1+INT(LOG10(ABS(F128)))))),""),IF(AND(F128=0,NOT(F128="")),ABS(ROUNDDOWN(F128-H128,0)),""))</f>
        <v/>
      </c>
      <c r="J128" s="4">
        <f>IF(NOT(I128=""),IF(I128&lt;=G128,"match",IF(I128&lt;3*G128,"partial match","no match")),"")</f>
        <v/>
      </c>
      <c r="K128" t="inlineStr">
        <is>
          <t>ih_entropy</t>
        </is>
      </c>
    </row>
    <row r="129" ht="15" customHeight="1" s="10">
      <c r="A129" t="inlineStr">
        <is>
          <t>configuration A</t>
        </is>
      </c>
      <c r="B129" t="inlineStr">
        <is>
          <t>Intensity histogram</t>
        </is>
      </c>
      <c r="C129" t="inlineStr">
        <is>
          <t>Uniformity</t>
        </is>
      </c>
      <c r="E129" t="inlineStr">
        <is>
          <t>6-9</t>
        </is>
      </c>
      <c r="F129" t="n">
        <v>0.15</v>
      </c>
      <c r="G129" t="n">
        <v>0.002</v>
      </c>
      <c r="H129" s="9" t="n"/>
      <c r="I129" s="4">
        <f>IFERROR(IF(NOT(H129=""),ABS(ROUNDDOWN(F129-H129, 3 - (1+INT(LOG10(ABS(F129)))))),""),IF(AND(F129=0,NOT(F129="")),ABS(ROUNDDOWN(F129-H129,0)),""))</f>
        <v/>
      </c>
      <c r="J129" s="4">
        <f>IF(NOT(I129=""),IF(I129&lt;=G129,"match",IF(I129&lt;3*G129,"partial match","no match")),"")</f>
        <v/>
      </c>
      <c r="K129" t="inlineStr">
        <is>
          <t>ih_uniformity</t>
        </is>
      </c>
    </row>
    <row r="130" ht="15" customHeight="1" s="10">
      <c r="A130" t="inlineStr">
        <is>
          <t>configuration A</t>
        </is>
      </c>
      <c r="B130" t="inlineStr">
        <is>
          <t>Intensity histogram</t>
        </is>
      </c>
      <c r="C130" t="inlineStr">
        <is>
          <t>Maximum histogram gradient</t>
        </is>
      </c>
      <c r="E130" t="inlineStr">
        <is>
          <t>3-5</t>
        </is>
      </c>
      <c r="F130" t="n">
        <v>11000</v>
      </c>
      <c r="G130" t="n">
        <v>100</v>
      </c>
      <c r="H130" s="9" t="n"/>
      <c r="I130" s="4">
        <f>IFERROR(IF(NOT(H130=""),ABS(ROUNDDOWN(F130-H130, 3 - (1+INT(LOG10(ABS(F130)))))),""),IF(AND(F130=0,NOT(F130="")),ABS(ROUNDDOWN(F130-H130,0)),""))</f>
        <v/>
      </c>
      <c r="J130" s="4">
        <f>IF(NOT(I130=""),IF(I130&lt;=G130,"match",IF(I130&lt;3*G130,"partial match","no match")),"")</f>
        <v/>
      </c>
      <c r="K130" t="inlineStr">
        <is>
          <t>ih_max_grad</t>
        </is>
      </c>
    </row>
    <row r="131" ht="15" customHeight="1" s="10">
      <c r="A131" t="inlineStr">
        <is>
          <t>configuration A</t>
        </is>
      </c>
      <c r="B131" t="inlineStr">
        <is>
          <t>Intensity histogram</t>
        </is>
      </c>
      <c r="C131" t="inlineStr">
        <is>
          <t>Maximum gradient grey level</t>
        </is>
      </c>
      <c r="E131" t="inlineStr">
        <is>
          <t>3-5</t>
        </is>
      </c>
      <c r="F131" t="n">
        <v>21</v>
      </c>
      <c r="G131" t="n">
        <v>0</v>
      </c>
      <c r="H131" s="9" t="n"/>
      <c r="I131" s="4">
        <f>IFERROR(IF(NOT(H131=""),ABS(ROUNDDOWN(F131-H131, 3 - (1+INT(LOG10(ABS(F131)))))),""),IF(AND(F131=0,NOT(F131="")),ABS(ROUNDDOWN(F131-H131,0)),""))</f>
        <v/>
      </c>
      <c r="J131" s="4">
        <f>IF(NOT(I131=""),IF(I131&lt;=G131,"match",IF(I131&lt;3*G131,"partial match","no match")),"")</f>
        <v/>
      </c>
      <c r="K131" t="inlineStr">
        <is>
          <t>ih_max_grad_g</t>
        </is>
      </c>
    </row>
    <row r="132" ht="15" customHeight="1" s="10">
      <c r="A132" t="inlineStr">
        <is>
          <t>configuration A</t>
        </is>
      </c>
      <c r="B132" t="inlineStr">
        <is>
          <t>Intensity histogram</t>
        </is>
      </c>
      <c r="C132" t="inlineStr">
        <is>
          <t>Minimum histogram gradient</t>
        </is>
      </c>
      <c r="E132" t="inlineStr">
        <is>
          <t>3-5</t>
        </is>
      </c>
      <c r="F132" t="n">
        <v>-10100</v>
      </c>
      <c r="G132" t="n">
        <v>100</v>
      </c>
      <c r="H132" s="9" t="n"/>
      <c r="I132" s="4">
        <f>IFERROR(IF(NOT(H132=""),ABS(ROUNDDOWN(F132-H132, 3 - (1+INT(LOG10(ABS(F132)))))),""),IF(AND(F132=0,NOT(F132="")),ABS(ROUNDDOWN(F132-H132,0)),""))</f>
        <v/>
      </c>
      <c r="J132" s="4">
        <f>IF(NOT(I132=""),IF(I132&lt;=G132,"match",IF(I132&lt;3*G132,"partial match","no match")),"")</f>
        <v/>
      </c>
      <c r="K132" t="inlineStr">
        <is>
          <t>ih_min_grad</t>
        </is>
      </c>
    </row>
    <row r="133" ht="15" customHeight="1" s="10">
      <c r="A133" t="inlineStr">
        <is>
          <t>configuration A</t>
        </is>
      </c>
      <c r="B133" t="inlineStr">
        <is>
          <t>Intensity histogram</t>
        </is>
      </c>
      <c r="C133" t="inlineStr">
        <is>
          <t>Minimum gradient grey level</t>
        </is>
      </c>
      <c r="E133" t="inlineStr">
        <is>
          <t>6-9</t>
        </is>
      </c>
      <c r="F133" t="n">
        <v>24</v>
      </c>
      <c r="G133" t="n">
        <v>0</v>
      </c>
      <c r="H133" s="9" t="n"/>
      <c r="I133" s="4">
        <f>IFERROR(IF(NOT(H133=""),ABS(ROUNDDOWN(F133-H133, 3 - (1+INT(LOG10(ABS(F133)))))),""),IF(AND(F133=0,NOT(F133="")),ABS(ROUNDDOWN(F133-H133,0)),""))</f>
        <v/>
      </c>
      <c r="J133" s="4">
        <f>IF(NOT(I133=""),IF(I133&lt;=G133,"match",IF(I133&lt;3*G133,"partial match","no match")),"")</f>
        <v/>
      </c>
      <c r="K133" t="inlineStr">
        <is>
          <t>ih_min_grad_g</t>
        </is>
      </c>
    </row>
    <row r="134" ht="15" customHeight="1" s="10">
      <c r="A134" t="inlineStr">
        <is>
          <t>configuration A</t>
        </is>
      </c>
      <c r="B134" t="inlineStr">
        <is>
          <t>Intensity volume histogram</t>
        </is>
      </c>
      <c r="C134" t="inlineStr">
        <is>
          <t>Volume fraction at 10% intensity</t>
        </is>
      </c>
      <c r="E134" t="inlineStr">
        <is>
          <t>6-9</t>
        </is>
      </c>
      <c r="F134" t="n">
        <v>0.978</v>
      </c>
      <c r="G134" t="n">
        <v>0.001</v>
      </c>
      <c r="H134" s="9" t="n"/>
      <c r="I134" s="4">
        <f>IFERROR(IF(NOT(H134=""),ABS(ROUNDDOWN(F134-H134, 3 - (1+INT(LOG10(ABS(F134)))))),""),IF(AND(F134=0,NOT(F134="")),ABS(ROUNDDOWN(F134-H134,0)),""))</f>
        <v/>
      </c>
      <c r="J134" s="4">
        <f>IF(NOT(I134=""),IF(I134&lt;=G134,"match",IF(I134&lt;3*G134,"partial match","no match")),"")</f>
        <v/>
      </c>
      <c r="K134" t="inlineStr">
        <is>
          <t>ivh_v10</t>
        </is>
      </c>
    </row>
    <row r="135" ht="15" customHeight="1" s="10">
      <c r="A135" t="inlineStr">
        <is>
          <t>configuration A</t>
        </is>
      </c>
      <c r="B135" t="inlineStr">
        <is>
          <t>Intensity volume histogram</t>
        </is>
      </c>
      <c r="C135" t="inlineStr">
        <is>
          <t>Volume fraction at 90% intensity</t>
        </is>
      </c>
      <c r="E135" t="inlineStr">
        <is>
          <t>6-9</t>
        </is>
      </c>
      <c r="F135" t="n">
        <v>6.98e-05</v>
      </c>
      <c r="G135" t="n">
        <v>1.03e-05</v>
      </c>
      <c r="H135" s="9" t="n"/>
      <c r="I135" s="4">
        <f>IFERROR(IF(NOT(H135=""),ABS(ROUNDDOWN(F135-H135, 3 - (1+INT(LOG10(ABS(F135)))))),""),IF(AND(F135=0,NOT(F135="")),ABS(ROUNDDOWN(F135-H135,0)),""))</f>
        <v/>
      </c>
      <c r="J135" s="4">
        <f>IF(NOT(I135=""),IF(I135&lt;=G135,"match",IF(I135&lt;3*G135,"partial match","no match")),"")</f>
        <v/>
      </c>
      <c r="K135" t="inlineStr">
        <is>
          <t>ivh_v90</t>
        </is>
      </c>
    </row>
    <row r="136" ht="15" customHeight="1" s="10">
      <c r="A136" t="inlineStr">
        <is>
          <t>configuration A</t>
        </is>
      </c>
      <c r="B136" t="inlineStr">
        <is>
          <t>Intensity volume histogram</t>
        </is>
      </c>
      <c r="C136" t="inlineStr">
        <is>
          <t>Intensity at 10% volume</t>
        </is>
      </c>
      <c r="E136" t="inlineStr">
        <is>
          <t>6-9</t>
        </is>
      </c>
      <c r="F136" t="n">
        <v>96</v>
      </c>
      <c r="G136" t="n">
        <v>0</v>
      </c>
      <c r="H136" s="9" t="n"/>
      <c r="I136" s="4">
        <f>IFERROR(IF(NOT(H136=""),ABS(ROUNDDOWN(F136-H136, 3 - (1+INT(LOG10(ABS(F136)))))),""),IF(AND(F136=0,NOT(F136="")),ABS(ROUNDDOWN(F136-H136,0)),""))</f>
        <v/>
      </c>
      <c r="J136" s="4">
        <f>IF(NOT(I136=""),IF(I136&lt;=G136,"match",IF(I136&lt;3*G136,"partial match","no match")),"")</f>
        <v/>
      </c>
      <c r="K136" t="inlineStr">
        <is>
          <t>ivh_i10</t>
        </is>
      </c>
    </row>
    <row r="137" ht="15" customHeight="1" s="10">
      <c r="A137" t="inlineStr">
        <is>
          <t>configuration A</t>
        </is>
      </c>
      <c r="B137" t="inlineStr">
        <is>
          <t>Intensity volume histogram</t>
        </is>
      </c>
      <c r="C137" t="inlineStr">
        <is>
          <t>Intensity at 90% volume</t>
        </is>
      </c>
      <c r="E137" t="inlineStr">
        <is>
          <t>6-9</t>
        </is>
      </c>
      <c r="F137" t="n">
        <v>-128</v>
      </c>
      <c r="G137" t="n">
        <v>8</v>
      </c>
      <c r="H137" s="9" t="n"/>
      <c r="I137" s="4">
        <f>IFERROR(IF(NOT(H137=""),ABS(ROUNDDOWN(F137-H137, 3 - (1+INT(LOG10(ABS(F137)))))),""),IF(AND(F137=0,NOT(F137="")),ABS(ROUNDDOWN(F137-H137,0)),""))</f>
        <v/>
      </c>
      <c r="J137" s="4">
        <f>IF(NOT(I137=""),IF(I137&lt;=G137,"match",IF(I137&lt;3*G137,"partial match","no match")),"")</f>
        <v/>
      </c>
      <c r="K137" t="inlineStr">
        <is>
          <t>ivh_i90</t>
        </is>
      </c>
    </row>
    <row r="138" ht="15" customHeight="1" s="10">
      <c r="A138" t="inlineStr">
        <is>
          <t>configuration A</t>
        </is>
      </c>
      <c r="B138" t="inlineStr">
        <is>
          <t>Intensity volume histogram</t>
        </is>
      </c>
      <c r="C138" t="inlineStr">
        <is>
          <t>Volume fraction difference between 10% and 90% intensity</t>
        </is>
      </c>
      <c r="E138" t="inlineStr">
        <is>
          <t>6-9</t>
        </is>
      </c>
      <c r="F138" t="n">
        <v>0.978</v>
      </c>
      <c r="G138" t="n">
        <v>0.001</v>
      </c>
      <c r="H138" s="9" t="n"/>
      <c r="I138" s="4">
        <f>IFERROR(IF(NOT(H138=""),ABS(ROUNDDOWN(F138-H138, 3 - (1+INT(LOG10(ABS(F138)))))),""),IF(AND(F138=0,NOT(F138="")),ABS(ROUNDDOWN(F138-H138,0)),""))</f>
        <v/>
      </c>
      <c r="J138" s="4">
        <f>IF(NOT(I138=""),IF(I138&lt;=G138,"match",IF(I138&lt;3*G138,"partial match","no match")),"")</f>
        <v/>
      </c>
      <c r="K138" t="inlineStr">
        <is>
          <t>ivh_diff_v10_v90</t>
        </is>
      </c>
    </row>
    <row r="139" ht="15" customHeight="1" s="10">
      <c r="A139" t="inlineStr">
        <is>
          <t>configuration A</t>
        </is>
      </c>
      <c r="B139" t="inlineStr">
        <is>
          <t>Intensity volume histogram</t>
        </is>
      </c>
      <c r="C139" t="inlineStr">
        <is>
          <t>Intensity difference between 10% and 90% volume</t>
        </is>
      </c>
      <c r="E139" t="inlineStr">
        <is>
          <t>6-9</t>
        </is>
      </c>
      <c r="F139" t="n">
        <v>224</v>
      </c>
      <c r="G139" t="n">
        <v>8</v>
      </c>
      <c r="H139" s="9" t="n"/>
      <c r="I139" s="4">
        <f>IFERROR(IF(NOT(H139=""),ABS(ROUNDDOWN(F139-H139, 3 - (1+INT(LOG10(ABS(F139)))))),""),IF(AND(F139=0,NOT(F139="")),ABS(ROUNDDOWN(F139-H139,0)),""))</f>
        <v/>
      </c>
      <c r="J139" s="4">
        <f>IF(NOT(I139=""),IF(I139&lt;=G139,"match",IF(I139&lt;3*G139,"partial match","no match")),"")</f>
        <v/>
      </c>
      <c r="K139" t="inlineStr">
        <is>
          <t>ivh_diff_i10_i90</t>
        </is>
      </c>
    </row>
    <row r="140" ht="15" customHeight="1" s="10">
      <c r="A140" t="inlineStr">
        <is>
          <t>configuration A</t>
        </is>
      </c>
      <c r="B140" t="inlineStr">
        <is>
          <t>Intensity volume histogram</t>
        </is>
      </c>
      <c r="C140" t="inlineStr">
        <is>
          <t>Area under the IVH curve</t>
        </is>
      </c>
      <c r="E140" t="inlineStr">
        <is>
          <t>&lt; 3</t>
        </is>
      </c>
      <c r="H140" s="9" t="n"/>
      <c r="I140" s="4">
        <f>IFERROR(IF(NOT(H140=""),ABS(ROUNDDOWN(F140-H140, 3 - (1+INT(LOG10(ABS(F140)))))),""),IF(AND(F140=0,NOT(F140="")),ABS(ROUNDDOWN(F140-H140,0)),""))</f>
        <v/>
      </c>
      <c r="J140" s="4">
        <f>IF(NOT(I140=""),IF(I140&lt;=G140,"match",IF(I140&lt;3*G140,"partial match","no match")),"")</f>
        <v/>
      </c>
      <c r="K140" t="inlineStr">
        <is>
          <t>ivh_auc</t>
        </is>
      </c>
    </row>
    <row r="141" ht="15" customHeight="1" s="10">
      <c r="A141" t="inlineStr">
        <is>
          <t>configuration A</t>
        </is>
      </c>
      <c r="B141" t="inlineStr">
        <is>
          <t>Co-occurrence matrix (2D, averaged)</t>
        </is>
      </c>
      <c r="C141" t="inlineStr">
        <is>
          <t>Joint maximum</t>
        </is>
      </c>
      <c r="E141" t="inlineStr">
        <is>
          <t>6-9</t>
        </is>
      </c>
      <c r="F141" t="n">
        <v>0.109</v>
      </c>
      <c r="G141" t="n">
        <v>0.001</v>
      </c>
      <c r="H141" s="9" t="n"/>
      <c r="I141" s="4">
        <f>IFERROR(IF(NOT(H141=""),ABS(ROUNDDOWN(F141-H141, 3 - (1+INT(LOG10(ABS(F141)))))),""),IF(AND(F141=0,NOT(F141="")),ABS(ROUNDDOWN(F141-H141,0)),""))</f>
        <v/>
      </c>
      <c r="J141" s="4">
        <f>IF(NOT(I141=""),IF(I141&lt;=G141,"match",IF(I141&lt;3*G141,"partial match","no match")),"")</f>
        <v/>
      </c>
      <c r="K141" t="inlineStr">
        <is>
          <t>cm_joint_max_2D_avg</t>
        </is>
      </c>
    </row>
    <row r="142" ht="15" customHeight="1" s="10">
      <c r="A142" t="inlineStr">
        <is>
          <t>configuration A</t>
        </is>
      </c>
      <c r="B142" t="inlineStr">
        <is>
          <t>Co-occurrence matrix (2D, averaged)</t>
        </is>
      </c>
      <c r="C142" t="inlineStr">
        <is>
          <t>Joint average</t>
        </is>
      </c>
      <c r="E142" t="inlineStr">
        <is>
          <t>6-9</t>
        </is>
      </c>
      <c r="F142" t="n">
        <v>20.6</v>
      </c>
      <c r="G142" t="n">
        <v>0.1</v>
      </c>
      <c r="H142" s="9" t="n"/>
      <c r="I142" s="4">
        <f>IFERROR(IF(NOT(H142=""),ABS(ROUNDDOWN(F142-H142, 3 - (1+INT(LOG10(ABS(F142)))))),""),IF(AND(F142=0,NOT(F142="")),ABS(ROUNDDOWN(F142-H142,0)),""))</f>
        <v/>
      </c>
      <c r="J142" s="4">
        <f>IF(NOT(I142=""),IF(I142&lt;=G142,"match",IF(I142&lt;3*G142,"partial match","no match")),"")</f>
        <v/>
      </c>
      <c r="K142" t="inlineStr">
        <is>
          <t>cm_joint_avg_2D_avg</t>
        </is>
      </c>
    </row>
    <row r="143" ht="15" customHeight="1" s="10">
      <c r="A143" t="inlineStr">
        <is>
          <t>configuration A</t>
        </is>
      </c>
      <c r="B143" t="inlineStr">
        <is>
          <t>Co-occurrence matrix (2D, averaged)</t>
        </is>
      </c>
      <c r="C143" t="inlineStr">
        <is>
          <t>Joint variance</t>
        </is>
      </c>
      <c r="E143" t="inlineStr">
        <is>
          <t>6-9</t>
        </is>
      </c>
      <c r="F143" t="n">
        <v>27</v>
      </c>
      <c r="G143" t="n">
        <v>0.4</v>
      </c>
      <c r="H143" s="9" t="n"/>
      <c r="I143" s="4">
        <f>IFERROR(IF(NOT(H143=""),ABS(ROUNDDOWN(F143-H143, 3 - (1+INT(LOG10(ABS(F143)))))),""),IF(AND(F143=0,NOT(F143="")),ABS(ROUNDDOWN(F143-H143,0)),""))</f>
        <v/>
      </c>
      <c r="J143" s="4">
        <f>IF(NOT(I143=""),IF(I143&lt;=G143,"match",IF(I143&lt;3*G143,"partial match","no match")),"")</f>
        <v/>
      </c>
      <c r="K143" t="inlineStr">
        <is>
          <t>cm_joint_var_2D_avg</t>
        </is>
      </c>
    </row>
    <row r="144" ht="15" customHeight="1" s="10">
      <c r="A144" t="inlineStr">
        <is>
          <t>configuration A</t>
        </is>
      </c>
      <c r="B144" t="inlineStr">
        <is>
          <t>Co-occurrence matrix (2D, averaged)</t>
        </is>
      </c>
      <c r="C144" t="inlineStr">
        <is>
          <t>Joint entropy</t>
        </is>
      </c>
      <c r="E144" t="inlineStr">
        <is>
          <t>6-9</t>
        </is>
      </c>
      <c r="F144" t="n">
        <v>5.82</v>
      </c>
      <c r="G144" t="n">
        <v>0.04</v>
      </c>
      <c r="H144" s="9" t="n"/>
      <c r="I144" s="4">
        <f>IFERROR(IF(NOT(H144=""),ABS(ROUNDDOWN(F144-H144, 3 - (1+INT(LOG10(ABS(F144)))))),""),IF(AND(F144=0,NOT(F144="")),ABS(ROUNDDOWN(F144-H144,0)),""))</f>
        <v/>
      </c>
      <c r="J144" s="4">
        <f>IF(NOT(I144=""),IF(I144&lt;=G144,"match",IF(I144&lt;3*G144,"partial match","no match")),"")</f>
        <v/>
      </c>
      <c r="K144" t="inlineStr">
        <is>
          <t>cm_joint_entr_2D_avg</t>
        </is>
      </c>
    </row>
    <row r="145" ht="15" customHeight="1" s="10">
      <c r="A145" t="inlineStr">
        <is>
          <t>configuration A</t>
        </is>
      </c>
      <c r="B145" t="inlineStr">
        <is>
          <t>Co-occurrence matrix (2D, averaged)</t>
        </is>
      </c>
      <c r="C145" t="inlineStr">
        <is>
          <t>Difference average</t>
        </is>
      </c>
      <c r="E145" t="inlineStr">
        <is>
          <t>6-9</t>
        </is>
      </c>
      <c r="F145" t="n">
        <v>1.58</v>
      </c>
      <c r="G145" t="n">
        <v>0.03</v>
      </c>
      <c r="H145" s="9" t="n"/>
      <c r="I145" s="4">
        <f>IFERROR(IF(NOT(H145=""),ABS(ROUNDDOWN(F145-H145, 3 - (1+INT(LOG10(ABS(F145)))))),""),IF(AND(F145=0,NOT(F145="")),ABS(ROUNDDOWN(F145-H145,0)),""))</f>
        <v/>
      </c>
      <c r="J145" s="4">
        <f>IF(NOT(I145=""),IF(I145&lt;=G145,"match",IF(I145&lt;3*G145,"partial match","no match")),"")</f>
        <v/>
      </c>
      <c r="K145" t="inlineStr">
        <is>
          <t>cm_diff_avg_2D_avg</t>
        </is>
      </c>
    </row>
    <row r="146" ht="15" customHeight="1" s="10">
      <c r="A146" t="inlineStr">
        <is>
          <t>configuration A</t>
        </is>
      </c>
      <c r="B146" t="inlineStr">
        <is>
          <t>Co-occurrence matrix (2D, averaged)</t>
        </is>
      </c>
      <c r="C146" t="inlineStr">
        <is>
          <t>Difference variance</t>
        </is>
      </c>
      <c r="E146" t="inlineStr">
        <is>
          <t>6-9</t>
        </is>
      </c>
      <c r="F146" t="n">
        <v>4.94</v>
      </c>
      <c r="G146" t="n">
        <v>0.19</v>
      </c>
      <c r="H146" s="9" t="n"/>
      <c r="I146" s="4">
        <f>IFERROR(IF(NOT(H146=""),ABS(ROUNDDOWN(F146-H146, 3 - (1+INT(LOG10(ABS(F146)))))),""),IF(AND(F146=0,NOT(F146="")),ABS(ROUNDDOWN(F146-H146,0)),""))</f>
        <v/>
      </c>
      <c r="J146" s="4">
        <f>IF(NOT(I146=""),IF(I146&lt;=G146,"match",IF(I146&lt;3*G146,"partial match","no match")),"")</f>
        <v/>
      </c>
      <c r="K146" t="inlineStr">
        <is>
          <t>cm_diff_var_2D_avg</t>
        </is>
      </c>
    </row>
    <row r="147" ht="15" customHeight="1" s="10">
      <c r="A147" t="inlineStr">
        <is>
          <t>configuration A</t>
        </is>
      </c>
      <c r="B147" t="inlineStr">
        <is>
          <t>Co-occurrence matrix (2D, averaged)</t>
        </is>
      </c>
      <c r="C147" t="inlineStr">
        <is>
          <t>Difference entropy</t>
        </is>
      </c>
      <c r="E147" t="inlineStr">
        <is>
          <t>6-9</t>
        </is>
      </c>
      <c r="F147" t="n">
        <v>2.27</v>
      </c>
      <c r="G147" t="n">
        <v>0.03</v>
      </c>
      <c r="H147" s="9" t="n"/>
      <c r="I147" s="4">
        <f>IFERROR(IF(NOT(H147=""),ABS(ROUNDDOWN(F147-H147, 3 - (1+INT(LOG10(ABS(F147)))))),""),IF(AND(F147=0,NOT(F147="")),ABS(ROUNDDOWN(F147-H147,0)),""))</f>
        <v/>
      </c>
      <c r="J147" s="4">
        <f>IF(NOT(I147=""),IF(I147&lt;=G147,"match",IF(I147&lt;3*G147,"partial match","no match")),"")</f>
        <v/>
      </c>
      <c r="K147" t="inlineStr">
        <is>
          <t>cm_diff_entr_2D_avg</t>
        </is>
      </c>
    </row>
    <row r="148" ht="15" customHeight="1" s="10">
      <c r="A148" t="inlineStr">
        <is>
          <t>configuration A</t>
        </is>
      </c>
      <c r="B148" t="inlineStr">
        <is>
          <t>Co-occurrence matrix (2D, averaged)</t>
        </is>
      </c>
      <c r="C148" t="inlineStr">
        <is>
          <t>Sum average</t>
        </is>
      </c>
      <c r="E148" t="inlineStr">
        <is>
          <t>6-9</t>
        </is>
      </c>
      <c r="F148" t="n">
        <v>41.3</v>
      </c>
      <c r="G148" t="n">
        <v>0.1</v>
      </c>
      <c r="H148" s="9" t="n"/>
      <c r="I148" s="4">
        <f>IFERROR(IF(NOT(H148=""),ABS(ROUNDDOWN(F148-H148, 3 - (1+INT(LOG10(ABS(F148)))))),""),IF(AND(F148=0,NOT(F148="")),ABS(ROUNDDOWN(F148-H148,0)),""))</f>
        <v/>
      </c>
      <c r="J148" s="4">
        <f>IF(NOT(I148=""),IF(I148&lt;=G148,"match",IF(I148&lt;3*G148,"partial match","no match")),"")</f>
        <v/>
      </c>
      <c r="K148" t="inlineStr">
        <is>
          <t>cm_sum_avg_2D_avg</t>
        </is>
      </c>
    </row>
    <row r="149" ht="15" customHeight="1" s="10">
      <c r="A149" t="inlineStr">
        <is>
          <t>configuration A</t>
        </is>
      </c>
      <c r="B149" t="inlineStr">
        <is>
          <t>Co-occurrence matrix (2D, averaged)</t>
        </is>
      </c>
      <c r="C149" t="inlineStr">
        <is>
          <t>Sum variance</t>
        </is>
      </c>
      <c r="E149" t="inlineStr">
        <is>
          <t>6-9</t>
        </is>
      </c>
      <c r="F149" t="n">
        <v>100</v>
      </c>
      <c r="G149" t="n">
        <v>1</v>
      </c>
      <c r="H149" s="9" t="n"/>
      <c r="I149" s="4">
        <f>IFERROR(IF(NOT(H149=""),ABS(ROUNDDOWN(F149-H149, 3 - (1+INT(LOG10(ABS(F149)))))),""),IF(AND(F149=0,NOT(F149="")),ABS(ROUNDDOWN(F149-H149,0)),""))</f>
        <v/>
      </c>
      <c r="J149" s="4">
        <f>IF(NOT(I149=""),IF(I149&lt;=G149,"match",IF(I149&lt;3*G149,"partial match","no match")),"")</f>
        <v/>
      </c>
      <c r="K149" t="inlineStr">
        <is>
          <t>cm_sum_var_2D_avg</t>
        </is>
      </c>
    </row>
    <row r="150" ht="15" customHeight="1" s="10">
      <c r="A150" t="inlineStr">
        <is>
          <t>configuration A</t>
        </is>
      </c>
      <c r="B150" t="inlineStr">
        <is>
          <t>Co-occurrence matrix (2D, averaged)</t>
        </is>
      </c>
      <c r="C150" t="inlineStr">
        <is>
          <t>Sum entropy</t>
        </is>
      </c>
      <c r="E150" t="inlineStr">
        <is>
          <t>6-9</t>
        </is>
      </c>
      <c r="F150" t="n">
        <v>4.19</v>
      </c>
      <c r="G150" t="n">
        <v>0.03</v>
      </c>
      <c r="H150" s="9" t="n"/>
      <c r="I150" s="4">
        <f>IFERROR(IF(NOT(H150=""),ABS(ROUNDDOWN(F150-H150, 3 - (1+INT(LOG10(ABS(F150)))))),""),IF(AND(F150=0,NOT(F150="")),ABS(ROUNDDOWN(F150-H150,0)),""))</f>
        <v/>
      </c>
      <c r="J150" s="4">
        <f>IF(NOT(I150=""),IF(I150&lt;=G150,"match",IF(I150&lt;3*G150,"partial match","no match")),"")</f>
        <v/>
      </c>
      <c r="K150" t="inlineStr">
        <is>
          <t>cm_sum_entr_2D_avg</t>
        </is>
      </c>
    </row>
    <row r="151" ht="15" customHeight="1" s="10">
      <c r="A151" t="inlineStr">
        <is>
          <t>configuration A</t>
        </is>
      </c>
      <c r="B151" t="inlineStr">
        <is>
          <t>Co-occurrence matrix (2D, averaged)</t>
        </is>
      </c>
      <c r="C151" t="inlineStr">
        <is>
          <t>Angular second moment</t>
        </is>
      </c>
      <c r="E151" t="inlineStr">
        <is>
          <t>6-9</t>
        </is>
      </c>
      <c r="F151" t="n">
        <v>0.045</v>
      </c>
      <c r="G151" t="n">
        <v>0.0008</v>
      </c>
      <c r="H151" s="9" t="n"/>
      <c r="I151" s="4">
        <f>IFERROR(IF(NOT(H151=""),ABS(ROUNDDOWN(F151-H151, 3 - (1+INT(LOG10(ABS(F151)))))),""),IF(AND(F151=0,NOT(F151="")),ABS(ROUNDDOWN(F151-H151,0)),""))</f>
        <v/>
      </c>
      <c r="J151" s="4">
        <f>IF(NOT(I151=""),IF(I151&lt;=G151,"match",IF(I151&lt;3*G151,"partial match","no match")),"")</f>
        <v/>
      </c>
      <c r="K151" t="inlineStr">
        <is>
          <t>cm_energy_2D_avg</t>
        </is>
      </c>
    </row>
    <row r="152" ht="15" customHeight="1" s="10">
      <c r="A152" t="inlineStr">
        <is>
          <t>configuration A</t>
        </is>
      </c>
      <c r="B152" t="inlineStr">
        <is>
          <t>Co-occurrence matrix (2D, averaged)</t>
        </is>
      </c>
      <c r="C152" t="inlineStr">
        <is>
          <t>Contrast</t>
        </is>
      </c>
      <c r="E152" t="inlineStr">
        <is>
          <t>6-9</t>
        </is>
      </c>
      <c r="F152" t="n">
        <v>7.85</v>
      </c>
      <c r="G152" t="n">
        <v>0.27</v>
      </c>
      <c r="H152" s="9" t="n"/>
      <c r="I152" s="4">
        <f>IFERROR(IF(NOT(H152=""),ABS(ROUNDDOWN(F152-H152, 3 - (1+INT(LOG10(ABS(F152)))))),""),IF(AND(F152=0,NOT(F152="")),ABS(ROUNDDOWN(F152-H152,0)),""))</f>
        <v/>
      </c>
      <c r="J152" s="4">
        <f>IF(NOT(I152=""),IF(I152&lt;=G152,"match",IF(I152&lt;3*G152,"partial match","no match")),"")</f>
        <v/>
      </c>
      <c r="K152" t="inlineStr">
        <is>
          <t>cm_contrast_2D_avg</t>
        </is>
      </c>
    </row>
    <row r="153" ht="15" customHeight="1" s="10">
      <c r="A153" t="inlineStr">
        <is>
          <t>configuration A</t>
        </is>
      </c>
      <c r="B153" t="inlineStr">
        <is>
          <t>Co-occurrence matrix (2D, averaged)</t>
        </is>
      </c>
      <c r="C153" t="inlineStr">
        <is>
          <t>Dissimilarity</t>
        </is>
      </c>
      <c r="E153" t="inlineStr">
        <is>
          <t>6-9</t>
        </is>
      </c>
      <c r="F153" t="n">
        <v>1.58</v>
      </c>
      <c r="G153" t="n">
        <v>0.03</v>
      </c>
      <c r="H153" s="9" t="n"/>
      <c r="I153" s="4">
        <f>IFERROR(IF(NOT(H153=""),ABS(ROUNDDOWN(F153-H153, 3 - (1+INT(LOG10(ABS(F153)))))),""),IF(AND(F153=0,NOT(F153="")),ABS(ROUNDDOWN(F153-H153,0)),""))</f>
        <v/>
      </c>
      <c r="J153" s="4">
        <f>IF(NOT(I153=""),IF(I153&lt;=G153,"match",IF(I153&lt;3*G153,"partial match","no match")),"")</f>
        <v/>
      </c>
      <c r="K153" t="inlineStr">
        <is>
          <t>cm_dissimilarity_2D_avg</t>
        </is>
      </c>
    </row>
    <row r="154" ht="15" customHeight="1" s="10">
      <c r="A154" t="inlineStr">
        <is>
          <t>configuration A</t>
        </is>
      </c>
      <c r="B154" t="inlineStr">
        <is>
          <t>Co-occurrence matrix (2D, averaged)</t>
        </is>
      </c>
      <c r="C154" t="inlineStr">
        <is>
          <t>Inverse difference</t>
        </is>
      </c>
      <c r="E154" t="inlineStr">
        <is>
          <t>6-9</t>
        </is>
      </c>
      <c r="F154" t="n">
        <v>0.581</v>
      </c>
      <c r="G154" t="n">
        <v>0.003</v>
      </c>
      <c r="H154" s="9" t="n"/>
      <c r="I154" s="4">
        <f>IFERROR(IF(NOT(H154=""),ABS(ROUNDDOWN(F154-H154, 3 - (1+INT(LOG10(ABS(F154)))))),""),IF(AND(F154=0,NOT(F154="")),ABS(ROUNDDOWN(F154-H154,0)),""))</f>
        <v/>
      </c>
      <c r="J154" s="4">
        <f>IF(NOT(I154=""),IF(I154&lt;=G154,"match",IF(I154&lt;3*G154,"partial match","no match")),"")</f>
        <v/>
      </c>
      <c r="K154" t="inlineStr">
        <is>
          <t>cm_inv_diff_2D_avg</t>
        </is>
      </c>
    </row>
    <row r="155" ht="15" customHeight="1" s="10">
      <c r="A155" t="inlineStr">
        <is>
          <t>configuration A</t>
        </is>
      </c>
      <c r="B155" t="inlineStr">
        <is>
          <t>Co-occurrence matrix (2D, averaged)</t>
        </is>
      </c>
      <c r="C155" t="inlineStr">
        <is>
          <t>Inverse difference normalised</t>
        </is>
      </c>
      <c r="E155" t="inlineStr">
        <is>
          <t>6-9</t>
        </is>
      </c>
      <c r="F155" t="n">
        <v>0.961</v>
      </c>
      <c r="G155" t="n">
        <v>0.001</v>
      </c>
      <c r="H155" s="9" t="n"/>
      <c r="I155" s="4">
        <f>IFERROR(IF(NOT(H155=""),ABS(ROUNDDOWN(F155-H155, 3 - (1+INT(LOG10(ABS(F155)))))),""),IF(AND(F155=0,NOT(F155="")),ABS(ROUNDDOWN(F155-H155,0)),""))</f>
        <v/>
      </c>
      <c r="J155" s="4">
        <f>IF(NOT(I155=""),IF(I155&lt;=G155,"match",IF(I155&lt;3*G155,"partial match","no match")),"")</f>
        <v/>
      </c>
      <c r="K155" t="inlineStr">
        <is>
          <t>cm_inv_diff_norm_2D_avg</t>
        </is>
      </c>
    </row>
    <row r="156" ht="15" customHeight="1" s="10">
      <c r="A156" t="inlineStr">
        <is>
          <t>configuration A</t>
        </is>
      </c>
      <c r="B156" t="inlineStr">
        <is>
          <t>Co-occurrence matrix (2D, averaged)</t>
        </is>
      </c>
      <c r="C156" t="inlineStr">
        <is>
          <t>Inverse difference moment</t>
        </is>
      </c>
      <c r="E156" t="inlineStr">
        <is>
          <t>6-9</t>
        </is>
      </c>
      <c r="F156" t="n">
        <v>0.544</v>
      </c>
      <c r="G156" t="n">
        <v>0.003</v>
      </c>
      <c r="H156" s="9" t="n"/>
      <c r="I156" s="4">
        <f>IFERROR(IF(NOT(H156=""),ABS(ROUNDDOWN(F156-H156, 3 - (1+INT(LOG10(ABS(F156)))))),""),IF(AND(F156=0,NOT(F156="")),ABS(ROUNDDOWN(F156-H156,0)),""))</f>
        <v/>
      </c>
      <c r="J156" s="4">
        <f>IF(NOT(I156=""),IF(I156&lt;=G156,"match",IF(I156&lt;3*G156,"partial match","no match")),"")</f>
        <v/>
      </c>
      <c r="K156" t="inlineStr">
        <is>
          <t>cm_inv_diff_mom_2D_avg</t>
        </is>
      </c>
    </row>
    <row r="157" ht="15" customHeight="1" s="10">
      <c r="A157" t="inlineStr">
        <is>
          <t>configuration A</t>
        </is>
      </c>
      <c r="B157" t="inlineStr">
        <is>
          <t>Co-occurrence matrix (2D, averaged)</t>
        </is>
      </c>
      <c r="C157" t="inlineStr">
        <is>
          <t>Inverse difference moment normalised</t>
        </is>
      </c>
      <c r="E157" t="inlineStr">
        <is>
          <t>6-9</t>
        </is>
      </c>
      <c r="F157" t="n">
        <v>0.994</v>
      </c>
      <c r="G157" t="n">
        <v>0.001</v>
      </c>
      <c r="H157" s="9" t="n"/>
      <c r="I157" s="4">
        <f>IFERROR(IF(NOT(H157=""),ABS(ROUNDDOWN(F157-H157, 3 - (1+INT(LOG10(ABS(F157)))))),""),IF(AND(F157=0,NOT(F157="")),ABS(ROUNDDOWN(F157-H157,0)),""))</f>
        <v/>
      </c>
      <c r="J157" s="4">
        <f>IF(NOT(I157=""),IF(I157&lt;=G157,"match",IF(I157&lt;3*G157,"partial match","no match")),"")</f>
        <v/>
      </c>
      <c r="K157" t="inlineStr">
        <is>
          <t>cm_inv_diff_mom_norm_2D_avg</t>
        </is>
      </c>
    </row>
    <row r="158" ht="15" customHeight="1" s="10">
      <c r="A158" t="inlineStr">
        <is>
          <t>configuration A</t>
        </is>
      </c>
      <c r="B158" t="inlineStr">
        <is>
          <t>Co-occurrence matrix (2D, averaged)</t>
        </is>
      </c>
      <c r="C158" t="inlineStr">
        <is>
          <t>Inverse variance</t>
        </is>
      </c>
      <c r="E158" t="inlineStr">
        <is>
          <t>6-9</t>
        </is>
      </c>
      <c r="F158" t="n">
        <v>0.441</v>
      </c>
      <c r="G158" t="n">
        <v>0.001</v>
      </c>
      <c r="H158" s="9" t="n"/>
      <c r="I158" s="4">
        <f>IFERROR(IF(NOT(H158=""),ABS(ROUNDDOWN(F158-H158, 3 - (1+INT(LOG10(ABS(F158)))))),""),IF(AND(F158=0,NOT(F158="")),ABS(ROUNDDOWN(F158-H158,0)),""))</f>
        <v/>
      </c>
      <c r="J158" s="4">
        <f>IF(NOT(I158=""),IF(I158&lt;=G158,"match",IF(I158&lt;3*G158,"partial match","no match")),"")</f>
        <v/>
      </c>
      <c r="K158" t="inlineStr">
        <is>
          <t>cm_inv_var_2D_avg</t>
        </is>
      </c>
    </row>
    <row r="159" ht="15" customHeight="1" s="10">
      <c r="A159" t="inlineStr">
        <is>
          <t>configuration A</t>
        </is>
      </c>
      <c r="B159" t="inlineStr">
        <is>
          <t>Co-occurrence matrix (2D, averaged)</t>
        </is>
      </c>
      <c r="C159" t="inlineStr">
        <is>
          <t>Correlation</t>
        </is>
      </c>
      <c r="E159" t="inlineStr">
        <is>
          <t>6-9</t>
        </is>
      </c>
      <c r="F159" t="n">
        <v>0.778</v>
      </c>
      <c r="G159" t="n">
        <v>0.002</v>
      </c>
      <c r="H159" s="9" t="n"/>
      <c r="I159" s="4">
        <f>IFERROR(IF(NOT(H159=""),ABS(ROUNDDOWN(F159-H159, 3 - (1+INT(LOG10(ABS(F159)))))),""),IF(AND(F159=0,NOT(F159="")),ABS(ROUNDDOWN(F159-H159,0)),""))</f>
        <v/>
      </c>
      <c r="J159" s="4">
        <f>IF(NOT(I159=""),IF(I159&lt;=G159,"match",IF(I159&lt;3*G159,"partial match","no match")),"")</f>
        <v/>
      </c>
      <c r="K159" t="inlineStr">
        <is>
          <t>cm_corr_2D_avg</t>
        </is>
      </c>
    </row>
    <row r="160" ht="15" customHeight="1" s="10">
      <c r="A160" t="inlineStr">
        <is>
          <t>configuration A</t>
        </is>
      </c>
      <c r="B160" t="inlineStr">
        <is>
          <t>Co-occurrence matrix (2D, averaged)</t>
        </is>
      </c>
      <c r="C160" t="inlineStr">
        <is>
          <t>Autocorrelation</t>
        </is>
      </c>
      <c r="E160" t="inlineStr">
        <is>
          <t>6-9</t>
        </is>
      </c>
      <c r="F160" t="n">
        <v>455</v>
      </c>
      <c r="G160" t="n">
        <v>2</v>
      </c>
      <c r="H160" s="9" t="n"/>
      <c r="I160" s="4">
        <f>IFERROR(IF(NOT(H160=""),ABS(ROUNDDOWN(F160-H160, 3 - (1+INT(LOG10(ABS(F160)))))),""),IF(AND(F160=0,NOT(F160="")),ABS(ROUNDDOWN(F160-H160,0)),""))</f>
        <v/>
      </c>
      <c r="J160" s="4">
        <f>IF(NOT(I160=""),IF(I160&lt;=G160,"match",IF(I160&lt;3*G160,"partial match","no match")),"")</f>
        <v/>
      </c>
      <c r="K160" t="inlineStr">
        <is>
          <t>cm_auto_corr_2D_avg</t>
        </is>
      </c>
    </row>
    <row r="161" ht="15" customHeight="1" s="10">
      <c r="A161" t="inlineStr">
        <is>
          <t>configuration A</t>
        </is>
      </c>
      <c r="B161" t="inlineStr">
        <is>
          <t>Co-occurrence matrix (2D, averaged)</t>
        </is>
      </c>
      <c r="C161" t="inlineStr">
        <is>
          <t>Cluster tendency</t>
        </is>
      </c>
      <c r="E161" t="inlineStr">
        <is>
          <t>6-9</t>
        </is>
      </c>
      <c r="F161" t="n">
        <v>100</v>
      </c>
      <c r="G161" t="n">
        <v>1</v>
      </c>
      <c r="H161" s="9" t="n"/>
      <c r="I161" s="4">
        <f>IFERROR(IF(NOT(H161=""),ABS(ROUNDDOWN(F161-H161, 3 - (1+INT(LOG10(ABS(F161)))))),""),IF(AND(F161=0,NOT(F161="")),ABS(ROUNDDOWN(F161-H161,0)),""))</f>
        <v/>
      </c>
      <c r="J161" s="4">
        <f>IF(NOT(I161=""),IF(I161&lt;=G161,"match",IF(I161&lt;3*G161,"partial match","no match")),"")</f>
        <v/>
      </c>
      <c r="K161" t="inlineStr">
        <is>
          <t>cm_clust_tend_2D_avg</t>
        </is>
      </c>
    </row>
    <row r="162" ht="15" customHeight="1" s="10">
      <c r="A162" t="inlineStr">
        <is>
          <t>configuration A</t>
        </is>
      </c>
      <c r="B162" t="inlineStr">
        <is>
          <t>Co-occurrence matrix (2D, averaged)</t>
        </is>
      </c>
      <c r="C162" t="inlineStr">
        <is>
          <t>Cluster shade</t>
        </is>
      </c>
      <c r="E162" t="inlineStr">
        <is>
          <t>6-9</t>
        </is>
      </c>
      <c r="F162" t="n">
        <v>-1040</v>
      </c>
      <c r="G162" t="n">
        <v>20</v>
      </c>
      <c r="H162" s="9" t="n"/>
      <c r="I162" s="4">
        <f>IFERROR(IF(NOT(H162=""),ABS(ROUNDDOWN(F162-H162, 3 - (1+INT(LOG10(ABS(F162)))))),""),IF(AND(F162=0,NOT(F162="")),ABS(ROUNDDOWN(F162-H162,0)),""))</f>
        <v/>
      </c>
      <c r="J162" s="4">
        <f>IF(NOT(I162=""),IF(I162&lt;=G162,"match",IF(I162&lt;3*G162,"partial match","no match")),"")</f>
        <v/>
      </c>
      <c r="K162" t="inlineStr">
        <is>
          <t>cm_clust_shade_2D_avg</t>
        </is>
      </c>
    </row>
    <row r="163" ht="15" customHeight="1" s="10">
      <c r="A163" t="inlineStr">
        <is>
          <t>configuration A</t>
        </is>
      </c>
      <c r="B163" t="inlineStr">
        <is>
          <t>Co-occurrence matrix (2D, averaged)</t>
        </is>
      </c>
      <c r="C163" t="inlineStr">
        <is>
          <t>Cluster prominence</t>
        </is>
      </c>
      <c r="E163" t="inlineStr">
        <is>
          <t>6-9</t>
        </is>
      </c>
      <c r="F163" t="n">
        <v>52700</v>
      </c>
      <c r="G163" t="n">
        <v>500</v>
      </c>
      <c r="H163" s="9" t="n"/>
      <c r="I163" s="4">
        <f>IFERROR(IF(NOT(H163=""),ABS(ROUNDDOWN(F163-H163, 3 - (1+INT(LOG10(ABS(F163)))))),""),IF(AND(F163=0,NOT(F163="")),ABS(ROUNDDOWN(F163-H163,0)),""))</f>
        <v/>
      </c>
      <c r="J163" s="4">
        <f>IF(NOT(I163=""),IF(I163&lt;=G163,"match",IF(I163&lt;3*G163,"partial match","no match")),"")</f>
        <v/>
      </c>
      <c r="K163" t="inlineStr">
        <is>
          <t>cm_clust_prom_2D_avg</t>
        </is>
      </c>
    </row>
    <row r="164" ht="15" customHeight="1" s="10">
      <c r="A164" t="inlineStr">
        <is>
          <t>configuration A</t>
        </is>
      </c>
      <c r="B164" t="inlineStr">
        <is>
          <t>Co-occurrence matrix (2D, averaged)</t>
        </is>
      </c>
      <c r="C164" t="inlineStr">
        <is>
          <t>Information correlation 1</t>
        </is>
      </c>
      <c r="E164" t="inlineStr">
        <is>
          <t>6-9</t>
        </is>
      </c>
      <c r="F164" t="n">
        <v>-0.236</v>
      </c>
      <c r="G164" t="n">
        <v>0.001</v>
      </c>
      <c r="H164" s="9" t="n"/>
      <c r="I164" s="4">
        <f>IFERROR(IF(NOT(H164=""),ABS(ROUNDDOWN(F164-H164, 3 - (1+INT(LOG10(ABS(F164)))))),""),IF(AND(F164=0,NOT(F164="")),ABS(ROUNDDOWN(F164-H164,0)),""))</f>
        <v/>
      </c>
      <c r="J164" s="4">
        <f>IF(NOT(I164=""),IF(I164&lt;=G164,"match",IF(I164&lt;3*G164,"partial match","no match")),"")</f>
        <v/>
      </c>
      <c r="K164" t="inlineStr">
        <is>
          <t>cm_info_corr1_2D_avg</t>
        </is>
      </c>
    </row>
    <row r="165" ht="15" customHeight="1" s="10">
      <c r="A165" t="inlineStr">
        <is>
          <t>configuration A</t>
        </is>
      </c>
      <c r="B165" t="inlineStr">
        <is>
          <t>Co-occurrence matrix (2D, averaged)</t>
        </is>
      </c>
      <c r="C165" t="inlineStr">
        <is>
          <t>Information correlation 2</t>
        </is>
      </c>
      <c r="E165" t="inlineStr">
        <is>
          <t>6-9</t>
        </is>
      </c>
      <c r="F165" t="n">
        <v>0.863</v>
      </c>
      <c r="G165" t="n">
        <v>0.003</v>
      </c>
      <c r="H165" s="9" t="n"/>
      <c r="I165" s="4">
        <f>IFERROR(IF(NOT(H165=""),ABS(ROUNDDOWN(F165-H165, 3 - (1+INT(LOG10(ABS(F165)))))),""),IF(AND(F165=0,NOT(F165="")),ABS(ROUNDDOWN(F165-H165,0)),""))</f>
        <v/>
      </c>
      <c r="J165" s="4">
        <f>IF(NOT(I165=""),IF(I165&lt;=G165,"match",IF(I165&lt;3*G165,"partial match","no match")),"")</f>
        <v/>
      </c>
      <c r="K165" t="inlineStr">
        <is>
          <t>cm_info_corr2_2D_avg</t>
        </is>
      </c>
    </row>
    <row r="166" ht="15" customHeight="1" s="10">
      <c r="A166" t="inlineStr">
        <is>
          <t>configuration A</t>
        </is>
      </c>
      <c r="B166" t="inlineStr">
        <is>
          <t>Co-occurrence matrix (2D, slice-merged)</t>
        </is>
      </c>
      <c r="C166" t="inlineStr">
        <is>
          <t>Joint maximum</t>
        </is>
      </c>
      <c r="E166" t="inlineStr">
        <is>
          <t>3-5</t>
        </is>
      </c>
      <c r="F166" t="n">
        <v>0.109</v>
      </c>
      <c r="G166" t="n">
        <v>0.001</v>
      </c>
      <c r="H166" s="9" t="n"/>
      <c r="I166" s="4">
        <f>IFERROR(IF(NOT(H166=""),ABS(ROUNDDOWN(F166-H166, 3 - (1+INT(LOG10(ABS(F166)))))),""),IF(AND(F166=0,NOT(F166="")),ABS(ROUNDDOWN(F166-H166,0)),""))</f>
        <v/>
      </c>
      <c r="J166" s="4">
        <f>IF(NOT(I166=""),IF(I166&lt;=G166,"match",IF(I166&lt;3*G166,"partial match","no match")),"")</f>
        <v/>
      </c>
      <c r="K166" t="inlineStr">
        <is>
          <t>cm_joint_max_2D_comb</t>
        </is>
      </c>
    </row>
    <row r="167" ht="15" customHeight="1" s="10">
      <c r="A167" t="inlineStr">
        <is>
          <t>configuration A</t>
        </is>
      </c>
      <c r="B167" t="inlineStr">
        <is>
          <t>Co-occurrence matrix (2D, slice-merged)</t>
        </is>
      </c>
      <c r="C167" t="inlineStr">
        <is>
          <t>Joint average</t>
        </is>
      </c>
      <c r="E167" t="inlineStr">
        <is>
          <t>3-5</t>
        </is>
      </c>
      <c r="F167" t="n">
        <v>20.6</v>
      </c>
      <c r="G167" t="n">
        <v>0.1</v>
      </c>
      <c r="H167" s="9" t="n"/>
      <c r="I167" s="4">
        <f>IFERROR(IF(NOT(H167=""),ABS(ROUNDDOWN(F167-H167, 3 - (1+INT(LOG10(ABS(F167)))))),""),IF(AND(F167=0,NOT(F167="")),ABS(ROUNDDOWN(F167-H167,0)),""))</f>
        <v/>
      </c>
      <c r="J167" s="4">
        <f>IF(NOT(I167=""),IF(I167&lt;=G167,"match",IF(I167&lt;3*G167,"partial match","no match")),"")</f>
        <v/>
      </c>
      <c r="K167" t="inlineStr">
        <is>
          <t>cm_joint_avg_2D_comb</t>
        </is>
      </c>
    </row>
    <row r="168" ht="15" customHeight="1" s="10">
      <c r="A168" t="inlineStr">
        <is>
          <t>configuration A</t>
        </is>
      </c>
      <c r="B168" t="inlineStr">
        <is>
          <t>Co-occurrence matrix (2D, slice-merged)</t>
        </is>
      </c>
      <c r="C168" t="inlineStr">
        <is>
          <t>Joint variance</t>
        </is>
      </c>
      <c r="E168" t="inlineStr">
        <is>
          <t>3-5</t>
        </is>
      </c>
      <c r="F168" t="n">
        <v>27</v>
      </c>
      <c r="G168" t="n">
        <v>0.4</v>
      </c>
      <c r="H168" s="9" t="n"/>
      <c r="I168" s="4">
        <f>IFERROR(IF(NOT(H168=""),ABS(ROUNDDOWN(F168-H168, 3 - (1+INT(LOG10(ABS(F168)))))),""),IF(AND(F168=0,NOT(F168="")),ABS(ROUNDDOWN(F168-H168,0)),""))</f>
        <v/>
      </c>
      <c r="J168" s="4">
        <f>IF(NOT(I168=""),IF(I168&lt;=G168,"match",IF(I168&lt;3*G168,"partial match","no match")),"")</f>
        <v/>
      </c>
      <c r="K168" t="inlineStr">
        <is>
          <t>cm_joint_var_2D_comb</t>
        </is>
      </c>
    </row>
    <row r="169" ht="15" customHeight="1" s="10">
      <c r="A169" t="inlineStr">
        <is>
          <t>configuration A</t>
        </is>
      </c>
      <c r="B169" t="inlineStr">
        <is>
          <t>Co-occurrence matrix (2D, slice-merged)</t>
        </is>
      </c>
      <c r="C169" t="inlineStr">
        <is>
          <t>Joint entropy</t>
        </is>
      </c>
      <c r="E169" t="inlineStr">
        <is>
          <t>3-5</t>
        </is>
      </c>
      <c r="F169" t="n">
        <v>5.9</v>
      </c>
      <c r="G169" t="n">
        <v>0.04</v>
      </c>
      <c r="H169" s="9" t="n"/>
      <c r="I169" s="4">
        <f>IFERROR(IF(NOT(H169=""),ABS(ROUNDDOWN(F169-H169, 3 - (1+INT(LOG10(ABS(F169)))))),""),IF(AND(F169=0,NOT(F169="")),ABS(ROUNDDOWN(F169-H169,0)),""))</f>
        <v/>
      </c>
      <c r="J169" s="4">
        <f>IF(NOT(I169=""),IF(I169&lt;=G169,"match",IF(I169&lt;3*G169,"partial match","no match")),"")</f>
        <v/>
      </c>
      <c r="K169" t="inlineStr">
        <is>
          <t>cm_joint_entr_2D_comb</t>
        </is>
      </c>
    </row>
    <row r="170" ht="15" customHeight="1" s="10">
      <c r="A170" t="inlineStr">
        <is>
          <t>configuration A</t>
        </is>
      </c>
      <c r="B170" t="inlineStr">
        <is>
          <t>Co-occurrence matrix (2D, slice-merged)</t>
        </is>
      </c>
      <c r="C170" t="inlineStr">
        <is>
          <t>Difference average</t>
        </is>
      </c>
      <c r="E170" t="inlineStr">
        <is>
          <t>3-5</t>
        </is>
      </c>
      <c r="F170" t="n">
        <v>1.57</v>
      </c>
      <c r="G170" t="n">
        <v>0.03</v>
      </c>
      <c r="H170" s="9" t="n"/>
      <c r="I170" s="4">
        <f>IFERROR(IF(NOT(H170=""),ABS(ROUNDDOWN(F170-H170, 3 - (1+INT(LOG10(ABS(F170)))))),""),IF(AND(F170=0,NOT(F170="")),ABS(ROUNDDOWN(F170-H170,0)),""))</f>
        <v/>
      </c>
      <c r="J170" s="4">
        <f>IF(NOT(I170=""),IF(I170&lt;=G170,"match",IF(I170&lt;3*G170,"partial match","no match")),"")</f>
        <v/>
      </c>
      <c r="K170" t="inlineStr">
        <is>
          <t>cm_diff_avg_2D_comb</t>
        </is>
      </c>
    </row>
    <row r="171" ht="15" customHeight="1" s="10">
      <c r="A171" t="inlineStr">
        <is>
          <t>configuration A</t>
        </is>
      </c>
      <c r="B171" t="inlineStr">
        <is>
          <t>Co-occurrence matrix (2D, slice-merged)</t>
        </is>
      </c>
      <c r="C171" t="inlineStr">
        <is>
          <t>Difference variance</t>
        </is>
      </c>
      <c r="E171" t="inlineStr">
        <is>
          <t>3-5</t>
        </is>
      </c>
      <c r="F171" t="n">
        <v>4.96</v>
      </c>
      <c r="G171" t="n">
        <v>0.19</v>
      </c>
      <c r="H171" s="9" t="n"/>
      <c r="I171" s="4">
        <f>IFERROR(IF(NOT(H171=""),ABS(ROUNDDOWN(F171-H171, 3 - (1+INT(LOG10(ABS(F171)))))),""),IF(AND(F171=0,NOT(F171="")),ABS(ROUNDDOWN(F171-H171,0)),""))</f>
        <v/>
      </c>
      <c r="J171" s="4">
        <f>IF(NOT(I171=""),IF(I171&lt;=G171,"match",IF(I171&lt;3*G171,"partial match","no match")),"")</f>
        <v/>
      </c>
      <c r="K171" t="inlineStr">
        <is>
          <t>cm_diff_var_2D_comb</t>
        </is>
      </c>
    </row>
    <row r="172" ht="15" customHeight="1" s="10">
      <c r="A172" t="inlineStr">
        <is>
          <t>configuration A</t>
        </is>
      </c>
      <c r="B172" t="inlineStr">
        <is>
          <t>Co-occurrence matrix (2D, slice-merged)</t>
        </is>
      </c>
      <c r="C172" t="inlineStr">
        <is>
          <t>Difference entropy</t>
        </is>
      </c>
      <c r="E172" t="inlineStr">
        <is>
          <t>3-5</t>
        </is>
      </c>
      <c r="F172" t="n">
        <v>2.28</v>
      </c>
      <c r="G172" t="n">
        <v>0.03</v>
      </c>
      <c r="H172" s="9" t="n"/>
      <c r="I172" s="4">
        <f>IFERROR(IF(NOT(H172=""),ABS(ROUNDDOWN(F172-H172, 3 - (1+INT(LOG10(ABS(F172)))))),""),IF(AND(F172=0,NOT(F172="")),ABS(ROUNDDOWN(F172-H172,0)),""))</f>
        <v/>
      </c>
      <c r="J172" s="4">
        <f>IF(NOT(I172=""),IF(I172&lt;=G172,"match",IF(I172&lt;3*G172,"partial match","no match")),"")</f>
        <v/>
      </c>
      <c r="K172" t="inlineStr">
        <is>
          <t>cm_diff_entr_2D_comb</t>
        </is>
      </c>
    </row>
    <row r="173" ht="15" customHeight="1" s="10">
      <c r="A173" t="inlineStr">
        <is>
          <t>configuration A</t>
        </is>
      </c>
      <c r="B173" t="inlineStr">
        <is>
          <t>Co-occurrence matrix (2D, slice-merged)</t>
        </is>
      </c>
      <c r="C173" t="inlineStr">
        <is>
          <t>Sum average</t>
        </is>
      </c>
      <c r="E173" t="inlineStr">
        <is>
          <t>3-5</t>
        </is>
      </c>
      <c r="F173" t="n">
        <v>41.3</v>
      </c>
      <c r="G173" t="n">
        <v>0.1</v>
      </c>
      <c r="H173" s="9" t="n"/>
      <c r="I173" s="4">
        <f>IFERROR(IF(NOT(H173=""),ABS(ROUNDDOWN(F173-H173, 3 - (1+INT(LOG10(ABS(F173)))))),""),IF(AND(F173=0,NOT(F173="")),ABS(ROUNDDOWN(F173-H173,0)),""))</f>
        <v/>
      </c>
      <c r="J173" s="4">
        <f>IF(NOT(I173=""),IF(I173&lt;=G173,"match",IF(I173&lt;3*G173,"partial match","no match")),"")</f>
        <v/>
      </c>
      <c r="K173" t="inlineStr">
        <is>
          <t>cm_sum_avg_2D_comb</t>
        </is>
      </c>
    </row>
    <row r="174" ht="15" customHeight="1" s="10">
      <c r="A174" t="inlineStr">
        <is>
          <t>configuration A</t>
        </is>
      </c>
      <c r="B174" t="inlineStr">
        <is>
          <t>Co-occurrence matrix (2D, slice-merged)</t>
        </is>
      </c>
      <c r="C174" t="inlineStr">
        <is>
          <t>Sum variance</t>
        </is>
      </c>
      <c r="E174" t="inlineStr">
        <is>
          <t>3-5</t>
        </is>
      </c>
      <c r="F174" t="n">
        <v>100</v>
      </c>
      <c r="G174" t="n">
        <v>1</v>
      </c>
      <c r="H174" s="9" t="n"/>
      <c r="I174" s="4">
        <f>IFERROR(IF(NOT(H174=""),ABS(ROUNDDOWN(F174-H174, 3 - (1+INT(LOG10(ABS(F174)))))),""),IF(AND(F174=0,NOT(F174="")),ABS(ROUNDDOWN(F174-H174,0)),""))</f>
        <v/>
      </c>
      <c r="J174" s="4">
        <f>IF(NOT(I174=""),IF(I174&lt;=G174,"match",IF(I174&lt;3*G174,"partial match","no match")),"")</f>
        <v/>
      </c>
      <c r="K174" t="inlineStr">
        <is>
          <t>cm_sum_var_2D_comb</t>
        </is>
      </c>
    </row>
    <row r="175" ht="15" customHeight="1" s="10">
      <c r="A175" t="inlineStr">
        <is>
          <t>configuration A</t>
        </is>
      </c>
      <c r="B175" t="inlineStr">
        <is>
          <t>Co-occurrence matrix (2D, slice-merged)</t>
        </is>
      </c>
      <c r="C175" t="inlineStr">
        <is>
          <t>Sum entropy</t>
        </is>
      </c>
      <c r="E175" t="inlineStr">
        <is>
          <t>6-9</t>
        </is>
      </c>
      <c r="F175" t="n">
        <v>4.21</v>
      </c>
      <c r="G175" t="n">
        <v>0.03</v>
      </c>
      <c r="H175" s="9" t="n"/>
      <c r="I175" s="4">
        <f>IFERROR(IF(NOT(H175=""),ABS(ROUNDDOWN(F175-H175, 3 - (1+INT(LOG10(ABS(F175)))))),""),IF(AND(F175=0,NOT(F175="")),ABS(ROUNDDOWN(F175-H175,0)),""))</f>
        <v/>
      </c>
      <c r="J175" s="4">
        <f>IF(NOT(I175=""),IF(I175&lt;=G175,"match",IF(I175&lt;3*G175,"partial match","no match")),"")</f>
        <v/>
      </c>
      <c r="K175" t="inlineStr">
        <is>
          <t>cm_sum_entr_2D_comb</t>
        </is>
      </c>
    </row>
    <row r="176" ht="15" customHeight="1" s="10">
      <c r="A176" t="inlineStr">
        <is>
          <t>configuration A</t>
        </is>
      </c>
      <c r="B176" t="inlineStr">
        <is>
          <t>Co-occurrence matrix (2D, slice-merged)</t>
        </is>
      </c>
      <c r="C176" t="inlineStr">
        <is>
          <t>Angular second moment</t>
        </is>
      </c>
      <c r="E176" t="inlineStr">
        <is>
          <t>3-5</t>
        </is>
      </c>
      <c r="F176" t="n">
        <v>0.0446</v>
      </c>
      <c r="G176" t="n">
        <v>0.0008</v>
      </c>
      <c r="H176" s="9" t="n"/>
      <c r="I176" s="4">
        <f>IFERROR(IF(NOT(H176=""),ABS(ROUNDDOWN(F176-H176, 3 - (1+INT(LOG10(ABS(F176)))))),""),IF(AND(F176=0,NOT(F176="")),ABS(ROUNDDOWN(F176-H176,0)),""))</f>
        <v/>
      </c>
      <c r="J176" s="4">
        <f>IF(NOT(I176=""),IF(I176&lt;=G176,"match",IF(I176&lt;3*G176,"partial match","no match")),"")</f>
        <v/>
      </c>
      <c r="K176" t="inlineStr">
        <is>
          <t>cm_energy_2D_comb</t>
        </is>
      </c>
    </row>
    <row r="177" ht="15" customHeight="1" s="10">
      <c r="A177" t="inlineStr">
        <is>
          <t>configuration A</t>
        </is>
      </c>
      <c r="B177" t="inlineStr">
        <is>
          <t>Co-occurrence matrix (2D, slice-merged)</t>
        </is>
      </c>
      <c r="C177" t="inlineStr">
        <is>
          <t>Contrast</t>
        </is>
      </c>
      <c r="E177" t="inlineStr">
        <is>
          <t>3-5</t>
        </is>
      </c>
      <c r="F177" t="n">
        <v>7.82</v>
      </c>
      <c r="G177" t="n">
        <v>0.27</v>
      </c>
      <c r="H177" s="9" t="n"/>
      <c r="I177" s="4">
        <f>IFERROR(IF(NOT(H177=""),ABS(ROUNDDOWN(F177-H177, 3 - (1+INT(LOG10(ABS(F177)))))),""),IF(AND(F177=0,NOT(F177="")),ABS(ROUNDDOWN(F177-H177,0)),""))</f>
        <v/>
      </c>
      <c r="J177" s="4">
        <f>IF(NOT(I177=""),IF(I177&lt;=G177,"match",IF(I177&lt;3*G177,"partial match","no match")),"")</f>
        <v/>
      </c>
      <c r="K177" t="inlineStr">
        <is>
          <t>cm_contrast_2D_comb</t>
        </is>
      </c>
    </row>
    <row r="178" ht="15" customHeight="1" s="10">
      <c r="A178" t="inlineStr">
        <is>
          <t>configuration A</t>
        </is>
      </c>
      <c r="B178" t="inlineStr">
        <is>
          <t>Co-occurrence matrix (2D, slice-merged)</t>
        </is>
      </c>
      <c r="C178" t="inlineStr">
        <is>
          <t>Dissimilarity</t>
        </is>
      </c>
      <c r="E178" t="inlineStr">
        <is>
          <t>3-5</t>
        </is>
      </c>
      <c r="F178" t="n">
        <v>1.57</v>
      </c>
      <c r="G178" t="n">
        <v>0.03</v>
      </c>
      <c r="H178" s="9" t="n"/>
      <c r="I178" s="4">
        <f>IFERROR(IF(NOT(H178=""),ABS(ROUNDDOWN(F178-H178, 3 - (1+INT(LOG10(ABS(F178)))))),""),IF(AND(F178=0,NOT(F178="")),ABS(ROUNDDOWN(F178-H178,0)),""))</f>
        <v/>
      </c>
      <c r="J178" s="4">
        <f>IF(NOT(I178=""),IF(I178&lt;=G178,"match",IF(I178&lt;3*G178,"partial match","no match")),"")</f>
        <v/>
      </c>
      <c r="K178" t="inlineStr">
        <is>
          <t>cm_dissimilarity_2D_comb</t>
        </is>
      </c>
    </row>
    <row r="179" ht="15" customHeight="1" s="10">
      <c r="A179" t="inlineStr">
        <is>
          <t>configuration A</t>
        </is>
      </c>
      <c r="B179" t="inlineStr">
        <is>
          <t>Co-occurrence matrix (2D, slice-merged)</t>
        </is>
      </c>
      <c r="C179" t="inlineStr">
        <is>
          <t>Inverse difference</t>
        </is>
      </c>
      <c r="E179" t="inlineStr">
        <is>
          <t>3-5</t>
        </is>
      </c>
      <c r="F179" t="n">
        <v>0.581</v>
      </c>
      <c r="G179" t="n">
        <v>0.003</v>
      </c>
      <c r="H179" s="9" t="n"/>
      <c r="I179" s="4">
        <f>IFERROR(IF(NOT(H179=""),ABS(ROUNDDOWN(F179-H179, 3 - (1+INT(LOG10(ABS(F179)))))),""),IF(AND(F179=0,NOT(F179="")),ABS(ROUNDDOWN(F179-H179,0)),""))</f>
        <v/>
      </c>
      <c r="J179" s="4">
        <f>IF(NOT(I179=""),IF(I179&lt;=G179,"match",IF(I179&lt;3*G179,"partial match","no match")),"")</f>
        <v/>
      </c>
      <c r="K179" t="inlineStr">
        <is>
          <t>cm_inv_diff_2D_comb</t>
        </is>
      </c>
    </row>
    <row r="180" ht="15" customHeight="1" s="10">
      <c r="A180" t="inlineStr">
        <is>
          <t>configuration A</t>
        </is>
      </c>
      <c r="B180" t="inlineStr">
        <is>
          <t>Co-occurrence matrix (2D, slice-merged)</t>
        </is>
      </c>
      <c r="C180" t="inlineStr">
        <is>
          <t>Inverse difference normalised</t>
        </is>
      </c>
      <c r="E180" t="inlineStr">
        <is>
          <t>6-9</t>
        </is>
      </c>
      <c r="F180" t="n">
        <v>0.961</v>
      </c>
      <c r="G180" t="n">
        <v>0.001</v>
      </c>
      <c r="H180" s="9" t="n"/>
      <c r="I180" s="4">
        <f>IFERROR(IF(NOT(H180=""),ABS(ROUNDDOWN(F180-H180, 3 - (1+INT(LOG10(ABS(F180)))))),""),IF(AND(F180=0,NOT(F180="")),ABS(ROUNDDOWN(F180-H180,0)),""))</f>
        <v/>
      </c>
      <c r="J180" s="4">
        <f>IF(NOT(I180=""),IF(I180&lt;=G180,"match",IF(I180&lt;3*G180,"partial match","no match")),"")</f>
        <v/>
      </c>
      <c r="K180" t="inlineStr">
        <is>
          <t>cm_inv_diff_norm_2D_comb</t>
        </is>
      </c>
    </row>
    <row r="181" ht="15" customHeight="1" s="10">
      <c r="A181" t="inlineStr">
        <is>
          <t>configuration A</t>
        </is>
      </c>
      <c r="B181" t="inlineStr">
        <is>
          <t>Co-occurrence matrix (2D, slice-merged)</t>
        </is>
      </c>
      <c r="C181" t="inlineStr">
        <is>
          <t>Inverse difference moment</t>
        </is>
      </c>
      <c r="E181" t="inlineStr">
        <is>
          <t>3-5</t>
        </is>
      </c>
      <c r="F181" t="n">
        <v>0.544</v>
      </c>
      <c r="G181" t="n">
        <v>0.003</v>
      </c>
      <c r="H181" s="9" t="n"/>
      <c r="I181" s="4">
        <f>IFERROR(IF(NOT(H181=""),ABS(ROUNDDOWN(F181-H181, 3 - (1+INT(LOG10(ABS(F181)))))),""),IF(AND(F181=0,NOT(F181="")),ABS(ROUNDDOWN(F181-H181,0)),""))</f>
        <v/>
      </c>
      <c r="J181" s="4">
        <f>IF(NOT(I181=""),IF(I181&lt;=G181,"match",IF(I181&lt;3*G181,"partial match","no match")),"")</f>
        <v/>
      </c>
      <c r="K181" t="inlineStr">
        <is>
          <t>cm_inv_diff_mom_2D_comb</t>
        </is>
      </c>
    </row>
    <row r="182" ht="15" customHeight="1" s="10">
      <c r="A182" t="inlineStr">
        <is>
          <t>configuration A</t>
        </is>
      </c>
      <c r="B182" t="inlineStr">
        <is>
          <t>Co-occurrence matrix (2D, slice-merged)</t>
        </is>
      </c>
      <c r="C182" t="inlineStr">
        <is>
          <t>Inverse difference moment normalised</t>
        </is>
      </c>
      <c r="E182" t="inlineStr">
        <is>
          <t>6-9</t>
        </is>
      </c>
      <c r="F182" t="n">
        <v>0.994</v>
      </c>
      <c r="G182" t="n">
        <v>0.001</v>
      </c>
      <c r="H182" s="9" t="n"/>
      <c r="I182" s="4">
        <f>IFERROR(IF(NOT(H182=""),ABS(ROUNDDOWN(F182-H182, 3 - (1+INT(LOG10(ABS(F182)))))),""),IF(AND(F182=0,NOT(F182="")),ABS(ROUNDDOWN(F182-H182,0)),""))</f>
        <v/>
      </c>
      <c r="J182" s="4">
        <f>IF(NOT(I182=""),IF(I182&lt;=G182,"match",IF(I182&lt;3*G182,"partial match","no match")),"")</f>
        <v/>
      </c>
      <c r="K182" t="inlineStr">
        <is>
          <t>cm_inv_diff_mom_norm_2D_comb</t>
        </is>
      </c>
    </row>
    <row r="183" ht="15" customHeight="1" s="10">
      <c r="A183" t="inlineStr">
        <is>
          <t>configuration A</t>
        </is>
      </c>
      <c r="B183" t="inlineStr">
        <is>
          <t>Co-occurrence matrix (2D, slice-merged)</t>
        </is>
      </c>
      <c r="C183" t="inlineStr">
        <is>
          <t>Inverse variance</t>
        </is>
      </c>
      <c r="E183" t="inlineStr">
        <is>
          <t>6-9</t>
        </is>
      </c>
      <c r="F183" t="n">
        <v>0.441</v>
      </c>
      <c r="G183" t="n">
        <v>0.001</v>
      </c>
      <c r="H183" s="9" t="n"/>
      <c r="I183" s="4">
        <f>IFERROR(IF(NOT(H183=""),ABS(ROUNDDOWN(F183-H183, 3 - (1+INT(LOG10(ABS(F183)))))),""),IF(AND(F183=0,NOT(F183="")),ABS(ROUNDDOWN(F183-H183,0)),""))</f>
        <v/>
      </c>
      <c r="J183" s="4">
        <f>IF(NOT(I183=""),IF(I183&lt;=G183,"match",IF(I183&lt;3*G183,"partial match","no match")),"")</f>
        <v/>
      </c>
      <c r="K183" t="inlineStr">
        <is>
          <t>cm_inv_var_2D_comb</t>
        </is>
      </c>
    </row>
    <row r="184" ht="15" customHeight="1" s="10">
      <c r="A184" t="inlineStr">
        <is>
          <t>configuration A</t>
        </is>
      </c>
      <c r="B184" t="inlineStr">
        <is>
          <t>Co-occurrence matrix (2D, slice-merged)</t>
        </is>
      </c>
      <c r="C184" t="inlineStr">
        <is>
          <t>Correlation</t>
        </is>
      </c>
      <c r="E184" t="inlineStr">
        <is>
          <t>6-9</t>
        </is>
      </c>
      <c r="F184" t="n">
        <v>0.78</v>
      </c>
      <c r="G184" t="n">
        <v>0.002</v>
      </c>
      <c r="H184" s="9" t="n"/>
      <c r="I184" s="4">
        <f>IFERROR(IF(NOT(H184=""),ABS(ROUNDDOWN(F184-H184, 3 - (1+INT(LOG10(ABS(F184)))))),""),IF(AND(F184=0,NOT(F184="")),ABS(ROUNDDOWN(F184-H184,0)),""))</f>
        <v/>
      </c>
      <c r="J184" s="4">
        <f>IF(NOT(I184=""),IF(I184&lt;=G184,"match",IF(I184&lt;3*G184,"partial match","no match")),"")</f>
        <v/>
      </c>
      <c r="K184" t="inlineStr">
        <is>
          <t>cm_corr_2D_comb</t>
        </is>
      </c>
    </row>
    <row r="185" ht="15" customHeight="1" s="10">
      <c r="A185" t="inlineStr">
        <is>
          <t>configuration A</t>
        </is>
      </c>
      <c r="B185" t="inlineStr">
        <is>
          <t>Co-occurrence matrix (2D, slice-merged)</t>
        </is>
      </c>
      <c r="C185" t="inlineStr">
        <is>
          <t>Autocorrelation</t>
        </is>
      </c>
      <c r="E185" t="inlineStr">
        <is>
          <t>3-5</t>
        </is>
      </c>
      <c r="F185" t="n">
        <v>455</v>
      </c>
      <c r="G185" t="n">
        <v>2</v>
      </c>
      <c r="H185" s="9" t="n"/>
      <c r="I185" s="4">
        <f>IFERROR(IF(NOT(H185=""),ABS(ROUNDDOWN(F185-H185, 3 - (1+INT(LOG10(ABS(F185)))))),""),IF(AND(F185=0,NOT(F185="")),ABS(ROUNDDOWN(F185-H185,0)),""))</f>
        <v/>
      </c>
      <c r="J185" s="4">
        <f>IF(NOT(I185=""),IF(I185&lt;=G185,"match",IF(I185&lt;3*G185,"partial match","no match")),"")</f>
        <v/>
      </c>
      <c r="K185" t="inlineStr">
        <is>
          <t>cm_auto_corr_2D_comb</t>
        </is>
      </c>
    </row>
    <row r="186" ht="15" customHeight="1" s="10">
      <c r="A186" t="inlineStr">
        <is>
          <t>configuration A</t>
        </is>
      </c>
      <c r="B186" t="inlineStr">
        <is>
          <t>Co-occurrence matrix (2D, slice-merged)</t>
        </is>
      </c>
      <c r="C186" t="inlineStr">
        <is>
          <t>Cluster tendency</t>
        </is>
      </c>
      <c r="E186" t="inlineStr">
        <is>
          <t>3-5</t>
        </is>
      </c>
      <c r="F186" t="n">
        <v>100</v>
      </c>
      <c r="G186" t="n">
        <v>1</v>
      </c>
      <c r="H186" s="9" t="n"/>
      <c r="I186" s="4">
        <f>IFERROR(IF(NOT(H186=""),ABS(ROUNDDOWN(F186-H186, 3 - (1+INT(LOG10(ABS(F186)))))),""),IF(AND(F186=0,NOT(F186="")),ABS(ROUNDDOWN(F186-H186,0)),""))</f>
        <v/>
      </c>
      <c r="J186" s="4">
        <f>IF(NOT(I186=""),IF(I186&lt;=G186,"match",IF(I186&lt;3*G186,"partial match","no match")),"")</f>
        <v/>
      </c>
      <c r="K186" t="inlineStr">
        <is>
          <t>cm_clust_tend_2D_comb</t>
        </is>
      </c>
    </row>
    <row r="187" ht="15" customHeight="1" s="10">
      <c r="A187" t="inlineStr">
        <is>
          <t>configuration A</t>
        </is>
      </c>
      <c r="B187" t="inlineStr">
        <is>
          <t>Co-occurrence matrix (2D, slice-merged)</t>
        </is>
      </c>
      <c r="C187" t="inlineStr">
        <is>
          <t>Cluster shade</t>
        </is>
      </c>
      <c r="E187" t="inlineStr">
        <is>
          <t>3-5</t>
        </is>
      </c>
      <c r="F187" t="n">
        <v>-1050</v>
      </c>
      <c r="G187" t="n">
        <v>20</v>
      </c>
      <c r="H187" s="9" t="n"/>
      <c r="I187" s="4">
        <f>IFERROR(IF(NOT(H187=""),ABS(ROUNDDOWN(F187-H187, 3 - (1+INT(LOG10(ABS(F187)))))),""),IF(AND(F187=0,NOT(F187="")),ABS(ROUNDDOWN(F187-H187,0)),""))</f>
        <v/>
      </c>
      <c r="J187" s="4">
        <f>IF(NOT(I187=""),IF(I187&lt;=G187,"match",IF(I187&lt;3*G187,"partial match","no match")),"")</f>
        <v/>
      </c>
      <c r="K187" t="inlineStr">
        <is>
          <t>cm_clust_shade_2D_comb</t>
        </is>
      </c>
    </row>
    <row r="188" ht="15" customHeight="1" s="10">
      <c r="A188" t="inlineStr">
        <is>
          <t>configuration A</t>
        </is>
      </c>
      <c r="B188" t="inlineStr">
        <is>
          <t>Co-occurrence matrix (2D, slice-merged)</t>
        </is>
      </c>
      <c r="C188" t="inlineStr">
        <is>
          <t>Cluster prominence</t>
        </is>
      </c>
      <c r="E188" t="inlineStr">
        <is>
          <t>3-5</t>
        </is>
      </c>
      <c r="F188" t="n">
        <v>52800</v>
      </c>
      <c r="G188" t="n">
        <v>500</v>
      </c>
      <c r="H188" s="9" t="n"/>
      <c r="I188" s="4">
        <f>IFERROR(IF(NOT(H188=""),ABS(ROUNDDOWN(F188-H188, 3 - (1+INT(LOG10(ABS(F188)))))),""),IF(AND(F188=0,NOT(F188="")),ABS(ROUNDDOWN(F188-H188,0)),""))</f>
        <v/>
      </c>
      <c r="J188" s="4">
        <f>IF(NOT(I188=""),IF(I188&lt;=G188,"match",IF(I188&lt;3*G188,"partial match","no match")),"")</f>
        <v/>
      </c>
      <c r="K188" t="inlineStr">
        <is>
          <t>cm_clust_prom_2D_comb</t>
        </is>
      </c>
    </row>
    <row r="189" ht="15" customHeight="1" s="10">
      <c r="A189" t="inlineStr">
        <is>
          <t>configuration A</t>
        </is>
      </c>
      <c r="B189" t="inlineStr">
        <is>
          <t>Co-occurrence matrix (2D, slice-merged)</t>
        </is>
      </c>
      <c r="C189" t="inlineStr">
        <is>
          <t>Information correlation 1</t>
        </is>
      </c>
      <c r="E189" t="inlineStr">
        <is>
          <t>6-9</t>
        </is>
      </c>
      <c r="F189" t="n">
        <v>-0.214</v>
      </c>
      <c r="G189" t="n">
        <v>0.001</v>
      </c>
      <c r="H189" s="9" t="n"/>
      <c r="I189" s="4">
        <f>IFERROR(IF(NOT(H189=""),ABS(ROUNDDOWN(F189-H189, 3 - (1+INT(LOG10(ABS(F189)))))),""),IF(AND(F189=0,NOT(F189="")),ABS(ROUNDDOWN(F189-H189,0)),""))</f>
        <v/>
      </c>
      <c r="J189" s="4">
        <f>IF(NOT(I189=""),IF(I189&lt;=G189,"match",IF(I189&lt;3*G189,"partial match","no match")),"")</f>
        <v/>
      </c>
      <c r="K189" t="inlineStr">
        <is>
          <t>cm_info_corr1_2D_comb</t>
        </is>
      </c>
    </row>
    <row r="190" ht="15" customHeight="1" s="10">
      <c r="A190" t="inlineStr">
        <is>
          <t>configuration A</t>
        </is>
      </c>
      <c r="B190" t="inlineStr">
        <is>
          <t>Co-occurrence matrix (2D, slice-merged)</t>
        </is>
      </c>
      <c r="C190" t="inlineStr">
        <is>
          <t>Information correlation 2</t>
        </is>
      </c>
      <c r="E190" t="inlineStr">
        <is>
          <t>6-9</t>
        </is>
      </c>
      <c r="F190" t="n">
        <v>0.851</v>
      </c>
      <c r="G190" t="n">
        <v>0.002</v>
      </c>
      <c r="H190" s="9" t="n"/>
      <c r="I190" s="4">
        <f>IFERROR(IF(NOT(H190=""),ABS(ROUNDDOWN(F190-H190, 3 - (1+INT(LOG10(ABS(F190)))))),""),IF(AND(F190=0,NOT(F190="")),ABS(ROUNDDOWN(F190-H190,0)),""))</f>
        <v/>
      </c>
      <c r="J190" s="4">
        <f>IF(NOT(I190=""),IF(I190&lt;=G190,"match",IF(I190&lt;3*G190,"partial match","no match")),"")</f>
        <v/>
      </c>
      <c r="K190" t="inlineStr">
        <is>
          <t>cm_info_corr2_2D_comb</t>
        </is>
      </c>
    </row>
    <row r="191" ht="15" customHeight="1" s="10">
      <c r="A191" t="inlineStr">
        <is>
          <t>configuration A</t>
        </is>
      </c>
      <c r="B191" t="inlineStr">
        <is>
          <t>Co-occurrence matrix (2.5D, direction-merged)</t>
        </is>
      </c>
      <c r="C191" t="inlineStr">
        <is>
          <t>Joint maximum</t>
        </is>
      </c>
      <c r="E191" t="inlineStr">
        <is>
          <t>&lt; 3</t>
        </is>
      </c>
      <c r="H191" s="9" t="n"/>
      <c r="I191" s="4">
        <f>IFERROR(IF(NOT(H191=""),ABS(ROUNDDOWN(F191-H191, 3 - (1+INT(LOG10(ABS(F191)))))),""),IF(AND(F191=0,NOT(F191="")),ABS(ROUNDDOWN(F191-H191,0)),""))</f>
        <v/>
      </c>
      <c r="J191" s="4">
        <f>IF(NOT(I191=""),IF(I191&lt;=G191,"match",IF(I191&lt;3*G191,"partial match","no match")),"")</f>
        <v/>
      </c>
      <c r="K191" t="inlineStr">
        <is>
          <t>cm_joint_max_2_5D_avg</t>
        </is>
      </c>
    </row>
    <row r="192" ht="15" customHeight="1" s="10">
      <c r="A192" t="inlineStr">
        <is>
          <t>configuration A</t>
        </is>
      </c>
      <c r="B192" t="inlineStr">
        <is>
          <t>Co-occurrence matrix (2.5D, direction-merged)</t>
        </is>
      </c>
      <c r="C192" t="inlineStr">
        <is>
          <t>Joint average</t>
        </is>
      </c>
      <c r="E192" t="inlineStr">
        <is>
          <t>&lt; 3</t>
        </is>
      </c>
      <c r="H192" s="9" t="n"/>
      <c r="I192" s="4">
        <f>IFERROR(IF(NOT(H192=""),ABS(ROUNDDOWN(F192-H192, 3 - (1+INT(LOG10(ABS(F192)))))),""),IF(AND(F192=0,NOT(F192="")),ABS(ROUNDDOWN(F192-H192,0)),""))</f>
        <v/>
      </c>
      <c r="J192" s="4">
        <f>IF(NOT(I192=""),IF(I192&lt;=G192,"match",IF(I192&lt;3*G192,"partial match","no match")),"")</f>
        <v/>
      </c>
      <c r="K192" t="inlineStr">
        <is>
          <t>cm_joint_avg_2_5D_avg</t>
        </is>
      </c>
    </row>
    <row r="193" ht="15" customHeight="1" s="10">
      <c r="A193" t="inlineStr">
        <is>
          <t>configuration A</t>
        </is>
      </c>
      <c r="B193" t="inlineStr">
        <is>
          <t>Co-occurrence matrix (2.5D, direction-merged)</t>
        </is>
      </c>
      <c r="C193" t="inlineStr">
        <is>
          <t>Joint variance</t>
        </is>
      </c>
      <c r="E193" t="inlineStr">
        <is>
          <t>&lt; 3</t>
        </is>
      </c>
      <c r="H193" s="9" t="n"/>
      <c r="I193" s="4">
        <f>IFERROR(IF(NOT(H193=""),ABS(ROUNDDOWN(F193-H193, 3 - (1+INT(LOG10(ABS(F193)))))),""),IF(AND(F193=0,NOT(F193="")),ABS(ROUNDDOWN(F193-H193,0)),""))</f>
        <v/>
      </c>
      <c r="J193" s="4">
        <f>IF(NOT(I193=""),IF(I193&lt;=G193,"match",IF(I193&lt;3*G193,"partial match","no match")),"")</f>
        <v/>
      </c>
      <c r="K193" t="inlineStr">
        <is>
          <t>cm_joint_var_2_5D_avg</t>
        </is>
      </c>
    </row>
    <row r="194" ht="15" customHeight="1" s="10">
      <c r="A194" t="inlineStr">
        <is>
          <t>configuration A</t>
        </is>
      </c>
      <c r="B194" t="inlineStr">
        <is>
          <t>Co-occurrence matrix (2.5D, direction-merged)</t>
        </is>
      </c>
      <c r="C194" t="inlineStr">
        <is>
          <t>Joint entropy</t>
        </is>
      </c>
      <c r="E194" t="inlineStr">
        <is>
          <t>&lt; 3</t>
        </is>
      </c>
      <c r="H194" s="9" t="n"/>
      <c r="I194" s="4">
        <f>IFERROR(IF(NOT(H194=""),ABS(ROUNDDOWN(F194-H194, 3 - (1+INT(LOG10(ABS(F194)))))),""),IF(AND(F194=0,NOT(F194="")),ABS(ROUNDDOWN(F194-H194,0)),""))</f>
        <v/>
      </c>
      <c r="J194" s="4">
        <f>IF(NOT(I194=""),IF(I194&lt;=G194,"match",IF(I194&lt;3*G194,"partial match","no match")),"")</f>
        <v/>
      </c>
      <c r="K194" t="inlineStr">
        <is>
          <t>cm_joint_entr_2_5D_avg</t>
        </is>
      </c>
    </row>
    <row r="195" ht="15" customHeight="1" s="10">
      <c r="A195" t="inlineStr">
        <is>
          <t>configuration A</t>
        </is>
      </c>
      <c r="B195" t="inlineStr">
        <is>
          <t>Co-occurrence matrix (2.5D, direction-merged)</t>
        </is>
      </c>
      <c r="C195" t="inlineStr">
        <is>
          <t>Difference average</t>
        </is>
      </c>
      <c r="E195" t="inlineStr">
        <is>
          <t>&lt; 3</t>
        </is>
      </c>
      <c r="H195" s="9" t="n"/>
      <c r="I195" s="4">
        <f>IFERROR(IF(NOT(H195=""),ABS(ROUNDDOWN(F195-H195, 3 - (1+INT(LOG10(ABS(F195)))))),""),IF(AND(F195=0,NOT(F195="")),ABS(ROUNDDOWN(F195-H195,0)),""))</f>
        <v/>
      </c>
      <c r="J195" s="4">
        <f>IF(NOT(I195=""),IF(I195&lt;=G195,"match",IF(I195&lt;3*G195,"partial match","no match")),"")</f>
        <v/>
      </c>
      <c r="K195" t="inlineStr">
        <is>
          <t>cm_diff_avg_2_5D_avg</t>
        </is>
      </c>
    </row>
    <row r="196" ht="15" customHeight="1" s="10">
      <c r="A196" t="inlineStr">
        <is>
          <t>configuration A</t>
        </is>
      </c>
      <c r="B196" t="inlineStr">
        <is>
          <t>Co-occurrence matrix (2.5D, direction-merged)</t>
        </is>
      </c>
      <c r="C196" t="inlineStr">
        <is>
          <t>Difference variance</t>
        </is>
      </c>
      <c r="E196" t="inlineStr">
        <is>
          <t>&lt; 3</t>
        </is>
      </c>
      <c r="H196" s="9" t="n"/>
      <c r="I196" s="4">
        <f>IFERROR(IF(NOT(H196=""),ABS(ROUNDDOWN(F196-H196, 3 - (1+INT(LOG10(ABS(F196)))))),""),IF(AND(F196=0,NOT(F196="")),ABS(ROUNDDOWN(F196-H196,0)),""))</f>
        <v/>
      </c>
      <c r="J196" s="4">
        <f>IF(NOT(I196=""),IF(I196&lt;=G196,"match",IF(I196&lt;3*G196,"partial match","no match")),"")</f>
        <v/>
      </c>
      <c r="K196" t="inlineStr">
        <is>
          <t>cm_diff_var_2_5D_avg</t>
        </is>
      </c>
    </row>
    <row r="197" ht="15" customHeight="1" s="10">
      <c r="A197" t="inlineStr">
        <is>
          <t>configuration A</t>
        </is>
      </c>
      <c r="B197" t="inlineStr">
        <is>
          <t>Co-occurrence matrix (2.5D, direction-merged)</t>
        </is>
      </c>
      <c r="C197" t="inlineStr">
        <is>
          <t>Difference entropy</t>
        </is>
      </c>
      <c r="E197" t="inlineStr">
        <is>
          <t>&lt; 3</t>
        </is>
      </c>
      <c r="H197" s="9" t="n"/>
      <c r="I197" s="4">
        <f>IFERROR(IF(NOT(H197=""),ABS(ROUNDDOWN(F197-H197, 3 - (1+INT(LOG10(ABS(F197)))))),""),IF(AND(F197=0,NOT(F197="")),ABS(ROUNDDOWN(F197-H197,0)),""))</f>
        <v/>
      </c>
      <c r="J197" s="4">
        <f>IF(NOT(I197=""),IF(I197&lt;=G197,"match",IF(I197&lt;3*G197,"partial match","no match")),"")</f>
        <v/>
      </c>
      <c r="K197" t="inlineStr">
        <is>
          <t>cm_diff_entr_2_5D_avg</t>
        </is>
      </c>
    </row>
    <row r="198" ht="15" customHeight="1" s="10">
      <c r="A198" t="inlineStr">
        <is>
          <t>configuration A</t>
        </is>
      </c>
      <c r="B198" t="inlineStr">
        <is>
          <t>Co-occurrence matrix (2.5D, direction-merged)</t>
        </is>
      </c>
      <c r="C198" t="inlineStr">
        <is>
          <t>Sum average</t>
        </is>
      </c>
      <c r="E198" t="inlineStr">
        <is>
          <t>&lt; 3</t>
        </is>
      </c>
      <c r="H198" s="9" t="n"/>
      <c r="I198" s="4">
        <f>IFERROR(IF(NOT(H198=""),ABS(ROUNDDOWN(F198-H198, 3 - (1+INT(LOG10(ABS(F198)))))),""),IF(AND(F198=0,NOT(F198="")),ABS(ROUNDDOWN(F198-H198,0)),""))</f>
        <v/>
      </c>
      <c r="J198" s="4">
        <f>IF(NOT(I198=""),IF(I198&lt;=G198,"match",IF(I198&lt;3*G198,"partial match","no match")),"")</f>
        <v/>
      </c>
      <c r="K198" t="inlineStr">
        <is>
          <t>cm_sum_avg_2_5D_avg</t>
        </is>
      </c>
    </row>
    <row r="199" ht="15" customHeight="1" s="10">
      <c r="A199" t="inlineStr">
        <is>
          <t>configuration A</t>
        </is>
      </c>
      <c r="B199" t="inlineStr">
        <is>
          <t>Co-occurrence matrix (2.5D, direction-merged)</t>
        </is>
      </c>
      <c r="C199" t="inlineStr">
        <is>
          <t>Sum variance</t>
        </is>
      </c>
      <c r="E199" t="inlineStr">
        <is>
          <t>&lt; 3</t>
        </is>
      </c>
      <c r="H199" s="9" t="n"/>
      <c r="I199" s="4">
        <f>IFERROR(IF(NOT(H199=""),ABS(ROUNDDOWN(F199-H199, 3 - (1+INT(LOG10(ABS(F199)))))),""),IF(AND(F199=0,NOT(F199="")),ABS(ROUNDDOWN(F199-H199,0)),""))</f>
        <v/>
      </c>
      <c r="J199" s="4">
        <f>IF(NOT(I199=""),IF(I199&lt;=G199,"match",IF(I199&lt;3*G199,"partial match","no match")),"")</f>
        <v/>
      </c>
      <c r="K199" t="inlineStr">
        <is>
          <t>cm_sum_var_2_5D_avg</t>
        </is>
      </c>
    </row>
    <row r="200" ht="15" customHeight="1" s="10">
      <c r="A200" t="inlineStr">
        <is>
          <t>configuration A</t>
        </is>
      </c>
      <c r="B200" t="inlineStr">
        <is>
          <t>Co-occurrence matrix (2.5D, direction-merged)</t>
        </is>
      </c>
      <c r="C200" t="inlineStr">
        <is>
          <t>Sum entropy</t>
        </is>
      </c>
      <c r="E200" t="inlineStr">
        <is>
          <t>&lt; 3</t>
        </is>
      </c>
      <c r="H200" s="9" t="n"/>
      <c r="I200" s="4">
        <f>IFERROR(IF(NOT(H200=""),ABS(ROUNDDOWN(F200-H200, 3 - (1+INT(LOG10(ABS(F200)))))),""),IF(AND(F200=0,NOT(F200="")),ABS(ROUNDDOWN(F200-H200,0)),""))</f>
        <v/>
      </c>
      <c r="J200" s="4">
        <f>IF(NOT(I200=""),IF(I200&lt;=G200,"match",IF(I200&lt;3*G200,"partial match","no match")),"")</f>
        <v/>
      </c>
      <c r="K200" t="inlineStr">
        <is>
          <t>cm_sum_entr_2_5D_avg</t>
        </is>
      </c>
    </row>
    <row r="201" ht="15" customHeight="1" s="10">
      <c r="A201" t="inlineStr">
        <is>
          <t>configuration A</t>
        </is>
      </c>
      <c r="B201" t="inlineStr">
        <is>
          <t>Co-occurrence matrix (2.5D, direction-merged)</t>
        </is>
      </c>
      <c r="C201" t="inlineStr">
        <is>
          <t>Angular second moment</t>
        </is>
      </c>
      <c r="E201" t="inlineStr">
        <is>
          <t>&lt; 3</t>
        </is>
      </c>
      <c r="H201" s="9" t="n"/>
      <c r="I201" s="4">
        <f>IFERROR(IF(NOT(H201=""),ABS(ROUNDDOWN(F201-H201, 3 - (1+INT(LOG10(ABS(F201)))))),""),IF(AND(F201=0,NOT(F201="")),ABS(ROUNDDOWN(F201-H201,0)),""))</f>
        <v/>
      </c>
      <c r="J201" s="4">
        <f>IF(NOT(I201=""),IF(I201&lt;=G201,"match",IF(I201&lt;3*G201,"partial match","no match")),"")</f>
        <v/>
      </c>
      <c r="K201" t="inlineStr">
        <is>
          <t>cm_energy_2_5D_avg</t>
        </is>
      </c>
    </row>
    <row r="202" ht="15" customHeight="1" s="10">
      <c r="A202" t="inlineStr">
        <is>
          <t>configuration A</t>
        </is>
      </c>
      <c r="B202" t="inlineStr">
        <is>
          <t>Co-occurrence matrix (2.5D, direction-merged)</t>
        </is>
      </c>
      <c r="C202" t="inlineStr">
        <is>
          <t>Contrast</t>
        </is>
      </c>
      <c r="E202" t="inlineStr">
        <is>
          <t>&lt; 3</t>
        </is>
      </c>
      <c r="H202" s="9" t="n"/>
      <c r="I202" s="4">
        <f>IFERROR(IF(NOT(H202=""),ABS(ROUNDDOWN(F202-H202, 3 - (1+INT(LOG10(ABS(F202)))))),""),IF(AND(F202=0,NOT(F202="")),ABS(ROUNDDOWN(F202-H202,0)),""))</f>
        <v/>
      </c>
      <c r="J202" s="4">
        <f>IF(NOT(I202=""),IF(I202&lt;=G202,"match",IF(I202&lt;3*G202,"partial match","no match")),"")</f>
        <v/>
      </c>
      <c r="K202" t="inlineStr">
        <is>
          <t>cm_contrast_2_5D_avg</t>
        </is>
      </c>
    </row>
    <row r="203" ht="15" customHeight="1" s="10">
      <c r="A203" t="inlineStr">
        <is>
          <t>configuration A</t>
        </is>
      </c>
      <c r="B203" t="inlineStr">
        <is>
          <t>Co-occurrence matrix (2.5D, direction-merged)</t>
        </is>
      </c>
      <c r="C203" t="inlineStr">
        <is>
          <t>Dissimilarity</t>
        </is>
      </c>
      <c r="E203" t="inlineStr">
        <is>
          <t>&lt; 3</t>
        </is>
      </c>
      <c r="H203" s="9" t="n"/>
      <c r="I203" s="4">
        <f>IFERROR(IF(NOT(H203=""),ABS(ROUNDDOWN(F203-H203, 3 - (1+INT(LOG10(ABS(F203)))))),""),IF(AND(F203=0,NOT(F203="")),ABS(ROUNDDOWN(F203-H203,0)),""))</f>
        <v/>
      </c>
      <c r="J203" s="4">
        <f>IF(NOT(I203=""),IF(I203&lt;=G203,"match",IF(I203&lt;3*G203,"partial match","no match")),"")</f>
        <v/>
      </c>
      <c r="K203" t="inlineStr">
        <is>
          <t>cm_dissimilarity_2_5D_avg</t>
        </is>
      </c>
    </row>
    <row r="204" ht="15" customHeight="1" s="10">
      <c r="A204" t="inlineStr">
        <is>
          <t>configuration A</t>
        </is>
      </c>
      <c r="B204" t="inlineStr">
        <is>
          <t>Co-occurrence matrix (2.5D, direction-merged)</t>
        </is>
      </c>
      <c r="C204" t="inlineStr">
        <is>
          <t>Inverse difference</t>
        </is>
      </c>
      <c r="E204" t="inlineStr">
        <is>
          <t>&lt; 3</t>
        </is>
      </c>
      <c r="H204" s="9" t="n"/>
      <c r="I204" s="4">
        <f>IFERROR(IF(NOT(H204=""),ABS(ROUNDDOWN(F204-H204, 3 - (1+INT(LOG10(ABS(F204)))))),""),IF(AND(F204=0,NOT(F204="")),ABS(ROUNDDOWN(F204-H204,0)),""))</f>
        <v/>
      </c>
      <c r="J204" s="4">
        <f>IF(NOT(I204=""),IF(I204&lt;=G204,"match",IF(I204&lt;3*G204,"partial match","no match")),"")</f>
        <v/>
      </c>
      <c r="K204" t="inlineStr">
        <is>
          <t>cm_inv_diff_2_5D_avg</t>
        </is>
      </c>
    </row>
    <row r="205" ht="15" customHeight="1" s="10">
      <c r="A205" t="inlineStr">
        <is>
          <t>configuration A</t>
        </is>
      </c>
      <c r="B205" t="inlineStr">
        <is>
          <t>Co-occurrence matrix (2.5D, direction-merged)</t>
        </is>
      </c>
      <c r="C205" t="inlineStr">
        <is>
          <t>Inverse difference normalised</t>
        </is>
      </c>
      <c r="E205" t="inlineStr">
        <is>
          <t>&lt; 3</t>
        </is>
      </c>
      <c r="H205" s="9" t="n"/>
      <c r="I205" s="4">
        <f>IFERROR(IF(NOT(H205=""),ABS(ROUNDDOWN(F205-H205, 3 - (1+INT(LOG10(ABS(F205)))))),""),IF(AND(F205=0,NOT(F205="")),ABS(ROUNDDOWN(F205-H205,0)),""))</f>
        <v/>
      </c>
      <c r="J205" s="4">
        <f>IF(NOT(I205=""),IF(I205&lt;=G205,"match",IF(I205&lt;3*G205,"partial match","no match")),"")</f>
        <v/>
      </c>
      <c r="K205" t="inlineStr">
        <is>
          <t>cm_inv_diff_norm_2_5D_avg</t>
        </is>
      </c>
    </row>
    <row r="206" ht="15" customHeight="1" s="10">
      <c r="A206" t="inlineStr">
        <is>
          <t>configuration A</t>
        </is>
      </c>
      <c r="B206" t="inlineStr">
        <is>
          <t>Co-occurrence matrix (2.5D, direction-merged)</t>
        </is>
      </c>
      <c r="C206" t="inlineStr">
        <is>
          <t>Inverse difference moment</t>
        </is>
      </c>
      <c r="E206" t="inlineStr">
        <is>
          <t>&lt; 3</t>
        </is>
      </c>
      <c r="H206" s="9" t="n"/>
      <c r="I206" s="4">
        <f>IFERROR(IF(NOT(H206=""),ABS(ROUNDDOWN(F206-H206, 3 - (1+INT(LOG10(ABS(F206)))))),""),IF(AND(F206=0,NOT(F206="")),ABS(ROUNDDOWN(F206-H206,0)),""))</f>
        <v/>
      </c>
      <c r="J206" s="4">
        <f>IF(NOT(I206=""),IF(I206&lt;=G206,"match",IF(I206&lt;3*G206,"partial match","no match")),"")</f>
        <v/>
      </c>
      <c r="K206" t="inlineStr">
        <is>
          <t>cm_inv_diff_mom_2_5D_avg</t>
        </is>
      </c>
    </row>
    <row r="207" ht="15" customHeight="1" s="10">
      <c r="A207" t="inlineStr">
        <is>
          <t>configuration A</t>
        </is>
      </c>
      <c r="B207" t="inlineStr">
        <is>
          <t>Co-occurrence matrix (2.5D, direction-merged)</t>
        </is>
      </c>
      <c r="C207" t="inlineStr">
        <is>
          <t>Inverse difference moment normalised</t>
        </is>
      </c>
      <c r="E207" t="inlineStr">
        <is>
          <t>&lt; 3</t>
        </is>
      </c>
      <c r="H207" s="9" t="n"/>
      <c r="I207" s="4">
        <f>IFERROR(IF(NOT(H207=""),ABS(ROUNDDOWN(F207-H207, 3 - (1+INT(LOG10(ABS(F207)))))),""),IF(AND(F207=0,NOT(F207="")),ABS(ROUNDDOWN(F207-H207,0)),""))</f>
        <v/>
      </c>
      <c r="J207" s="4">
        <f>IF(NOT(I207=""),IF(I207&lt;=G207,"match",IF(I207&lt;3*G207,"partial match","no match")),"")</f>
        <v/>
      </c>
      <c r="K207" t="inlineStr">
        <is>
          <t>cm_inv_diff_mom_norm_2_5D_avg</t>
        </is>
      </c>
    </row>
    <row r="208" ht="15" customHeight="1" s="10">
      <c r="A208" t="inlineStr">
        <is>
          <t>configuration A</t>
        </is>
      </c>
      <c r="B208" t="inlineStr">
        <is>
          <t>Co-occurrence matrix (2.5D, direction-merged)</t>
        </is>
      </c>
      <c r="C208" t="inlineStr">
        <is>
          <t>Inverse variance</t>
        </is>
      </c>
      <c r="E208" t="inlineStr">
        <is>
          <t>&lt; 3</t>
        </is>
      </c>
      <c r="H208" s="9" t="n"/>
      <c r="I208" s="4">
        <f>IFERROR(IF(NOT(H208=""),ABS(ROUNDDOWN(F208-H208, 3 - (1+INT(LOG10(ABS(F208)))))),""),IF(AND(F208=0,NOT(F208="")),ABS(ROUNDDOWN(F208-H208,0)),""))</f>
        <v/>
      </c>
      <c r="J208" s="4">
        <f>IF(NOT(I208=""),IF(I208&lt;=G208,"match",IF(I208&lt;3*G208,"partial match","no match")),"")</f>
        <v/>
      </c>
      <c r="K208" t="inlineStr">
        <is>
          <t>cm_inv_var_2_5D_avg</t>
        </is>
      </c>
    </row>
    <row r="209" ht="15" customHeight="1" s="10">
      <c r="A209" t="inlineStr">
        <is>
          <t>configuration A</t>
        </is>
      </c>
      <c r="B209" t="inlineStr">
        <is>
          <t>Co-occurrence matrix (2.5D, direction-merged)</t>
        </is>
      </c>
      <c r="C209" t="inlineStr">
        <is>
          <t>Correlation</t>
        </is>
      </c>
      <c r="E209" t="inlineStr">
        <is>
          <t>&lt; 3</t>
        </is>
      </c>
      <c r="H209" s="9" t="n"/>
      <c r="I209" s="4">
        <f>IFERROR(IF(NOT(H209=""),ABS(ROUNDDOWN(F209-H209, 3 - (1+INT(LOG10(ABS(F209)))))),""),IF(AND(F209=0,NOT(F209="")),ABS(ROUNDDOWN(F209-H209,0)),""))</f>
        <v/>
      </c>
      <c r="J209" s="4">
        <f>IF(NOT(I209=""),IF(I209&lt;=G209,"match",IF(I209&lt;3*G209,"partial match","no match")),"")</f>
        <v/>
      </c>
      <c r="K209" t="inlineStr">
        <is>
          <t>cm_corr_2_5D_avg</t>
        </is>
      </c>
    </row>
    <row r="210" ht="15" customHeight="1" s="10">
      <c r="A210" t="inlineStr">
        <is>
          <t>configuration A</t>
        </is>
      </c>
      <c r="B210" t="inlineStr">
        <is>
          <t>Co-occurrence matrix (2.5D, direction-merged)</t>
        </is>
      </c>
      <c r="C210" t="inlineStr">
        <is>
          <t>Autocorrelation</t>
        </is>
      </c>
      <c r="E210" t="inlineStr">
        <is>
          <t>&lt; 3</t>
        </is>
      </c>
      <c r="H210" s="9" t="n"/>
      <c r="I210" s="4">
        <f>IFERROR(IF(NOT(H210=""),ABS(ROUNDDOWN(F210-H210, 3 - (1+INT(LOG10(ABS(F210)))))),""),IF(AND(F210=0,NOT(F210="")),ABS(ROUNDDOWN(F210-H210,0)),""))</f>
        <v/>
      </c>
      <c r="J210" s="4">
        <f>IF(NOT(I210=""),IF(I210&lt;=G210,"match",IF(I210&lt;3*G210,"partial match","no match")),"")</f>
        <v/>
      </c>
      <c r="K210" t="inlineStr">
        <is>
          <t>cm_auto_corr_2_5D_avg</t>
        </is>
      </c>
    </row>
    <row r="211" ht="15" customHeight="1" s="10">
      <c r="A211" t="inlineStr">
        <is>
          <t>configuration A</t>
        </is>
      </c>
      <c r="B211" t="inlineStr">
        <is>
          <t>Co-occurrence matrix (2.5D, direction-merged)</t>
        </is>
      </c>
      <c r="C211" t="inlineStr">
        <is>
          <t>Cluster tendency</t>
        </is>
      </c>
      <c r="E211" t="inlineStr">
        <is>
          <t>&lt; 3</t>
        </is>
      </c>
      <c r="H211" s="9" t="n"/>
      <c r="I211" s="4">
        <f>IFERROR(IF(NOT(H211=""),ABS(ROUNDDOWN(F211-H211, 3 - (1+INT(LOG10(ABS(F211)))))),""),IF(AND(F211=0,NOT(F211="")),ABS(ROUNDDOWN(F211-H211,0)),""))</f>
        <v/>
      </c>
      <c r="J211" s="4">
        <f>IF(NOT(I211=""),IF(I211&lt;=G211,"match",IF(I211&lt;3*G211,"partial match","no match")),"")</f>
        <v/>
      </c>
      <c r="K211" t="inlineStr">
        <is>
          <t>cm_clust_tend_2_5D_avg</t>
        </is>
      </c>
    </row>
    <row r="212" ht="15" customHeight="1" s="10">
      <c r="A212" t="inlineStr">
        <is>
          <t>configuration A</t>
        </is>
      </c>
      <c r="B212" t="inlineStr">
        <is>
          <t>Co-occurrence matrix (2.5D, direction-merged)</t>
        </is>
      </c>
      <c r="C212" t="inlineStr">
        <is>
          <t>Cluster shade</t>
        </is>
      </c>
      <c r="E212" t="inlineStr">
        <is>
          <t>&lt; 3</t>
        </is>
      </c>
      <c r="H212" s="9" t="n"/>
      <c r="I212" s="4">
        <f>IFERROR(IF(NOT(H212=""),ABS(ROUNDDOWN(F212-H212, 3 - (1+INT(LOG10(ABS(F212)))))),""),IF(AND(F212=0,NOT(F212="")),ABS(ROUNDDOWN(F212-H212,0)),""))</f>
        <v/>
      </c>
      <c r="J212" s="4">
        <f>IF(NOT(I212=""),IF(I212&lt;=G212,"match",IF(I212&lt;3*G212,"partial match","no match")),"")</f>
        <v/>
      </c>
      <c r="K212" t="inlineStr">
        <is>
          <t>cm_clust_shade_2_5D_avg</t>
        </is>
      </c>
    </row>
    <row r="213" ht="15" customHeight="1" s="10">
      <c r="A213" t="inlineStr">
        <is>
          <t>configuration A</t>
        </is>
      </c>
      <c r="B213" t="inlineStr">
        <is>
          <t>Co-occurrence matrix (2.5D, direction-merged)</t>
        </is>
      </c>
      <c r="C213" t="inlineStr">
        <is>
          <t>Cluster prominence</t>
        </is>
      </c>
      <c r="E213" t="inlineStr">
        <is>
          <t>&lt; 3</t>
        </is>
      </c>
      <c r="H213" s="9" t="n"/>
      <c r="I213" s="4">
        <f>IFERROR(IF(NOT(H213=""),ABS(ROUNDDOWN(F213-H213, 3 - (1+INT(LOG10(ABS(F213)))))),""),IF(AND(F213=0,NOT(F213="")),ABS(ROUNDDOWN(F213-H213,0)),""))</f>
        <v/>
      </c>
      <c r="J213" s="4">
        <f>IF(NOT(I213=""),IF(I213&lt;=G213,"match",IF(I213&lt;3*G213,"partial match","no match")),"")</f>
        <v/>
      </c>
      <c r="K213" t="inlineStr">
        <is>
          <t>cm_clust_prom_2_5D_avg</t>
        </is>
      </c>
    </row>
    <row r="214" ht="15" customHeight="1" s="10">
      <c r="A214" t="inlineStr">
        <is>
          <t>configuration A</t>
        </is>
      </c>
      <c r="B214" t="inlineStr">
        <is>
          <t>Co-occurrence matrix (2.5D, direction-merged)</t>
        </is>
      </c>
      <c r="C214" t="inlineStr">
        <is>
          <t>Information correlation 1</t>
        </is>
      </c>
      <c r="E214" t="inlineStr">
        <is>
          <t>&lt; 3</t>
        </is>
      </c>
      <c r="H214" s="9" t="n"/>
      <c r="I214" s="4">
        <f>IFERROR(IF(NOT(H214=""),ABS(ROUNDDOWN(F214-H214, 3 - (1+INT(LOG10(ABS(F214)))))),""),IF(AND(F214=0,NOT(F214="")),ABS(ROUNDDOWN(F214-H214,0)),""))</f>
        <v/>
      </c>
      <c r="J214" s="4">
        <f>IF(NOT(I214=""),IF(I214&lt;=G214,"match",IF(I214&lt;3*G214,"partial match","no match")),"")</f>
        <v/>
      </c>
      <c r="K214" t="inlineStr">
        <is>
          <t>cm_info_corr1_2_5D_avg</t>
        </is>
      </c>
    </row>
    <row r="215" ht="15" customHeight="1" s="10">
      <c r="A215" t="inlineStr">
        <is>
          <t>configuration A</t>
        </is>
      </c>
      <c r="B215" t="inlineStr">
        <is>
          <t>Co-occurrence matrix (2.5D, direction-merged)</t>
        </is>
      </c>
      <c r="C215" t="inlineStr">
        <is>
          <t>Information correlation 2</t>
        </is>
      </c>
      <c r="E215" t="inlineStr">
        <is>
          <t>&lt; 3</t>
        </is>
      </c>
      <c r="H215" s="9" t="n"/>
      <c r="I215" s="4">
        <f>IFERROR(IF(NOT(H215=""),ABS(ROUNDDOWN(F215-H215, 3 - (1+INT(LOG10(ABS(F215)))))),""),IF(AND(F215=0,NOT(F215="")),ABS(ROUNDDOWN(F215-H215,0)),""))</f>
        <v/>
      </c>
      <c r="J215" s="4">
        <f>IF(NOT(I215=""),IF(I215&lt;=G215,"match",IF(I215&lt;3*G215,"partial match","no match")),"")</f>
        <v/>
      </c>
      <c r="K215" t="inlineStr">
        <is>
          <t>cm_info_corr2_2_5D_avg</t>
        </is>
      </c>
    </row>
    <row r="216" ht="15" customHeight="1" s="10">
      <c r="A216" t="inlineStr">
        <is>
          <t>configuration A</t>
        </is>
      </c>
      <c r="B216" t="inlineStr">
        <is>
          <t>Co-occurrence matrix (2.5D, merged)</t>
        </is>
      </c>
      <c r="C216" t="inlineStr">
        <is>
          <t>Joint maximum</t>
        </is>
      </c>
      <c r="E216" t="inlineStr">
        <is>
          <t>&lt; 3</t>
        </is>
      </c>
      <c r="H216" s="9" t="n"/>
      <c r="I216" s="4">
        <f>IFERROR(IF(NOT(H216=""),ABS(ROUNDDOWN(F216-H216, 3 - (1+INT(LOG10(ABS(F216)))))),""),IF(AND(F216=0,NOT(F216="")),ABS(ROUNDDOWN(F216-H216,0)),""))</f>
        <v/>
      </c>
      <c r="J216" s="4">
        <f>IF(NOT(I216=""),IF(I216&lt;=G216,"match",IF(I216&lt;3*G216,"partial match","no match")),"")</f>
        <v/>
      </c>
      <c r="K216" t="inlineStr">
        <is>
          <t>cm_joint_max_2_5D_comb</t>
        </is>
      </c>
    </row>
    <row r="217" ht="15" customHeight="1" s="10">
      <c r="A217" t="inlineStr">
        <is>
          <t>configuration A</t>
        </is>
      </c>
      <c r="B217" t="inlineStr">
        <is>
          <t>Co-occurrence matrix (2.5D, merged)</t>
        </is>
      </c>
      <c r="C217" t="inlineStr">
        <is>
          <t>Joint average</t>
        </is>
      </c>
      <c r="E217" t="inlineStr">
        <is>
          <t>&lt; 3</t>
        </is>
      </c>
      <c r="H217" s="9" t="n"/>
      <c r="I217" s="4">
        <f>IFERROR(IF(NOT(H217=""),ABS(ROUNDDOWN(F217-H217, 3 - (1+INT(LOG10(ABS(F217)))))),""),IF(AND(F217=0,NOT(F217="")),ABS(ROUNDDOWN(F217-H217,0)),""))</f>
        <v/>
      </c>
      <c r="J217" s="4">
        <f>IF(NOT(I217=""),IF(I217&lt;=G217,"match",IF(I217&lt;3*G217,"partial match","no match")),"")</f>
        <v/>
      </c>
      <c r="K217" t="inlineStr">
        <is>
          <t>cm_joint_avg_2_5D_comb</t>
        </is>
      </c>
    </row>
    <row r="218" ht="15" customHeight="1" s="10">
      <c r="A218" t="inlineStr">
        <is>
          <t>configuration A</t>
        </is>
      </c>
      <c r="B218" t="inlineStr">
        <is>
          <t>Co-occurrence matrix (2.5D, merged)</t>
        </is>
      </c>
      <c r="C218" t="inlineStr">
        <is>
          <t>Joint variance</t>
        </is>
      </c>
      <c r="E218" t="inlineStr">
        <is>
          <t>&lt; 3</t>
        </is>
      </c>
      <c r="H218" s="9" t="n"/>
      <c r="I218" s="4">
        <f>IFERROR(IF(NOT(H218=""),ABS(ROUNDDOWN(F218-H218, 3 - (1+INT(LOG10(ABS(F218)))))),""),IF(AND(F218=0,NOT(F218="")),ABS(ROUNDDOWN(F218-H218,0)),""))</f>
        <v/>
      </c>
      <c r="J218" s="4">
        <f>IF(NOT(I218=""),IF(I218&lt;=G218,"match",IF(I218&lt;3*G218,"partial match","no match")),"")</f>
        <v/>
      </c>
      <c r="K218" t="inlineStr">
        <is>
          <t>cm_joint_var_2_5D_comb</t>
        </is>
      </c>
    </row>
    <row r="219" ht="15" customHeight="1" s="10">
      <c r="A219" t="inlineStr">
        <is>
          <t>configuration A</t>
        </is>
      </c>
      <c r="B219" t="inlineStr">
        <is>
          <t>Co-occurrence matrix (2.5D, merged)</t>
        </is>
      </c>
      <c r="C219" t="inlineStr">
        <is>
          <t>Joint entropy</t>
        </is>
      </c>
      <c r="E219" t="inlineStr">
        <is>
          <t>&lt; 3</t>
        </is>
      </c>
      <c r="H219" s="9" t="n"/>
      <c r="I219" s="4">
        <f>IFERROR(IF(NOT(H219=""),ABS(ROUNDDOWN(F219-H219, 3 - (1+INT(LOG10(ABS(F219)))))),""),IF(AND(F219=0,NOT(F219="")),ABS(ROUNDDOWN(F219-H219,0)),""))</f>
        <v/>
      </c>
      <c r="J219" s="4">
        <f>IF(NOT(I219=""),IF(I219&lt;=G219,"match",IF(I219&lt;3*G219,"partial match","no match")),"")</f>
        <v/>
      </c>
      <c r="K219" t="inlineStr">
        <is>
          <t>cm_joint_entr_2_5D_comb</t>
        </is>
      </c>
    </row>
    <row r="220" ht="15.75" customHeight="1" s="10">
      <c r="A220" t="inlineStr">
        <is>
          <t>configuration A</t>
        </is>
      </c>
      <c r="B220" t="inlineStr">
        <is>
          <t>Co-occurrence matrix (2.5D, merged)</t>
        </is>
      </c>
      <c r="C220" t="inlineStr">
        <is>
          <t>Difference average</t>
        </is>
      </c>
      <c r="E220" t="inlineStr">
        <is>
          <t>&lt; 3</t>
        </is>
      </c>
      <c r="H220" s="9" t="n"/>
      <c r="I220" s="4">
        <f>IFERROR(IF(NOT(H220=""),ABS(ROUNDDOWN(F220-H220, 3 - (1+INT(LOG10(ABS(F220)))))),""),IF(AND(F220=0,NOT(F220="")),ABS(ROUNDDOWN(F220-H220,0)),""))</f>
        <v/>
      </c>
      <c r="J220" s="4">
        <f>IF(NOT(I220=""),IF(I220&lt;=G220,"match",IF(I220&lt;3*G220,"partial match","no match")),"")</f>
        <v/>
      </c>
      <c r="K220" t="inlineStr">
        <is>
          <t>cm_diff_avg_2_5D_comb</t>
        </is>
      </c>
    </row>
    <row r="221" ht="15.75" customHeight="1" s="10">
      <c r="A221" t="inlineStr">
        <is>
          <t>configuration A</t>
        </is>
      </c>
      <c r="B221" t="inlineStr">
        <is>
          <t>Co-occurrence matrix (2.5D, merged)</t>
        </is>
      </c>
      <c r="C221" t="inlineStr">
        <is>
          <t>Difference variance</t>
        </is>
      </c>
      <c r="E221" t="inlineStr">
        <is>
          <t>&lt; 3</t>
        </is>
      </c>
      <c r="H221" s="9" t="n"/>
      <c r="I221" s="4">
        <f>IFERROR(IF(NOT(H221=""),ABS(ROUNDDOWN(F221-H221, 3 - (1+INT(LOG10(ABS(F221)))))),""),IF(AND(F221=0,NOT(F221="")),ABS(ROUNDDOWN(F221-H221,0)),""))</f>
        <v/>
      </c>
      <c r="J221" s="4">
        <f>IF(NOT(I221=""),IF(I221&lt;=G221,"match",IF(I221&lt;3*G221,"partial match","no match")),"")</f>
        <v/>
      </c>
      <c r="K221" t="inlineStr">
        <is>
          <t>cm_diff_var_2_5D_comb</t>
        </is>
      </c>
    </row>
    <row r="222" ht="15.75" customHeight="1" s="10">
      <c r="A222" t="inlineStr">
        <is>
          <t>configuration A</t>
        </is>
      </c>
      <c r="B222" t="inlineStr">
        <is>
          <t>Co-occurrence matrix (2.5D, merged)</t>
        </is>
      </c>
      <c r="C222" t="inlineStr">
        <is>
          <t>Difference entropy</t>
        </is>
      </c>
      <c r="E222" t="inlineStr">
        <is>
          <t>&lt; 3</t>
        </is>
      </c>
      <c r="H222" s="9" t="n"/>
      <c r="I222" s="4">
        <f>IFERROR(IF(NOT(H222=""),ABS(ROUNDDOWN(F222-H222, 3 - (1+INT(LOG10(ABS(F222)))))),""),IF(AND(F222=0,NOT(F222="")),ABS(ROUNDDOWN(F222-H222,0)),""))</f>
        <v/>
      </c>
      <c r="J222" s="4">
        <f>IF(NOT(I222=""),IF(I222&lt;=G222,"match",IF(I222&lt;3*G222,"partial match","no match")),"")</f>
        <v/>
      </c>
      <c r="K222" t="inlineStr">
        <is>
          <t>cm_diff_entr_2_5D_comb</t>
        </is>
      </c>
    </row>
    <row r="223" ht="15.75" customHeight="1" s="10">
      <c r="A223" t="inlineStr">
        <is>
          <t>configuration A</t>
        </is>
      </c>
      <c r="B223" t="inlineStr">
        <is>
          <t>Co-occurrence matrix (2.5D, merged)</t>
        </is>
      </c>
      <c r="C223" t="inlineStr">
        <is>
          <t>Sum average</t>
        </is>
      </c>
      <c r="E223" t="inlineStr">
        <is>
          <t>&lt; 3</t>
        </is>
      </c>
      <c r="H223" s="9" t="n"/>
      <c r="I223" s="4">
        <f>IFERROR(IF(NOT(H223=""),ABS(ROUNDDOWN(F223-H223, 3 - (1+INT(LOG10(ABS(F223)))))),""),IF(AND(F223=0,NOT(F223="")),ABS(ROUNDDOWN(F223-H223,0)),""))</f>
        <v/>
      </c>
      <c r="J223" s="4">
        <f>IF(NOT(I223=""),IF(I223&lt;=G223,"match",IF(I223&lt;3*G223,"partial match","no match")),"")</f>
        <v/>
      </c>
      <c r="K223" t="inlineStr">
        <is>
          <t>cm_sum_avg_2_5D_comb</t>
        </is>
      </c>
    </row>
    <row r="224" ht="15.75" customHeight="1" s="10">
      <c r="A224" t="inlineStr">
        <is>
          <t>configuration A</t>
        </is>
      </c>
      <c r="B224" t="inlineStr">
        <is>
          <t>Co-occurrence matrix (2.5D, merged)</t>
        </is>
      </c>
      <c r="C224" t="inlineStr">
        <is>
          <t>Sum variance</t>
        </is>
      </c>
      <c r="E224" t="inlineStr">
        <is>
          <t>&lt; 3</t>
        </is>
      </c>
      <c r="H224" s="9" t="n"/>
      <c r="I224" s="4">
        <f>IFERROR(IF(NOT(H224=""),ABS(ROUNDDOWN(F224-H224, 3 - (1+INT(LOG10(ABS(F224)))))),""),IF(AND(F224=0,NOT(F224="")),ABS(ROUNDDOWN(F224-H224,0)),""))</f>
        <v/>
      </c>
      <c r="J224" s="4">
        <f>IF(NOT(I224=""),IF(I224&lt;=G224,"match",IF(I224&lt;3*G224,"partial match","no match")),"")</f>
        <v/>
      </c>
      <c r="K224" t="inlineStr">
        <is>
          <t>cm_sum_var_2_5D_comb</t>
        </is>
      </c>
    </row>
    <row r="225" ht="15.75" customHeight="1" s="10">
      <c r="A225" t="inlineStr">
        <is>
          <t>configuration A</t>
        </is>
      </c>
      <c r="B225" t="inlineStr">
        <is>
          <t>Co-occurrence matrix (2.5D, merged)</t>
        </is>
      </c>
      <c r="C225" t="inlineStr">
        <is>
          <t>Sum entropy</t>
        </is>
      </c>
      <c r="E225" t="inlineStr">
        <is>
          <t>&lt; 3</t>
        </is>
      </c>
      <c r="H225" s="9" t="n"/>
      <c r="I225" s="4">
        <f>IFERROR(IF(NOT(H225=""),ABS(ROUNDDOWN(F225-H225, 3 - (1+INT(LOG10(ABS(F225)))))),""),IF(AND(F225=0,NOT(F225="")),ABS(ROUNDDOWN(F225-H225,0)),""))</f>
        <v/>
      </c>
      <c r="J225" s="4">
        <f>IF(NOT(I225=""),IF(I225&lt;=G225,"match",IF(I225&lt;3*G225,"partial match","no match")),"")</f>
        <v/>
      </c>
      <c r="K225" t="inlineStr">
        <is>
          <t>cm_sum_entr_2_5D_comb</t>
        </is>
      </c>
    </row>
    <row r="226" ht="15.75" customHeight="1" s="10">
      <c r="A226" t="inlineStr">
        <is>
          <t>configuration A</t>
        </is>
      </c>
      <c r="B226" t="inlineStr">
        <is>
          <t>Co-occurrence matrix (2.5D, merged)</t>
        </is>
      </c>
      <c r="C226" t="inlineStr">
        <is>
          <t>Angular second moment</t>
        </is>
      </c>
      <c r="E226" t="inlineStr">
        <is>
          <t>&lt; 3</t>
        </is>
      </c>
      <c r="H226" s="9" t="n"/>
      <c r="I226" s="4">
        <f>IFERROR(IF(NOT(H226=""),ABS(ROUNDDOWN(F226-H226, 3 - (1+INT(LOG10(ABS(F226)))))),""),IF(AND(F226=0,NOT(F226="")),ABS(ROUNDDOWN(F226-H226,0)),""))</f>
        <v/>
      </c>
      <c r="J226" s="4">
        <f>IF(NOT(I226=""),IF(I226&lt;=G226,"match",IF(I226&lt;3*G226,"partial match","no match")),"")</f>
        <v/>
      </c>
      <c r="K226" t="inlineStr">
        <is>
          <t>cm_energy_2_5D_comb</t>
        </is>
      </c>
    </row>
    <row r="227" ht="15.75" customHeight="1" s="10">
      <c r="A227" t="inlineStr">
        <is>
          <t>configuration A</t>
        </is>
      </c>
      <c r="B227" t="inlineStr">
        <is>
          <t>Co-occurrence matrix (2.5D, merged)</t>
        </is>
      </c>
      <c r="C227" t="inlineStr">
        <is>
          <t>Contrast</t>
        </is>
      </c>
      <c r="E227" t="inlineStr">
        <is>
          <t>&lt; 3</t>
        </is>
      </c>
      <c r="H227" s="9" t="n"/>
      <c r="I227" s="4">
        <f>IFERROR(IF(NOT(H227=""),ABS(ROUNDDOWN(F227-H227, 3 - (1+INT(LOG10(ABS(F227)))))),""),IF(AND(F227=0,NOT(F227="")),ABS(ROUNDDOWN(F227-H227,0)),""))</f>
        <v/>
      </c>
      <c r="J227" s="4">
        <f>IF(NOT(I227=""),IF(I227&lt;=G227,"match",IF(I227&lt;3*G227,"partial match","no match")),"")</f>
        <v/>
      </c>
      <c r="K227" t="inlineStr">
        <is>
          <t>cm_contrast_2_5D_comb</t>
        </is>
      </c>
    </row>
    <row r="228" ht="15.75" customHeight="1" s="10">
      <c r="A228" t="inlineStr">
        <is>
          <t>configuration A</t>
        </is>
      </c>
      <c r="B228" t="inlineStr">
        <is>
          <t>Co-occurrence matrix (2.5D, merged)</t>
        </is>
      </c>
      <c r="C228" t="inlineStr">
        <is>
          <t>Dissimilarity</t>
        </is>
      </c>
      <c r="E228" t="inlineStr">
        <is>
          <t>&lt; 3</t>
        </is>
      </c>
      <c r="H228" s="9" t="n"/>
      <c r="I228" s="4">
        <f>IFERROR(IF(NOT(H228=""),ABS(ROUNDDOWN(F228-H228, 3 - (1+INT(LOG10(ABS(F228)))))),""),IF(AND(F228=0,NOT(F228="")),ABS(ROUNDDOWN(F228-H228,0)),""))</f>
        <v/>
      </c>
      <c r="J228" s="4">
        <f>IF(NOT(I228=""),IF(I228&lt;=G228,"match",IF(I228&lt;3*G228,"partial match","no match")),"")</f>
        <v/>
      </c>
      <c r="K228" t="inlineStr">
        <is>
          <t>cm_dissimilarity_2_5D_comb</t>
        </is>
      </c>
    </row>
    <row r="229" ht="15.75" customHeight="1" s="10">
      <c r="A229" t="inlineStr">
        <is>
          <t>configuration A</t>
        </is>
      </c>
      <c r="B229" t="inlineStr">
        <is>
          <t>Co-occurrence matrix (2.5D, merged)</t>
        </is>
      </c>
      <c r="C229" t="inlineStr">
        <is>
          <t>Inverse difference</t>
        </is>
      </c>
      <c r="E229" t="inlineStr">
        <is>
          <t>&lt; 3</t>
        </is>
      </c>
      <c r="H229" s="9" t="n"/>
      <c r="I229" s="4">
        <f>IFERROR(IF(NOT(H229=""),ABS(ROUNDDOWN(F229-H229, 3 - (1+INT(LOG10(ABS(F229)))))),""),IF(AND(F229=0,NOT(F229="")),ABS(ROUNDDOWN(F229-H229,0)),""))</f>
        <v/>
      </c>
      <c r="J229" s="4">
        <f>IF(NOT(I229=""),IF(I229&lt;=G229,"match",IF(I229&lt;3*G229,"partial match","no match")),"")</f>
        <v/>
      </c>
      <c r="K229" t="inlineStr">
        <is>
          <t>cm_inv_diff_2_5D_comb</t>
        </is>
      </c>
    </row>
    <row r="230" ht="15.75" customHeight="1" s="10">
      <c r="A230" t="inlineStr">
        <is>
          <t>configuration A</t>
        </is>
      </c>
      <c r="B230" t="inlineStr">
        <is>
          <t>Co-occurrence matrix (2.5D, merged)</t>
        </is>
      </c>
      <c r="C230" t="inlineStr">
        <is>
          <t>Inverse difference normalised</t>
        </is>
      </c>
      <c r="E230" t="inlineStr">
        <is>
          <t>&lt; 3</t>
        </is>
      </c>
      <c r="H230" s="9" t="n"/>
      <c r="I230" s="4">
        <f>IFERROR(IF(NOT(H230=""),ABS(ROUNDDOWN(F230-H230, 3 - (1+INT(LOG10(ABS(F230)))))),""),IF(AND(F230=0,NOT(F230="")),ABS(ROUNDDOWN(F230-H230,0)),""))</f>
        <v/>
      </c>
      <c r="J230" s="4">
        <f>IF(NOT(I230=""),IF(I230&lt;=G230,"match",IF(I230&lt;3*G230,"partial match","no match")),"")</f>
        <v/>
      </c>
      <c r="K230" t="inlineStr">
        <is>
          <t>cm_inv_diff_norm_2_5D_comb</t>
        </is>
      </c>
    </row>
    <row r="231" ht="15.75" customHeight="1" s="10">
      <c r="A231" t="inlineStr">
        <is>
          <t>configuration A</t>
        </is>
      </c>
      <c r="B231" t="inlineStr">
        <is>
          <t>Co-occurrence matrix (2.5D, merged)</t>
        </is>
      </c>
      <c r="C231" t="inlineStr">
        <is>
          <t>Inverse difference moment</t>
        </is>
      </c>
      <c r="E231" t="inlineStr">
        <is>
          <t>&lt; 3</t>
        </is>
      </c>
      <c r="H231" s="9" t="n"/>
      <c r="I231" s="4">
        <f>IFERROR(IF(NOT(H231=""),ABS(ROUNDDOWN(F231-H231, 3 - (1+INT(LOG10(ABS(F231)))))),""),IF(AND(F231=0,NOT(F231="")),ABS(ROUNDDOWN(F231-H231,0)),""))</f>
        <v/>
      </c>
      <c r="J231" s="4">
        <f>IF(NOT(I231=""),IF(I231&lt;=G231,"match",IF(I231&lt;3*G231,"partial match","no match")),"")</f>
        <v/>
      </c>
      <c r="K231" t="inlineStr">
        <is>
          <t>cm_inv_diff_mom_2_5D_comb</t>
        </is>
      </c>
    </row>
    <row r="232" ht="15.75" customHeight="1" s="10">
      <c r="A232" t="inlineStr">
        <is>
          <t>configuration A</t>
        </is>
      </c>
      <c r="B232" t="inlineStr">
        <is>
          <t>Co-occurrence matrix (2.5D, merged)</t>
        </is>
      </c>
      <c r="C232" t="inlineStr">
        <is>
          <t>Inverse difference moment normalised</t>
        </is>
      </c>
      <c r="E232" t="inlineStr">
        <is>
          <t>&lt; 3</t>
        </is>
      </c>
      <c r="H232" s="9" t="n"/>
      <c r="I232" s="4">
        <f>IFERROR(IF(NOT(H232=""),ABS(ROUNDDOWN(F232-H232, 3 - (1+INT(LOG10(ABS(F232)))))),""),IF(AND(F232=0,NOT(F232="")),ABS(ROUNDDOWN(F232-H232,0)),""))</f>
        <v/>
      </c>
      <c r="J232" s="4">
        <f>IF(NOT(I232=""),IF(I232&lt;=G232,"match",IF(I232&lt;3*G232,"partial match","no match")),"")</f>
        <v/>
      </c>
      <c r="K232" t="inlineStr">
        <is>
          <t>cm_inv_diff_mom_norm_2_5D_comb</t>
        </is>
      </c>
    </row>
    <row r="233" ht="15.75" customHeight="1" s="10">
      <c r="A233" t="inlineStr">
        <is>
          <t>configuration A</t>
        </is>
      </c>
      <c r="B233" t="inlineStr">
        <is>
          <t>Co-occurrence matrix (2.5D, merged)</t>
        </is>
      </c>
      <c r="C233" t="inlineStr">
        <is>
          <t>Inverse variance</t>
        </is>
      </c>
      <c r="E233" t="inlineStr">
        <is>
          <t>&lt; 3</t>
        </is>
      </c>
      <c r="H233" s="9" t="n"/>
      <c r="I233" s="4">
        <f>IFERROR(IF(NOT(H233=""),ABS(ROUNDDOWN(F233-H233, 3 - (1+INT(LOG10(ABS(F233)))))),""),IF(AND(F233=0,NOT(F233="")),ABS(ROUNDDOWN(F233-H233,0)),""))</f>
        <v/>
      </c>
      <c r="J233" s="4">
        <f>IF(NOT(I233=""),IF(I233&lt;=G233,"match",IF(I233&lt;3*G233,"partial match","no match")),"")</f>
        <v/>
      </c>
      <c r="K233" t="inlineStr">
        <is>
          <t>cm_inv_var_2_5D_comb</t>
        </is>
      </c>
    </row>
    <row r="234" ht="15.75" customHeight="1" s="10">
      <c r="A234" t="inlineStr">
        <is>
          <t>configuration A</t>
        </is>
      </c>
      <c r="B234" t="inlineStr">
        <is>
          <t>Co-occurrence matrix (2.5D, merged)</t>
        </is>
      </c>
      <c r="C234" t="inlineStr">
        <is>
          <t>Correlation</t>
        </is>
      </c>
      <c r="E234" t="inlineStr">
        <is>
          <t>&lt; 3</t>
        </is>
      </c>
      <c r="H234" s="9" t="n"/>
      <c r="I234" s="4">
        <f>IFERROR(IF(NOT(H234=""),ABS(ROUNDDOWN(F234-H234, 3 - (1+INT(LOG10(ABS(F234)))))),""),IF(AND(F234=0,NOT(F234="")),ABS(ROUNDDOWN(F234-H234,0)),""))</f>
        <v/>
      </c>
      <c r="J234" s="4">
        <f>IF(NOT(I234=""),IF(I234&lt;=G234,"match",IF(I234&lt;3*G234,"partial match","no match")),"")</f>
        <v/>
      </c>
      <c r="K234" t="inlineStr">
        <is>
          <t>cm_corr_2_5D_comb</t>
        </is>
      </c>
    </row>
    <row r="235" ht="15.75" customHeight="1" s="10">
      <c r="A235" t="inlineStr">
        <is>
          <t>configuration A</t>
        </is>
      </c>
      <c r="B235" t="inlineStr">
        <is>
          <t>Co-occurrence matrix (2.5D, merged)</t>
        </is>
      </c>
      <c r="C235" t="inlineStr">
        <is>
          <t>Autocorrelation</t>
        </is>
      </c>
      <c r="E235" t="inlineStr">
        <is>
          <t>&lt; 3</t>
        </is>
      </c>
      <c r="H235" s="9" t="n"/>
      <c r="I235" s="4">
        <f>IFERROR(IF(NOT(H235=""),ABS(ROUNDDOWN(F235-H235, 3 - (1+INT(LOG10(ABS(F235)))))),""),IF(AND(F235=0,NOT(F235="")),ABS(ROUNDDOWN(F235-H235,0)),""))</f>
        <v/>
      </c>
      <c r="J235" s="4">
        <f>IF(NOT(I235=""),IF(I235&lt;=G235,"match",IF(I235&lt;3*G235,"partial match","no match")),"")</f>
        <v/>
      </c>
      <c r="K235" t="inlineStr">
        <is>
          <t>cm_auto_corr_2_5D_comb</t>
        </is>
      </c>
    </row>
    <row r="236" ht="15.75" customHeight="1" s="10">
      <c r="A236" t="inlineStr">
        <is>
          <t>configuration A</t>
        </is>
      </c>
      <c r="B236" t="inlineStr">
        <is>
          <t>Co-occurrence matrix (2.5D, merged)</t>
        </is>
      </c>
      <c r="C236" t="inlineStr">
        <is>
          <t>Cluster tendency</t>
        </is>
      </c>
      <c r="E236" t="inlineStr">
        <is>
          <t>&lt; 3</t>
        </is>
      </c>
      <c r="H236" s="9" t="n"/>
      <c r="I236" s="4">
        <f>IFERROR(IF(NOT(H236=""),ABS(ROUNDDOWN(F236-H236, 3 - (1+INT(LOG10(ABS(F236)))))),""),IF(AND(F236=0,NOT(F236="")),ABS(ROUNDDOWN(F236-H236,0)),""))</f>
        <v/>
      </c>
      <c r="J236" s="4">
        <f>IF(NOT(I236=""),IF(I236&lt;=G236,"match",IF(I236&lt;3*G236,"partial match","no match")),"")</f>
        <v/>
      </c>
      <c r="K236" t="inlineStr">
        <is>
          <t>cm_clust_tend_2_5D_comb</t>
        </is>
      </c>
    </row>
    <row r="237" ht="15.75" customHeight="1" s="10">
      <c r="A237" t="inlineStr">
        <is>
          <t>configuration A</t>
        </is>
      </c>
      <c r="B237" t="inlineStr">
        <is>
          <t>Co-occurrence matrix (2.5D, merged)</t>
        </is>
      </c>
      <c r="C237" t="inlineStr">
        <is>
          <t>Cluster shade</t>
        </is>
      </c>
      <c r="E237" t="inlineStr">
        <is>
          <t>&lt; 3</t>
        </is>
      </c>
      <c r="H237" s="9" t="n"/>
      <c r="I237" s="4">
        <f>IFERROR(IF(NOT(H237=""),ABS(ROUNDDOWN(F237-H237, 3 - (1+INT(LOG10(ABS(F237)))))),""),IF(AND(F237=0,NOT(F237="")),ABS(ROUNDDOWN(F237-H237,0)),""))</f>
        <v/>
      </c>
      <c r="J237" s="4">
        <f>IF(NOT(I237=""),IF(I237&lt;=G237,"match",IF(I237&lt;3*G237,"partial match","no match")),"")</f>
        <v/>
      </c>
      <c r="K237" t="inlineStr">
        <is>
          <t>cm_clust_shade_2_5D_comb</t>
        </is>
      </c>
    </row>
    <row r="238" ht="15.75" customHeight="1" s="10">
      <c r="A238" t="inlineStr">
        <is>
          <t>configuration A</t>
        </is>
      </c>
      <c r="B238" t="inlineStr">
        <is>
          <t>Co-occurrence matrix (2.5D, merged)</t>
        </is>
      </c>
      <c r="C238" t="inlineStr">
        <is>
          <t>Cluster prominence</t>
        </is>
      </c>
      <c r="E238" t="inlineStr">
        <is>
          <t>&lt; 3</t>
        </is>
      </c>
      <c r="H238" s="9" t="n"/>
      <c r="I238" s="4">
        <f>IFERROR(IF(NOT(H238=""),ABS(ROUNDDOWN(F238-H238, 3 - (1+INT(LOG10(ABS(F238)))))),""),IF(AND(F238=0,NOT(F238="")),ABS(ROUNDDOWN(F238-H238,0)),""))</f>
        <v/>
      </c>
      <c r="J238" s="4">
        <f>IF(NOT(I238=""),IF(I238&lt;=G238,"match",IF(I238&lt;3*G238,"partial match","no match")),"")</f>
        <v/>
      </c>
      <c r="K238" t="inlineStr">
        <is>
          <t>cm_clust_prom_2_5D_comb</t>
        </is>
      </c>
    </row>
    <row r="239" ht="15.75" customHeight="1" s="10">
      <c r="A239" t="inlineStr">
        <is>
          <t>configuration A</t>
        </is>
      </c>
      <c r="B239" t="inlineStr">
        <is>
          <t>Co-occurrence matrix (2.5D, merged)</t>
        </is>
      </c>
      <c r="C239" t="inlineStr">
        <is>
          <t>Information correlation 1</t>
        </is>
      </c>
      <c r="E239" t="inlineStr">
        <is>
          <t>&lt; 3</t>
        </is>
      </c>
      <c r="H239" s="9" t="n"/>
      <c r="I239" s="4">
        <f>IFERROR(IF(NOT(H239=""),ABS(ROUNDDOWN(F239-H239, 3 - (1+INT(LOG10(ABS(F239)))))),""),IF(AND(F239=0,NOT(F239="")),ABS(ROUNDDOWN(F239-H239,0)),""))</f>
        <v/>
      </c>
      <c r="J239" s="4">
        <f>IF(NOT(I239=""),IF(I239&lt;=G239,"match",IF(I239&lt;3*G239,"partial match","no match")),"")</f>
        <v/>
      </c>
      <c r="K239" t="inlineStr">
        <is>
          <t>cm_info_corr1_2_5D_comb</t>
        </is>
      </c>
    </row>
    <row r="240" ht="15.75" customHeight="1" s="10">
      <c r="A240" t="inlineStr">
        <is>
          <t>configuration A</t>
        </is>
      </c>
      <c r="B240" t="inlineStr">
        <is>
          <t>Co-occurrence matrix (2.5D, merged)</t>
        </is>
      </c>
      <c r="C240" t="inlineStr">
        <is>
          <t>Information correlation 2</t>
        </is>
      </c>
      <c r="E240" t="inlineStr">
        <is>
          <t>&lt; 3</t>
        </is>
      </c>
      <c r="H240" s="9" t="n"/>
      <c r="I240" s="4">
        <f>IFERROR(IF(NOT(H240=""),ABS(ROUNDDOWN(F240-H240, 3 - (1+INT(LOG10(ABS(F240)))))),""),IF(AND(F240=0,NOT(F240="")),ABS(ROUNDDOWN(F240-H240,0)),""))</f>
        <v/>
      </c>
      <c r="J240" s="4">
        <f>IF(NOT(I240=""),IF(I240&lt;=G240,"match",IF(I240&lt;3*G240,"partial match","no match")),"")</f>
        <v/>
      </c>
      <c r="K240" t="inlineStr">
        <is>
          <t>cm_info_corr2_2_5D_comb</t>
        </is>
      </c>
    </row>
    <row r="241" ht="15.75" customHeight="1" s="10">
      <c r="A241" t="inlineStr">
        <is>
          <t>configuration A</t>
        </is>
      </c>
      <c r="B241" t="inlineStr">
        <is>
          <t>Run length matrix (2D, averaged)</t>
        </is>
      </c>
      <c r="C241" t="inlineStr">
        <is>
          <t>Short runs emphasis</t>
        </is>
      </c>
      <c r="E241" t="inlineStr">
        <is>
          <t>6-9</t>
        </is>
      </c>
      <c r="F241" t="n">
        <v>0.785</v>
      </c>
      <c r="G241" t="n">
        <v>0.003</v>
      </c>
      <c r="H241" s="9" t="n"/>
      <c r="I241" s="4">
        <f>IFERROR(IF(NOT(H241=""),ABS(ROUNDDOWN(F241-H241, 3 - (1+INT(LOG10(ABS(F241)))))),""),IF(AND(F241=0,NOT(F241="")),ABS(ROUNDDOWN(F241-H241,0)),""))</f>
        <v/>
      </c>
      <c r="J241" s="4">
        <f>IF(NOT(I241=""),IF(I241&lt;=G241,"match",IF(I241&lt;3*G241,"partial match","no match")),"")</f>
        <v/>
      </c>
      <c r="K241" t="inlineStr">
        <is>
          <t>rlm_sre_2D_avg</t>
        </is>
      </c>
    </row>
    <row r="242" ht="15.75" customHeight="1" s="10">
      <c r="A242" t="inlineStr">
        <is>
          <t>configuration A</t>
        </is>
      </c>
      <c r="B242" t="inlineStr">
        <is>
          <t>Run length matrix (2D, averaged)</t>
        </is>
      </c>
      <c r="C242" t="inlineStr">
        <is>
          <t>Long runs emphasis</t>
        </is>
      </c>
      <c r="E242" t="inlineStr">
        <is>
          <t>6-9</t>
        </is>
      </c>
      <c r="F242" t="n">
        <v>2.91</v>
      </c>
      <c r="G242" t="n">
        <v>0.03</v>
      </c>
      <c r="H242" s="9" t="n"/>
      <c r="I242" s="4">
        <f>IFERROR(IF(NOT(H242=""),ABS(ROUNDDOWN(F242-H242, 3 - (1+INT(LOG10(ABS(F242)))))),""),IF(AND(F242=0,NOT(F242="")),ABS(ROUNDDOWN(F242-H242,0)),""))</f>
        <v/>
      </c>
      <c r="J242" s="4">
        <f>IF(NOT(I242=""),IF(I242&lt;=G242,"match",IF(I242&lt;3*G242,"partial match","no match")),"")</f>
        <v/>
      </c>
      <c r="K242" t="inlineStr">
        <is>
          <t>rlm_lre_2D_avg</t>
        </is>
      </c>
    </row>
    <row r="243" ht="15.75" customHeight="1" s="10">
      <c r="A243" t="inlineStr">
        <is>
          <t>configuration A</t>
        </is>
      </c>
      <c r="B243" t="inlineStr">
        <is>
          <t>Run length matrix (2D, averaged)</t>
        </is>
      </c>
      <c r="C243" t="inlineStr">
        <is>
          <t>Low grey level run emphasis</t>
        </is>
      </c>
      <c r="E243" t="inlineStr">
        <is>
          <t>3-5</t>
        </is>
      </c>
      <c r="F243" t="n">
        <v>0.0264</v>
      </c>
      <c r="G243" t="n">
        <v>0.0003</v>
      </c>
      <c r="H243" s="9" t="n"/>
      <c r="I243" s="4">
        <f>IFERROR(IF(NOT(H243=""),ABS(ROUNDDOWN(F243-H243, 3 - (1+INT(LOG10(ABS(F243)))))),""),IF(AND(F243=0,NOT(F243="")),ABS(ROUNDDOWN(F243-H243,0)),""))</f>
        <v/>
      </c>
      <c r="J243" s="4">
        <f>IF(NOT(I243=""),IF(I243&lt;=G243,"match",IF(I243&lt;3*G243,"partial match","no match")),"")</f>
        <v/>
      </c>
      <c r="K243" t="inlineStr">
        <is>
          <t>rlm_lgre_2D_avg</t>
        </is>
      </c>
    </row>
    <row r="244" ht="15.75" customHeight="1" s="10">
      <c r="A244" t="inlineStr">
        <is>
          <t>configuration A</t>
        </is>
      </c>
      <c r="B244" t="inlineStr">
        <is>
          <t>Run length matrix (2D, averaged)</t>
        </is>
      </c>
      <c r="C244" t="inlineStr">
        <is>
          <t>High grey level run emphasis</t>
        </is>
      </c>
      <c r="E244" t="inlineStr">
        <is>
          <t>6-9</t>
        </is>
      </c>
      <c r="F244" t="n">
        <v>428</v>
      </c>
      <c r="G244" t="n">
        <v>3</v>
      </c>
      <c r="H244" s="9" t="n"/>
      <c r="I244" s="4">
        <f>IFERROR(IF(NOT(H244=""),ABS(ROUNDDOWN(F244-H244, 3 - (1+INT(LOG10(ABS(F244)))))),""),IF(AND(F244=0,NOT(F244="")),ABS(ROUNDDOWN(F244-H244,0)),""))</f>
        <v/>
      </c>
      <c r="J244" s="4">
        <f>IF(NOT(I244=""),IF(I244&lt;=G244,"match",IF(I244&lt;3*G244,"partial match","no match")),"")</f>
        <v/>
      </c>
      <c r="K244" t="inlineStr">
        <is>
          <t>rlm_hgre_2D_avg</t>
        </is>
      </c>
    </row>
    <row r="245" ht="15.75" customHeight="1" s="10">
      <c r="A245" t="inlineStr">
        <is>
          <t>configuration A</t>
        </is>
      </c>
      <c r="B245" t="inlineStr">
        <is>
          <t>Run length matrix (2D, averaged)</t>
        </is>
      </c>
      <c r="C245" t="inlineStr">
        <is>
          <t>Short run low grey level emphasis</t>
        </is>
      </c>
      <c r="E245" t="inlineStr">
        <is>
          <t>3-5</t>
        </is>
      </c>
      <c r="F245" t="n">
        <v>0.0243</v>
      </c>
      <c r="G245" t="n">
        <v>0.0003</v>
      </c>
      <c r="H245" s="9" t="n"/>
      <c r="I245" s="4">
        <f>IFERROR(IF(NOT(H245=""),ABS(ROUNDDOWN(F245-H245, 3 - (1+INT(LOG10(ABS(F245)))))),""),IF(AND(F245=0,NOT(F245="")),ABS(ROUNDDOWN(F245-H245,0)),""))</f>
        <v/>
      </c>
      <c r="J245" s="4">
        <f>IF(NOT(I245=""),IF(I245&lt;=G245,"match",IF(I245&lt;3*G245,"partial match","no match")),"")</f>
        <v/>
      </c>
      <c r="K245" t="inlineStr">
        <is>
          <t>rlm_srlge_2D_avg</t>
        </is>
      </c>
    </row>
    <row r="246" ht="15.75" customHeight="1" s="10">
      <c r="A246" t="inlineStr">
        <is>
          <t>configuration A</t>
        </is>
      </c>
      <c r="B246" t="inlineStr">
        <is>
          <t>Run length matrix (2D, averaged)</t>
        </is>
      </c>
      <c r="C246" t="inlineStr">
        <is>
          <t>Short run high grey level emphasis</t>
        </is>
      </c>
      <c r="E246" t="inlineStr">
        <is>
          <t>3-5</t>
        </is>
      </c>
      <c r="F246" t="n">
        <v>320</v>
      </c>
      <c r="G246" t="n">
        <v>1</v>
      </c>
      <c r="H246" s="9" t="n"/>
      <c r="I246" s="4">
        <f>IFERROR(IF(NOT(H246=""),ABS(ROUNDDOWN(F246-H246, 3 - (1+INT(LOG10(ABS(F246)))))),""),IF(AND(F246=0,NOT(F246="")),ABS(ROUNDDOWN(F246-H246,0)),""))</f>
        <v/>
      </c>
      <c r="J246" s="4">
        <f>IF(NOT(I246=""),IF(I246&lt;=G246,"match",IF(I246&lt;3*G246,"partial match","no match")),"")</f>
        <v/>
      </c>
      <c r="K246" t="inlineStr">
        <is>
          <t>rlm_srhge_2D_avg</t>
        </is>
      </c>
    </row>
    <row r="247" ht="15.75" customHeight="1" s="10">
      <c r="A247" t="inlineStr">
        <is>
          <t>configuration A</t>
        </is>
      </c>
      <c r="B247" t="inlineStr">
        <is>
          <t>Run length matrix (2D, averaged)</t>
        </is>
      </c>
      <c r="C247" t="inlineStr">
        <is>
          <t>Long run low grey level emphasis</t>
        </is>
      </c>
      <c r="E247" t="inlineStr">
        <is>
          <t>3-5</t>
        </is>
      </c>
      <c r="F247" t="n">
        <v>0.0386</v>
      </c>
      <c r="G247" t="n">
        <v>0.0003</v>
      </c>
      <c r="H247" s="9" t="n"/>
      <c r="I247" s="4">
        <f>IFERROR(IF(NOT(H247=""),ABS(ROUNDDOWN(F247-H247, 3 - (1+INT(LOG10(ABS(F247)))))),""),IF(AND(F247=0,NOT(F247="")),ABS(ROUNDDOWN(F247-H247,0)),""))</f>
        <v/>
      </c>
      <c r="J247" s="4">
        <f>IF(NOT(I247=""),IF(I247&lt;=G247,"match",IF(I247&lt;3*G247,"partial match","no match")),"")</f>
        <v/>
      </c>
      <c r="K247" t="inlineStr">
        <is>
          <t>rlm_lrlge_2D_avg</t>
        </is>
      </c>
    </row>
    <row r="248" ht="15.75" customHeight="1" s="10">
      <c r="A248" t="inlineStr">
        <is>
          <t>configuration A</t>
        </is>
      </c>
      <c r="B248" t="inlineStr">
        <is>
          <t>Run length matrix (2D, averaged)</t>
        </is>
      </c>
      <c r="C248" t="inlineStr">
        <is>
          <t>Long run high grey level emphasis</t>
        </is>
      </c>
      <c r="E248" t="inlineStr">
        <is>
          <t>6-9</t>
        </is>
      </c>
      <c r="F248" t="n">
        <v>1400</v>
      </c>
      <c r="G248" t="n">
        <v>20</v>
      </c>
      <c r="H248" s="9" t="n"/>
      <c r="I248" s="4">
        <f>IFERROR(IF(NOT(H248=""),ABS(ROUNDDOWN(F248-H248, 3 - (1+INT(LOG10(ABS(F248)))))),""),IF(AND(F248=0,NOT(F248="")),ABS(ROUNDDOWN(F248-H248,0)),""))</f>
        <v/>
      </c>
      <c r="J248" s="4">
        <f>IF(NOT(I248=""),IF(I248&lt;=G248,"match",IF(I248&lt;3*G248,"partial match","no match")),"")</f>
        <v/>
      </c>
      <c r="K248" t="inlineStr">
        <is>
          <t>rlm_lrhge_2D_avg</t>
        </is>
      </c>
    </row>
    <row r="249" ht="15.75" customHeight="1" s="10">
      <c r="A249" t="inlineStr">
        <is>
          <t>configuration A</t>
        </is>
      </c>
      <c r="B249" t="inlineStr">
        <is>
          <t>Run length matrix (2D, averaged)</t>
        </is>
      </c>
      <c r="C249" t="inlineStr">
        <is>
          <t>Grey level non-uniformity</t>
        </is>
      </c>
      <c r="E249" t="inlineStr">
        <is>
          <t>6-9</t>
        </is>
      </c>
      <c r="F249" t="n">
        <v>432</v>
      </c>
      <c r="G249" t="n">
        <v>1</v>
      </c>
      <c r="H249" s="9" t="n"/>
      <c r="I249" s="4">
        <f>IFERROR(IF(NOT(H249=""),ABS(ROUNDDOWN(F249-H249, 3 - (1+INT(LOG10(ABS(F249)))))),""),IF(AND(F249=0,NOT(F249="")),ABS(ROUNDDOWN(F249-H249,0)),""))</f>
        <v/>
      </c>
      <c r="J249" s="4">
        <f>IF(NOT(I249=""),IF(I249&lt;=G249,"match",IF(I249&lt;3*G249,"partial match","no match")),"")</f>
        <v/>
      </c>
      <c r="K249" t="inlineStr">
        <is>
          <t>rlm_glnu_2D_avg</t>
        </is>
      </c>
    </row>
    <row r="250" ht="15.75" customHeight="1" s="10">
      <c r="A250" t="inlineStr">
        <is>
          <t>configuration A</t>
        </is>
      </c>
      <c r="B250" t="inlineStr">
        <is>
          <t>Run length matrix (2D, averaged)</t>
        </is>
      </c>
      <c r="C250" t="inlineStr">
        <is>
          <t>Grey level non-uniformity normalised</t>
        </is>
      </c>
      <c r="E250" t="inlineStr">
        <is>
          <t>6-9</t>
        </is>
      </c>
      <c r="F250" t="n">
        <v>0.128</v>
      </c>
      <c r="G250" t="n">
        <v>0.003</v>
      </c>
      <c r="H250" s="9" t="n"/>
      <c r="I250" s="4">
        <f>IFERROR(IF(NOT(H250=""),ABS(ROUNDDOWN(F250-H250, 3 - (1+INT(LOG10(ABS(F250)))))),""),IF(AND(F250=0,NOT(F250="")),ABS(ROUNDDOWN(F250-H250,0)),""))</f>
        <v/>
      </c>
      <c r="J250" s="4">
        <f>IF(NOT(I250=""),IF(I250&lt;=G250,"match",IF(I250&lt;3*G250,"partial match","no match")),"")</f>
        <v/>
      </c>
      <c r="K250" t="inlineStr">
        <is>
          <t>rlm_glnu_norm_2D_avg</t>
        </is>
      </c>
    </row>
    <row r="251" ht="15.75" customHeight="1" s="10">
      <c r="A251" t="inlineStr">
        <is>
          <t>configuration A</t>
        </is>
      </c>
      <c r="B251" t="inlineStr">
        <is>
          <t>Run length matrix (2D, averaged)</t>
        </is>
      </c>
      <c r="C251" t="inlineStr">
        <is>
          <t>Run length non-uniformity</t>
        </is>
      </c>
      <c r="E251" t="inlineStr">
        <is>
          <t>6-9</t>
        </is>
      </c>
      <c r="F251" t="n">
        <v>1650</v>
      </c>
      <c r="G251" t="n">
        <v>10</v>
      </c>
      <c r="H251" s="9" t="n"/>
      <c r="I251" s="4">
        <f>IFERROR(IF(NOT(H251=""),ABS(ROUNDDOWN(F251-H251, 3 - (1+INT(LOG10(ABS(F251)))))),""),IF(AND(F251=0,NOT(F251="")),ABS(ROUNDDOWN(F251-H251,0)),""))</f>
        <v/>
      </c>
      <c r="J251" s="4">
        <f>IF(NOT(I251=""),IF(I251&lt;=G251,"match",IF(I251&lt;3*G251,"partial match","no match")),"")</f>
        <v/>
      </c>
      <c r="K251" t="inlineStr">
        <is>
          <t>rlm_rlnu_2D_avg</t>
        </is>
      </c>
    </row>
    <row r="252" ht="15.75" customHeight="1" s="10">
      <c r="A252" t="inlineStr">
        <is>
          <t>configuration A</t>
        </is>
      </c>
      <c r="B252" t="inlineStr">
        <is>
          <t>Run length matrix (2D, averaged)</t>
        </is>
      </c>
      <c r="C252" t="inlineStr">
        <is>
          <t>Run length non-uniformity normalised</t>
        </is>
      </c>
      <c r="E252" t="inlineStr">
        <is>
          <t>6-9</t>
        </is>
      </c>
      <c r="F252" t="n">
        <v>0.579</v>
      </c>
      <c r="G252" t="n">
        <v>0.003</v>
      </c>
      <c r="H252" s="9" t="n"/>
      <c r="I252" s="4">
        <f>IFERROR(IF(NOT(H252=""),ABS(ROUNDDOWN(F252-H252, 3 - (1+INT(LOG10(ABS(F252)))))),""),IF(AND(F252=0,NOT(F252="")),ABS(ROUNDDOWN(F252-H252,0)),""))</f>
        <v/>
      </c>
      <c r="J252" s="4">
        <f>IF(NOT(I252=""),IF(I252&lt;=G252,"match",IF(I252&lt;3*G252,"partial match","no match")),"")</f>
        <v/>
      </c>
      <c r="K252" t="inlineStr">
        <is>
          <t>rlm_rlnu_norm_2D_avg</t>
        </is>
      </c>
    </row>
    <row r="253" ht="15.75" customHeight="1" s="10">
      <c r="A253" t="inlineStr">
        <is>
          <t>configuration A</t>
        </is>
      </c>
      <c r="B253" t="inlineStr">
        <is>
          <t>Run length matrix (2D, averaged)</t>
        </is>
      </c>
      <c r="C253" t="inlineStr">
        <is>
          <t>Run percentage</t>
        </is>
      </c>
      <c r="E253" t="inlineStr">
        <is>
          <t>6-9</t>
        </is>
      </c>
      <c r="F253" t="n">
        <v>0.704</v>
      </c>
      <c r="G253" t="n">
        <v>0.002</v>
      </c>
      <c r="H253" s="9" t="n"/>
      <c r="I253" s="4">
        <f>IFERROR(IF(NOT(H253=""),ABS(ROUNDDOWN(F253-H253, 3 - (1+INT(LOG10(ABS(F253)))))),""),IF(AND(F253=0,NOT(F253="")),ABS(ROUNDDOWN(F253-H253,0)),""))</f>
        <v/>
      </c>
      <c r="J253" s="4">
        <f>IF(NOT(I253=""),IF(I253&lt;=G253,"match",IF(I253&lt;3*G253,"partial match","no match")),"")</f>
        <v/>
      </c>
      <c r="K253" t="inlineStr">
        <is>
          <t>rlm_r_perc_2D_avg</t>
        </is>
      </c>
    </row>
    <row r="254" ht="15.75" customHeight="1" s="10">
      <c r="A254" t="inlineStr">
        <is>
          <t>configuration A</t>
        </is>
      </c>
      <c r="B254" t="inlineStr">
        <is>
          <t>Run length matrix (2D, averaged)</t>
        </is>
      </c>
      <c r="C254" t="inlineStr">
        <is>
          <t>Grey level variance</t>
        </is>
      </c>
      <c r="E254" t="inlineStr">
        <is>
          <t>6-9</t>
        </is>
      </c>
      <c r="F254" t="n">
        <v>33.6</v>
      </c>
      <c r="G254" t="n">
        <v>0.6</v>
      </c>
      <c r="H254" s="9" t="n"/>
      <c r="I254" s="4">
        <f>IFERROR(IF(NOT(H254=""),ABS(ROUNDDOWN(F254-H254, 3 - (1+INT(LOG10(ABS(F254)))))),""),IF(AND(F254=0,NOT(F254="")),ABS(ROUNDDOWN(F254-H254,0)),""))</f>
        <v/>
      </c>
      <c r="J254" s="4">
        <f>IF(NOT(I254=""),IF(I254&lt;=G254,"match",IF(I254&lt;3*G254,"partial match","no match")),"")</f>
        <v/>
      </c>
      <c r="K254" t="inlineStr">
        <is>
          <t>rlm_gl_var_2D_avg</t>
        </is>
      </c>
    </row>
    <row r="255" ht="15.75" customHeight="1" s="10">
      <c r="A255" t="inlineStr">
        <is>
          <t>configuration A</t>
        </is>
      </c>
      <c r="B255" t="inlineStr">
        <is>
          <t>Run length matrix (2D, averaged)</t>
        </is>
      </c>
      <c r="C255" t="inlineStr">
        <is>
          <t>Run length variance</t>
        </is>
      </c>
      <c r="E255" t="inlineStr">
        <is>
          <t>6-9</t>
        </is>
      </c>
      <c r="F255" t="n">
        <v>0.828</v>
      </c>
      <c r="G255" t="n">
        <v>0.008</v>
      </c>
      <c r="H255" s="9" t="n"/>
      <c r="I255" s="4">
        <f>IFERROR(IF(NOT(H255=""),ABS(ROUNDDOWN(F255-H255, 3 - (1+INT(LOG10(ABS(F255)))))),""),IF(AND(F255=0,NOT(F255="")),ABS(ROUNDDOWN(F255-H255,0)),""))</f>
        <v/>
      </c>
      <c r="J255" s="4">
        <f>IF(NOT(I255=""),IF(I255&lt;=G255,"match",IF(I255&lt;3*G255,"partial match","no match")),"")</f>
        <v/>
      </c>
      <c r="K255" t="inlineStr">
        <is>
          <t>rlm_rl_var_2D_avg</t>
        </is>
      </c>
    </row>
    <row r="256" ht="15.75" customHeight="1" s="10">
      <c r="A256" t="inlineStr">
        <is>
          <t>configuration A</t>
        </is>
      </c>
      <c r="B256" t="inlineStr">
        <is>
          <t>Run length matrix (2D, averaged)</t>
        </is>
      </c>
      <c r="C256" t="inlineStr">
        <is>
          <t>Run entropy</t>
        </is>
      </c>
      <c r="E256" t="inlineStr">
        <is>
          <t>6-9</t>
        </is>
      </c>
      <c r="F256" t="n">
        <v>4.73</v>
      </c>
      <c r="G256" t="n">
        <v>0.02</v>
      </c>
      <c r="H256" s="9" t="n"/>
      <c r="I256" s="4">
        <f>IFERROR(IF(NOT(H256=""),ABS(ROUNDDOWN(F256-H256, 3 - (1+INT(LOG10(ABS(F256)))))),""),IF(AND(F256=0,NOT(F256="")),ABS(ROUNDDOWN(F256-H256,0)),""))</f>
        <v/>
      </c>
      <c r="J256" s="4">
        <f>IF(NOT(I256=""),IF(I256&lt;=G256,"match",IF(I256&lt;3*G256,"partial match","no match")),"")</f>
        <v/>
      </c>
      <c r="K256" t="inlineStr">
        <is>
          <t>rlm_rl_entr_2D_avg</t>
        </is>
      </c>
    </row>
    <row r="257" ht="15.75" customHeight="1" s="10">
      <c r="A257" t="inlineStr">
        <is>
          <t>configuration A</t>
        </is>
      </c>
      <c r="B257" t="inlineStr">
        <is>
          <t>Run length matrix (2D, slice-merged)</t>
        </is>
      </c>
      <c r="C257" t="inlineStr">
        <is>
          <t>Short runs emphasis</t>
        </is>
      </c>
      <c r="E257" t="inlineStr">
        <is>
          <t>3-5</t>
        </is>
      </c>
      <c r="F257" t="n">
        <v>0.786</v>
      </c>
      <c r="G257" t="n">
        <v>0.003</v>
      </c>
      <c r="H257" s="9" t="n"/>
      <c r="I257" s="4">
        <f>IFERROR(IF(NOT(H257=""),ABS(ROUNDDOWN(F257-H257, 3 - (1+INT(LOG10(ABS(F257)))))),""),IF(AND(F257=0,NOT(F257="")),ABS(ROUNDDOWN(F257-H257,0)),""))</f>
        <v/>
      </c>
      <c r="J257" s="4">
        <f>IF(NOT(I257=""),IF(I257&lt;=G257,"match",IF(I257&lt;3*G257,"partial match","no match")),"")</f>
        <v/>
      </c>
      <c r="K257" t="inlineStr">
        <is>
          <t>rlm_sre_2D_comb</t>
        </is>
      </c>
    </row>
    <row r="258" ht="15.75" customHeight="1" s="10">
      <c r="A258" t="inlineStr">
        <is>
          <t>configuration A</t>
        </is>
      </c>
      <c r="B258" t="inlineStr">
        <is>
          <t>Run length matrix (2D, slice-merged)</t>
        </is>
      </c>
      <c r="C258" t="inlineStr">
        <is>
          <t>Long runs emphasis</t>
        </is>
      </c>
      <c r="E258" t="inlineStr">
        <is>
          <t>3-5</t>
        </is>
      </c>
      <c r="F258" t="n">
        <v>2.89</v>
      </c>
      <c r="G258" t="n">
        <v>0.03</v>
      </c>
      <c r="H258" s="9" t="n"/>
      <c r="I258" s="4">
        <f>IFERROR(IF(NOT(H258=""),ABS(ROUNDDOWN(F258-H258, 3 - (1+INT(LOG10(ABS(F258)))))),""),IF(AND(F258=0,NOT(F258="")),ABS(ROUNDDOWN(F258-H258,0)),""))</f>
        <v/>
      </c>
      <c r="J258" s="4">
        <f>IF(NOT(I258=""),IF(I258&lt;=G258,"match",IF(I258&lt;3*G258,"partial match","no match")),"")</f>
        <v/>
      </c>
      <c r="K258" t="inlineStr">
        <is>
          <t>rlm_lre_2D_comb</t>
        </is>
      </c>
    </row>
    <row r="259" ht="15.75" customHeight="1" s="10">
      <c r="A259" t="inlineStr">
        <is>
          <t>configuration A</t>
        </is>
      </c>
      <c r="B259" t="inlineStr">
        <is>
          <t>Run length matrix (2D, slice-merged)</t>
        </is>
      </c>
      <c r="C259" t="inlineStr">
        <is>
          <t>Low grey level run emphasis</t>
        </is>
      </c>
      <c r="E259" t="inlineStr">
        <is>
          <t>3-5</t>
        </is>
      </c>
      <c r="F259" t="n">
        <v>0.0264</v>
      </c>
      <c r="G259" t="n">
        <v>0.0003</v>
      </c>
      <c r="H259" s="9" t="n"/>
      <c r="I259" s="4">
        <f>IFERROR(IF(NOT(H259=""),ABS(ROUNDDOWN(F259-H259, 3 - (1+INT(LOG10(ABS(F259)))))),""),IF(AND(F259=0,NOT(F259="")),ABS(ROUNDDOWN(F259-H259,0)),""))</f>
        <v/>
      </c>
      <c r="J259" s="4">
        <f>IF(NOT(I259=""),IF(I259&lt;=G259,"match",IF(I259&lt;3*G259,"partial match","no match")),"")</f>
        <v/>
      </c>
      <c r="K259" t="inlineStr">
        <is>
          <t>rlm_lgre_2D_comb</t>
        </is>
      </c>
    </row>
    <row r="260" ht="15.75" customHeight="1" s="10">
      <c r="A260" t="inlineStr">
        <is>
          <t>configuration A</t>
        </is>
      </c>
      <c r="B260" t="inlineStr">
        <is>
          <t>Run length matrix (2D, slice-merged)</t>
        </is>
      </c>
      <c r="C260" t="inlineStr">
        <is>
          <t>High grey level run emphasis</t>
        </is>
      </c>
      <c r="E260" t="inlineStr">
        <is>
          <t>3-5</t>
        </is>
      </c>
      <c r="F260" t="n">
        <v>428</v>
      </c>
      <c r="G260" t="n">
        <v>3</v>
      </c>
      <c r="H260" s="9" t="n"/>
      <c r="I260" s="4">
        <f>IFERROR(IF(NOT(H260=""),ABS(ROUNDDOWN(F260-H260, 3 - (1+INT(LOG10(ABS(F260)))))),""),IF(AND(F260=0,NOT(F260="")),ABS(ROUNDDOWN(F260-H260,0)),""))</f>
        <v/>
      </c>
      <c r="J260" s="4">
        <f>IF(NOT(I260=""),IF(I260&lt;=G260,"match",IF(I260&lt;3*G260,"partial match","no match")),"")</f>
        <v/>
      </c>
      <c r="K260" t="inlineStr">
        <is>
          <t>rlm_hgre_2D_comb</t>
        </is>
      </c>
    </row>
    <row r="261" ht="15.75" customHeight="1" s="10">
      <c r="A261" t="inlineStr">
        <is>
          <t>configuration A</t>
        </is>
      </c>
      <c r="B261" t="inlineStr">
        <is>
          <t>Run length matrix (2D, slice-merged)</t>
        </is>
      </c>
      <c r="C261" t="inlineStr">
        <is>
          <t>Short run low grey level emphasis</t>
        </is>
      </c>
      <c r="E261" t="inlineStr">
        <is>
          <t>3-5</t>
        </is>
      </c>
      <c r="F261" t="n">
        <v>0.0243</v>
      </c>
      <c r="G261" t="n">
        <v>0.0003</v>
      </c>
      <c r="H261" s="9" t="n"/>
      <c r="I261" s="4">
        <f>IFERROR(IF(NOT(H261=""),ABS(ROUNDDOWN(F261-H261, 3 - (1+INT(LOG10(ABS(F261)))))),""),IF(AND(F261=0,NOT(F261="")),ABS(ROUNDDOWN(F261-H261,0)),""))</f>
        <v/>
      </c>
      <c r="J261" s="4">
        <f>IF(NOT(I261=""),IF(I261&lt;=G261,"match",IF(I261&lt;3*G261,"partial match","no match")),"")</f>
        <v/>
      </c>
      <c r="K261" t="inlineStr">
        <is>
          <t>rlm_srlge_2D_comb</t>
        </is>
      </c>
    </row>
    <row r="262" ht="15.75" customHeight="1" s="10">
      <c r="A262" t="inlineStr">
        <is>
          <t>configuration A</t>
        </is>
      </c>
      <c r="B262" t="inlineStr">
        <is>
          <t>Run length matrix (2D, slice-merged)</t>
        </is>
      </c>
      <c r="C262" t="inlineStr">
        <is>
          <t>Short run high grey level emphasis</t>
        </is>
      </c>
      <c r="E262" t="inlineStr">
        <is>
          <t>3-5</t>
        </is>
      </c>
      <c r="F262" t="n">
        <v>320</v>
      </c>
      <c r="G262" t="n">
        <v>1</v>
      </c>
      <c r="H262" s="9" t="n"/>
      <c r="I262" s="4">
        <f>IFERROR(IF(NOT(H262=""),ABS(ROUNDDOWN(F262-H262, 3 - (1+INT(LOG10(ABS(F262)))))),""),IF(AND(F262=0,NOT(F262="")),ABS(ROUNDDOWN(F262-H262,0)),""))</f>
        <v/>
      </c>
      <c r="J262" s="4">
        <f>IF(NOT(I262=""),IF(I262&lt;=G262,"match",IF(I262&lt;3*G262,"partial match","no match")),"")</f>
        <v/>
      </c>
      <c r="K262" t="inlineStr">
        <is>
          <t>rlm_srhge_2D_comb</t>
        </is>
      </c>
    </row>
    <row r="263" ht="15.75" customHeight="1" s="10">
      <c r="A263" t="inlineStr">
        <is>
          <t>configuration A</t>
        </is>
      </c>
      <c r="B263" t="inlineStr">
        <is>
          <t>Run length matrix (2D, slice-merged)</t>
        </is>
      </c>
      <c r="C263" t="inlineStr">
        <is>
          <t>Long run low grey level emphasis</t>
        </is>
      </c>
      <c r="E263" t="inlineStr">
        <is>
          <t>3-5</t>
        </is>
      </c>
      <c r="F263" t="n">
        <v>0.0385</v>
      </c>
      <c r="G263" t="n">
        <v>0.0003</v>
      </c>
      <c r="H263" s="9" t="n"/>
      <c r="I263" s="4">
        <f>IFERROR(IF(NOT(H263=""),ABS(ROUNDDOWN(F263-H263, 3 - (1+INT(LOG10(ABS(F263)))))),""),IF(AND(F263=0,NOT(F263="")),ABS(ROUNDDOWN(F263-H263,0)),""))</f>
        <v/>
      </c>
      <c r="J263" s="4">
        <f>IF(NOT(I263=""),IF(I263&lt;=G263,"match",IF(I263&lt;3*G263,"partial match","no match")),"")</f>
        <v/>
      </c>
      <c r="K263" t="inlineStr">
        <is>
          <t>rlm_lrlge_2D_comb</t>
        </is>
      </c>
    </row>
    <row r="264" ht="15.75" customHeight="1" s="10">
      <c r="A264" t="inlineStr">
        <is>
          <t>configuration A</t>
        </is>
      </c>
      <c r="B264" t="inlineStr">
        <is>
          <t>Run length matrix (2D, slice-merged)</t>
        </is>
      </c>
      <c r="C264" t="inlineStr">
        <is>
          <t>Long run high grey level emphasis</t>
        </is>
      </c>
      <c r="E264" t="inlineStr">
        <is>
          <t>3-5</t>
        </is>
      </c>
      <c r="F264" t="n">
        <v>1400</v>
      </c>
      <c r="G264" t="n">
        <v>20</v>
      </c>
      <c r="H264" s="9" t="n"/>
      <c r="I264" s="4">
        <f>IFERROR(IF(NOT(H264=""),ABS(ROUNDDOWN(F264-H264, 3 - (1+INT(LOG10(ABS(F264)))))),""),IF(AND(F264=0,NOT(F264="")),ABS(ROUNDDOWN(F264-H264,0)),""))</f>
        <v/>
      </c>
      <c r="J264" s="4">
        <f>IF(NOT(I264=""),IF(I264&lt;=G264,"match",IF(I264&lt;3*G264,"partial match","no match")),"")</f>
        <v/>
      </c>
      <c r="K264" t="inlineStr">
        <is>
          <t>rlm_lrhge_2D_comb</t>
        </is>
      </c>
    </row>
    <row r="265" ht="15.75" customHeight="1" s="10">
      <c r="A265" t="inlineStr">
        <is>
          <t>configuration A</t>
        </is>
      </c>
      <c r="B265" t="inlineStr">
        <is>
          <t>Run length matrix (2D, slice-merged)</t>
        </is>
      </c>
      <c r="C265" t="inlineStr">
        <is>
          <t>Grey level non-uniformity</t>
        </is>
      </c>
      <c r="E265" t="inlineStr">
        <is>
          <t>3-5</t>
        </is>
      </c>
      <c r="F265" t="n">
        <v>1730</v>
      </c>
      <c r="G265" t="n">
        <v>10</v>
      </c>
      <c r="H265" s="9" t="n"/>
      <c r="I265" s="4">
        <f>IFERROR(IF(NOT(H265=""),ABS(ROUNDDOWN(F265-H265, 3 - (1+INT(LOG10(ABS(F265)))))),""),IF(AND(F265=0,NOT(F265="")),ABS(ROUNDDOWN(F265-H265,0)),""))</f>
        <v/>
      </c>
      <c r="J265" s="4">
        <f>IF(NOT(I265=""),IF(I265&lt;=G265,"match",IF(I265&lt;3*G265,"partial match","no match")),"")</f>
        <v/>
      </c>
      <c r="K265" t="inlineStr">
        <is>
          <t>rlm_glnu_2D_comb</t>
        </is>
      </c>
    </row>
    <row r="266" ht="15.75" customHeight="1" s="10">
      <c r="A266" t="inlineStr">
        <is>
          <t>configuration A</t>
        </is>
      </c>
      <c r="B266" t="inlineStr">
        <is>
          <t>Run length matrix (2D, slice-merged)</t>
        </is>
      </c>
      <c r="C266" t="inlineStr">
        <is>
          <t>Grey level non-uniformity normalised</t>
        </is>
      </c>
      <c r="E266" t="inlineStr">
        <is>
          <t>6-9</t>
        </is>
      </c>
      <c r="F266" t="n">
        <v>0.128</v>
      </c>
      <c r="G266" t="n">
        <v>0.003</v>
      </c>
      <c r="H266" s="9" t="n"/>
      <c r="I266" s="4">
        <f>IFERROR(IF(NOT(H266=""),ABS(ROUNDDOWN(F266-H266, 3 - (1+INT(LOG10(ABS(F266)))))),""),IF(AND(F266=0,NOT(F266="")),ABS(ROUNDDOWN(F266-H266,0)),""))</f>
        <v/>
      </c>
      <c r="J266" s="4">
        <f>IF(NOT(I266=""),IF(I266&lt;=G266,"match",IF(I266&lt;3*G266,"partial match","no match")),"")</f>
        <v/>
      </c>
      <c r="K266" t="inlineStr">
        <is>
          <t>rlm_glnu_norm_2D_comb</t>
        </is>
      </c>
    </row>
    <row r="267" ht="15.75" customHeight="1" s="10">
      <c r="A267" t="inlineStr">
        <is>
          <t>configuration A</t>
        </is>
      </c>
      <c r="B267" t="inlineStr">
        <is>
          <t>Run length matrix (2D, slice-merged)</t>
        </is>
      </c>
      <c r="C267" t="inlineStr">
        <is>
          <t>Run length non-uniformity</t>
        </is>
      </c>
      <c r="E267" t="inlineStr">
        <is>
          <t>3-5</t>
        </is>
      </c>
      <c r="F267" t="n">
        <v>6600</v>
      </c>
      <c r="G267" t="n">
        <v>30</v>
      </c>
      <c r="H267" s="9" t="n"/>
      <c r="I267" s="4">
        <f>IFERROR(IF(NOT(H267=""),ABS(ROUNDDOWN(F267-H267, 3 - (1+INT(LOG10(ABS(F267)))))),""),IF(AND(F267=0,NOT(F267="")),ABS(ROUNDDOWN(F267-H267,0)),""))</f>
        <v/>
      </c>
      <c r="J267" s="4">
        <f>IF(NOT(I267=""),IF(I267&lt;=G267,"match",IF(I267&lt;3*G267,"partial match","no match")),"")</f>
        <v/>
      </c>
      <c r="K267" t="inlineStr">
        <is>
          <t>rlm_rlnu_2D_comb</t>
        </is>
      </c>
    </row>
    <row r="268" ht="15.75" customHeight="1" s="10">
      <c r="A268" t="inlineStr">
        <is>
          <t>configuration A</t>
        </is>
      </c>
      <c r="B268" t="inlineStr">
        <is>
          <t>Run length matrix (2D, slice-merged)</t>
        </is>
      </c>
      <c r="C268" t="inlineStr">
        <is>
          <t>Run length non-uniformity normalised</t>
        </is>
      </c>
      <c r="E268" t="inlineStr">
        <is>
          <t>3-5</t>
        </is>
      </c>
      <c r="F268" t="n">
        <v>0.579</v>
      </c>
      <c r="G268" t="n">
        <v>0.003</v>
      </c>
      <c r="H268" s="9" t="n"/>
      <c r="I268" s="4">
        <f>IFERROR(IF(NOT(H268=""),ABS(ROUNDDOWN(F268-H268, 3 - (1+INT(LOG10(ABS(F268)))))),""),IF(AND(F268=0,NOT(F268="")),ABS(ROUNDDOWN(F268-H268,0)),""))</f>
        <v/>
      </c>
      <c r="J268" s="4">
        <f>IF(NOT(I268=""),IF(I268&lt;=G268,"match",IF(I268&lt;3*G268,"partial match","no match")),"")</f>
        <v/>
      </c>
      <c r="K268" t="inlineStr">
        <is>
          <t>rlm_rlnu_norm_2D_comb</t>
        </is>
      </c>
    </row>
    <row r="269" ht="15.75" customHeight="1" s="10">
      <c r="A269" t="inlineStr">
        <is>
          <t>configuration A</t>
        </is>
      </c>
      <c r="B269" t="inlineStr">
        <is>
          <t>Run length matrix (2D, slice-merged)</t>
        </is>
      </c>
      <c r="C269" t="inlineStr">
        <is>
          <t>Run percentage</t>
        </is>
      </c>
      <c r="E269" t="inlineStr">
        <is>
          <t>3-5</t>
        </is>
      </c>
      <c r="F269" t="n">
        <v>0.704</v>
      </c>
      <c r="G269" t="n">
        <v>0.002</v>
      </c>
      <c r="H269" s="9" t="n"/>
      <c r="I269" s="4">
        <f>IFERROR(IF(NOT(H269=""),ABS(ROUNDDOWN(F269-H269, 3 - (1+INT(LOG10(ABS(F269)))))),""),IF(AND(F269=0,NOT(F269="")),ABS(ROUNDDOWN(F269-H269,0)),""))</f>
        <v/>
      </c>
      <c r="J269" s="4">
        <f>IF(NOT(I269=""),IF(I269&lt;=G269,"match",IF(I269&lt;3*G269,"partial match","no match")),"")</f>
        <v/>
      </c>
      <c r="K269" t="inlineStr">
        <is>
          <t>rlm_r_perc_2D_comb</t>
        </is>
      </c>
    </row>
    <row r="270" ht="15.75" customHeight="1" s="10">
      <c r="A270" t="inlineStr">
        <is>
          <t>configuration A</t>
        </is>
      </c>
      <c r="B270" t="inlineStr">
        <is>
          <t>Run length matrix (2D, slice-merged)</t>
        </is>
      </c>
      <c r="C270" t="inlineStr">
        <is>
          <t>Grey level variance</t>
        </is>
      </c>
      <c r="E270" t="inlineStr">
        <is>
          <t>3-5</t>
        </is>
      </c>
      <c r="F270" t="n">
        <v>33.7</v>
      </c>
      <c r="G270" t="n">
        <v>0.6</v>
      </c>
      <c r="H270" s="9" t="n"/>
      <c r="I270" s="4">
        <f>IFERROR(IF(NOT(H270=""),ABS(ROUNDDOWN(F270-H270, 3 - (1+INT(LOG10(ABS(F270)))))),""),IF(AND(F270=0,NOT(F270="")),ABS(ROUNDDOWN(F270-H270,0)),""))</f>
        <v/>
      </c>
      <c r="J270" s="4">
        <f>IF(NOT(I270=""),IF(I270&lt;=G270,"match",IF(I270&lt;3*G270,"partial match","no match")),"")</f>
        <v/>
      </c>
      <c r="K270" t="inlineStr">
        <is>
          <t>rlm_gl_var_2D_comb</t>
        </is>
      </c>
    </row>
    <row r="271" ht="15.75" customHeight="1" s="10">
      <c r="A271" t="inlineStr">
        <is>
          <t>configuration A</t>
        </is>
      </c>
      <c r="B271" t="inlineStr">
        <is>
          <t>Run length matrix (2D, slice-merged)</t>
        </is>
      </c>
      <c r="C271" t="inlineStr">
        <is>
          <t>Run length variance</t>
        </is>
      </c>
      <c r="E271" t="inlineStr">
        <is>
          <t>3-5</t>
        </is>
      </c>
      <c r="F271" t="n">
        <v>0.826</v>
      </c>
      <c r="G271" t="n">
        <v>0.008</v>
      </c>
      <c r="H271" s="9" t="n"/>
      <c r="I271" s="4">
        <f>IFERROR(IF(NOT(H271=""),ABS(ROUNDDOWN(F271-H271, 3 - (1+INT(LOG10(ABS(F271)))))),""),IF(AND(F271=0,NOT(F271="")),ABS(ROUNDDOWN(F271-H271,0)),""))</f>
        <v/>
      </c>
      <c r="J271" s="4">
        <f>IF(NOT(I271=""),IF(I271&lt;=G271,"match",IF(I271&lt;3*G271,"partial match","no match")),"")</f>
        <v/>
      </c>
      <c r="K271" t="inlineStr">
        <is>
          <t>rlm_rl_var_2D_comb</t>
        </is>
      </c>
    </row>
    <row r="272" ht="15.75" customHeight="1" s="10">
      <c r="A272" t="inlineStr">
        <is>
          <t>configuration A</t>
        </is>
      </c>
      <c r="B272" t="inlineStr">
        <is>
          <t>Run length matrix (2D, slice-merged)</t>
        </is>
      </c>
      <c r="C272" t="inlineStr">
        <is>
          <t>Run entropy</t>
        </is>
      </c>
      <c r="E272" t="inlineStr">
        <is>
          <t>3-5</t>
        </is>
      </c>
      <c r="F272" t="n">
        <v>4.76</v>
      </c>
      <c r="G272" t="n">
        <v>0.02</v>
      </c>
      <c r="H272" s="9" t="n"/>
      <c r="I272" s="4">
        <f>IFERROR(IF(NOT(H272=""),ABS(ROUNDDOWN(F272-H272, 3 - (1+INT(LOG10(ABS(F272)))))),""),IF(AND(F272=0,NOT(F272="")),ABS(ROUNDDOWN(F272-H272,0)),""))</f>
        <v/>
      </c>
      <c r="J272" s="4">
        <f>IF(NOT(I272=""),IF(I272&lt;=G272,"match",IF(I272&lt;3*G272,"partial match","no match")),"")</f>
        <v/>
      </c>
      <c r="K272" t="inlineStr">
        <is>
          <t>rlm_rl_entr_2D_comb</t>
        </is>
      </c>
    </row>
    <row r="273" ht="15.75" customHeight="1" s="10">
      <c r="A273" t="inlineStr">
        <is>
          <t>configuration A</t>
        </is>
      </c>
      <c r="B273" t="inlineStr">
        <is>
          <t>Run length matrix (2.5D, direction-merged)</t>
        </is>
      </c>
      <c r="C273" t="inlineStr">
        <is>
          <t>Short runs emphasis</t>
        </is>
      </c>
      <c r="E273" t="inlineStr">
        <is>
          <t>&lt; 3</t>
        </is>
      </c>
      <c r="H273" s="9" t="n"/>
      <c r="I273" s="4">
        <f>IFERROR(IF(NOT(H273=""),ABS(ROUNDDOWN(F273-H273, 3 - (1+INT(LOG10(ABS(F273)))))),""),IF(AND(F273=0,NOT(F273="")),ABS(ROUNDDOWN(F273-H273,0)),""))</f>
        <v/>
      </c>
      <c r="J273" s="4">
        <f>IF(NOT(I273=""),IF(I273&lt;=G273,"match",IF(I273&lt;3*G273,"partial match","no match")),"")</f>
        <v/>
      </c>
      <c r="K273" t="inlineStr">
        <is>
          <t>rlm_sre_2_5D_avg</t>
        </is>
      </c>
    </row>
    <row r="274" ht="15.75" customHeight="1" s="10">
      <c r="A274" t="inlineStr">
        <is>
          <t>configuration A</t>
        </is>
      </c>
      <c r="B274" t="inlineStr">
        <is>
          <t>Run length matrix (2.5D, direction-merged)</t>
        </is>
      </c>
      <c r="C274" t="inlineStr">
        <is>
          <t>Long runs emphasis</t>
        </is>
      </c>
      <c r="E274" t="inlineStr">
        <is>
          <t>&lt; 3</t>
        </is>
      </c>
      <c r="H274" s="9" t="n"/>
      <c r="I274" s="4">
        <f>IFERROR(IF(NOT(H274=""),ABS(ROUNDDOWN(F274-H274, 3 - (1+INT(LOG10(ABS(F274)))))),""),IF(AND(F274=0,NOT(F274="")),ABS(ROUNDDOWN(F274-H274,0)),""))</f>
        <v/>
      </c>
      <c r="J274" s="4">
        <f>IF(NOT(I274=""),IF(I274&lt;=G274,"match",IF(I274&lt;3*G274,"partial match","no match")),"")</f>
        <v/>
      </c>
      <c r="K274" t="inlineStr">
        <is>
          <t>rlm_lre_2_5D_avg</t>
        </is>
      </c>
    </row>
    <row r="275" ht="15.75" customHeight="1" s="10">
      <c r="A275" t="inlineStr">
        <is>
          <t>configuration A</t>
        </is>
      </c>
      <c r="B275" t="inlineStr">
        <is>
          <t>Run length matrix (2.5D, direction-merged)</t>
        </is>
      </c>
      <c r="C275" t="inlineStr">
        <is>
          <t>Low grey level run emphasis</t>
        </is>
      </c>
      <c r="E275" t="inlineStr">
        <is>
          <t>&lt; 3</t>
        </is>
      </c>
      <c r="H275" s="9" t="n"/>
      <c r="I275" s="4">
        <f>IFERROR(IF(NOT(H275=""),ABS(ROUNDDOWN(F275-H275, 3 - (1+INT(LOG10(ABS(F275)))))),""),IF(AND(F275=0,NOT(F275="")),ABS(ROUNDDOWN(F275-H275,0)),""))</f>
        <v/>
      </c>
      <c r="J275" s="4">
        <f>IF(NOT(I275=""),IF(I275&lt;=G275,"match",IF(I275&lt;3*G275,"partial match","no match")),"")</f>
        <v/>
      </c>
      <c r="K275" t="inlineStr">
        <is>
          <t>rlm_lgre_2_5D_avg</t>
        </is>
      </c>
    </row>
    <row r="276" ht="15.75" customHeight="1" s="10">
      <c r="A276" t="inlineStr">
        <is>
          <t>configuration A</t>
        </is>
      </c>
      <c r="B276" t="inlineStr">
        <is>
          <t>Run length matrix (2.5D, direction-merged)</t>
        </is>
      </c>
      <c r="C276" t="inlineStr">
        <is>
          <t>High grey level run emphasis</t>
        </is>
      </c>
      <c r="E276" t="inlineStr">
        <is>
          <t>&lt; 3</t>
        </is>
      </c>
      <c r="H276" s="9" t="n"/>
      <c r="I276" s="4">
        <f>IFERROR(IF(NOT(H276=""),ABS(ROUNDDOWN(F276-H276, 3 - (1+INT(LOG10(ABS(F276)))))),""),IF(AND(F276=0,NOT(F276="")),ABS(ROUNDDOWN(F276-H276,0)),""))</f>
        <v/>
      </c>
      <c r="J276" s="4">
        <f>IF(NOT(I276=""),IF(I276&lt;=G276,"match",IF(I276&lt;3*G276,"partial match","no match")),"")</f>
        <v/>
      </c>
      <c r="K276" t="inlineStr">
        <is>
          <t>rlm_hgre_2_5D_avg</t>
        </is>
      </c>
    </row>
    <row r="277" ht="15.75" customHeight="1" s="10">
      <c r="A277" t="inlineStr">
        <is>
          <t>configuration A</t>
        </is>
      </c>
      <c r="B277" t="inlineStr">
        <is>
          <t>Run length matrix (2.5D, direction-merged)</t>
        </is>
      </c>
      <c r="C277" t="inlineStr">
        <is>
          <t>Short run low grey level emphasis</t>
        </is>
      </c>
      <c r="E277" t="inlineStr">
        <is>
          <t>&lt; 3</t>
        </is>
      </c>
      <c r="H277" s="9" t="n"/>
      <c r="I277" s="4">
        <f>IFERROR(IF(NOT(H277=""),ABS(ROUNDDOWN(F277-H277, 3 - (1+INT(LOG10(ABS(F277)))))),""),IF(AND(F277=0,NOT(F277="")),ABS(ROUNDDOWN(F277-H277,0)),""))</f>
        <v/>
      </c>
      <c r="J277" s="4">
        <f>IF(NOT(I277=""),IF(I277&lt;=G277,"match",IF(I277&lt;3*G277,"partial match","no match")),"")</f>
        <v/>
      </c>
      <c r="K277" t="inlineStr">
        <is>
          <t>rlm_srlge_2_5D_avg</t>
        </is>
      </c>
    </row>
    <row r="278" ht="15.75" customHeight="1" s="10">
      <c r="A278" t="inlineStr">
        <is>
          <t>configuration A</t>
        </is>
      </c>
      <c r="B278" t="inlineStr">
        <is>
          <t>Run length matrix (2.5D, direction-merged)</t>
        </is>
      </c>
      <c r="C278" t="inlineStr">
        <is>
          <t>Short run high grey level emphasis</t>
        </is>
      </c>
      <c r="E278" t="inlineStr">
        <is>
          <t>&lt; 3</t>
        </is>
      </c>
      <c r="H278" s="9" t="n"/>
      <c r="I278" s="4">
        <f>IFERROR(IF(NOT(H278=""),ABS(ROUNDDOWN(F278-H278, 3 - (1+INT(LOG10(ABS(F278)))))),""),IF(AND(F278=0,NOT(F278="")),ABS(ROUNDDOWN(F278-H278,0)),""))</f>
        <v/>
      </c>
      <c r="J278" s="4">
        <f>IF(NOT(I278=""),IF(I278&lt;=G278,"match",IF(I278&lt;3*G278,"partial match","no match")),"")</f>
        <v/>
      </c>
      <c r="K278" t="inlineStr">
        <is>
          <t>rlm_srhge_2_5D_avg</t>
        </is>
      </c>
    </row>
    <row r="279" ht="15.75" customHeight="1" s="10">
      <c r="A279" t="inlineStr">
        <is>
          <t>configuration A</t>
        </is>
      </c>
      <c r="B279" t="inlineStr">
        <is>
          <t>Run length matrix (2.5D, direction-merged)</t>
        </is>
      </c>
      <c r="C279" t="inlineStr">
        <is>
          <t>Long run low grey level emphasis</t>
        </is>
      </c>
      <c r="E279" t="inlineStr">
        <is>
          <t>&lt; 3</t>
        </is>
      </c>
      <c r="H279" s="9" t="n"/>
      <c r="I279" s="4">
        <f>IFERROR(IF(NOT(H279=""),ABS(ROUNDDOWN(F279-H279, 3 - (1+INT(LOG10(ABS(F279)))))),""),IF(AND(F279=0,NOT(F279="")),ABS(ROUNDDOWN(F279-H279,0)),""))</f>
        <v/>
      </c>
      <c r="J279" s="4">
        <f>IF(NOT(I279=""),IF(I279&lt;=G279,"match",IF(I279&lt;3*G279,"partial match","no match")),"")</f>
        <v/>
      </c>
      <c r="K279" t="inlineStr">
        <is>
          <t>rlm_lrlge_2_5D_avg</t>
        </is>
      </c>
    </row>
    <row r="280" ht="15.75" customHeight="1" s="10">
      <c r="A280" t="inlineStr">
        <is>
          <t>configuration A</t>
        </is>
      </c>
      <c r="B280" t="inlineStr">
        <is>
          <t>Run length matrix (2.5D, direction-merged)</t>
        </is>
      </c>
      <c r="C280" t="inlineStr">
        <is>
          <t>Long run high grey level emphasis</t>
        </is>
      </c>
      <c r="E280" t="inlineStr">
        <is>
          <t>&lt; 3</t>
        </is>
      </c>
      <c r="H280" s="9" t="n"/>
      <c r="I280" s="4">
        <f>IFERROR(IF(NOT(H280=""),ABS(ROUNDDOWN(F280-H280, 3 - (1+INT(LOG10(ABS(F280)))))),""),IF(AND(F280=0,NOT(F280="")),ABS(ROUNDDOWN(F280-H280,0)),""))</f>
        <v/>
      </c>
      <c r="J280" s="4">
        <f>IF(NOT(I280=""),IF(I280&lt;=G280,"match",IF(I280&lt;3*G280,"partial match","no match")),"")</f>
        <v/>
      </c>
      <c r="K280" t="inlineStr">
        <is>
          <t>rlm_lrhge_2_5D_avg</t>
        </is>
      </c>
    </row>
    <row r="281" ht="15.75" customHeight="1" s="10">
      <c r="A281" t="inlineStr">
        <is>
          <t>configuration A</t>
        </is>
      </c>
      <c r="B281" t="inlineStr">
        <is>
          <t>Run length matrix (2.5D, direction-merged)</t>
        </is>
      </c>
      <c r="C281" t="inlineStr">
        <is>
          <t>Grey level non-uniformity</t>
        </is>
      </c>
      <c r="E281" t="inlineStr">
        <is>
          <t>&lt; 3</t>
        </is>
      </c>
      <c r="H281" s="9" t="n"/>
      <c r="I281" s="4">
        <f>IFERROR(IF(NOT(H281=""),ABS(ROUNDDOWN(F281-H281, 3 - (1+INT(LOG10(ABS(F281)))))),""),IF(AND(F281=0,NOT(F281="")),ABS(ROUNDDOWN(F281-H281,0)),""))</f>
        <v/>
      </c>
      <c r="J281" s="4">
        <f>IF(NOT(I281=""),IF(I281&lt;=G281,"match",IF(I281&lt;3*G281,"partial match","no match")),"")</f>
        <v/>
      </c>
      <c r="K281" t="inlineStr">
        <is>
          <t>rlm_glnu_2_5D_avg</t>
        </is>
      </c>
    </row>
    <row r="282" ht="15.75" customHeight="1" s="10">
      <c r="A282" t="inlineStr">
        <is>
          <t>configuration A</t>
        </is>
      </c>
      <c r="B282" t="inlineStr">
        <is>
          <t>Run length matrix (2.5D, direction-merged)</t>
        </is>
      </c>
      <c r="C282" t="inlineStr">
        <is>
          <t>Grey level non-uniformity normalised</t>
        </is>
      </c>
      <c r="E282" t="inlineStr">
        <is>
          <t>&lt; 3</t>
        </is>
      </c>
      <c r="H282" s="9" t="n"/>
      <c r="I282" s="4">
        <f>IFERROR(IF(NOT(H282=""),ABS(ROUNDDOWN(F282-H282, 3 - (1+INT(LOG10(ABS(F282)))))),""),IF(AND(F282=0,NOT(F282="")),ABS(ROUNDDOWN(F282-H282,0)),""))</f>
        <v/>
      </c>
      <c r="J282" s="4">
        <f>IF(NOT(I282=""),IF(I282&lt;=G282,"match",IF(I282&lt;3*G282,"partial match","no match")),"")</f>
        <v/>
      </c>
      <c r="K282" t="inlineStr">
        <is>
          <t>rlm_glnu_norm_2_5D_avg</t>
        </is>
      </c>
    </row>
    <row r="283" ht="15.75" customHeight="1" s="10">
      <c r="A283" t="inlineStr">
        <is>
          <t>configuration A</t>
        </is>
      </c>
      <c r="B283" t="inlineStr">
        <is>
          <t>Run length matrix (2.5D, direction-merged)</t>
        </is>
      </c>
      <c r="C283" t="inlineStr">
        <is>
          <t>Run length non-uniformity</t>
        </is>
      </c>
      <c r="E283" t="inlineStr">
        <is>
          <t>&lt; 3</t>
        </is>
      </c>
      <c r="H283" s="9" t="n"/>
      <c r="I283" s="4">
        <f>IFERROR(IF(NOT(H283=""),ABS(ROUNDDOWN(F283-H283, 3 - (1+INT(LOG10(ABS(F283)))))),""),IF(AND(F283=0,NOT(F283="")),ABS(ROUNDDOWN(F283-H283,0)),""))</f>
        <v/>
      </c>
      <c r="J283" s="4">
        <f>IF(NOT(I283=""),IF(I283&lt;=G283,"match",IF(I283&lt;3*G283,"partial match","no match")),"")</f>
        <v/>
      </c>
      <c r="K283" t="inlineStr">
        <is>
          <t>rlm_rlnu_2_5D_avg</t>
        </is>
      </c>
    </row>
    <row r="284" ht="15.75" customHeight="1" s="10">
      <c r="A284" t="inlineStr">
        <is>
          <t>configuration A</t>
        </is>
      </c>
      <c r="B284" t="inlineStr">
        <is>
          <t>Run length matrix (2.5D, direction-merged)</t>
        </is>
      </c>
      <c r="C284" t="inlineStr">
        <is>
          <t>Run length non-uniformity normalised</t>
        </is>
      </c>
      <c r="E284" t="inlineStr">
        <is>
          <t>&lt; 3</t>
        </is>
      </c>
      <c r="H284" s="9" t="n"/>
      <c r="I284" s="4">
        <f>IFERROR(IF(NOT(H284=""),ABS(ROUNDDOWN(F284-H284, 3 - (1+INT(LOG10(ABS(F284)))))),""),IF(AND(F284=0,NOT(F284="")),ABS(ROUNDDOWN(F284-H284,0)),""))</f>
        <v/>
      </c>
      <c r="J284" s="4">
        <f>IF(NOT(I284=""),IF(I284&lt;=G284,"match",IF(I284&lt;3*G284,"partial match","no match")),"")</f>
        <v/>
      </c>
      <c r="K284" t="inlineStr">
        <is>
          <t>rlm_rlnu_norm_2_5D_avg</t>
        </is>
      </c>
    </row>
    <row r="285" ht="15.75" customHeight="1" s="10">
      <c r="A285" t="inlineStr">
        <is>
          <t>configuration A</t>
        </is>
      </c>
      <c r="B285" t="inlineStr">
        <is>
          <t>Run length matrix (2.5D, direction-merged)</t>
        </is>
      </c>
      <c r="C285" t="inlineStr">
        <is>
          <t>Run percentage</t>
        </is>
      </c>
      <c r="E285" t="inlineStr">
        <is>
          <t>&lt; 3</t>
        </is>
      </c>
      <c r="H285" s="9" t="n"/>
      <c r="I285" s="4">
        <f>IFERROR(IF(NOT(H285=""),ABS(ROUNDDOWN(F285-H285, 3 - (1+INT(LOG10(ABS(F285)))))),""),IF(AND(F285=0,NOT(F285="")),ABS(ROUNDDOWN(F285-H285,0)),""))</f>
        <v/>
      </c>
      <c r="J285" s="4">
        <f>IF(NOT(I285=""),IF(I285&lt;=G285,"match",IF(I285&lt;3*G285,"partial match","no match")),"")</f>
        <v/>
      </c>
      <c r="K285" t="inlineStr">
        <is>
          <t>rlm_r_perc_2_5D_avg</t>
        </is>
      </c>
    </row>
    <row r="286" ht="15.75" customHeight="1" s="10">
      <c r="A286" t="inlineStr">
        <is>
          <t>configuration A</t>
        </is>
      </c>
      <c r="B286" t="inlineStr">
        <is>
          <t>Run length matrix (2.5D, direction-merged)</t>
        </is>
      </c>
      <c r="C286" t="inlineStr">
        <is>
          <t>Grey level variance</t>
        </is>
      </c>
      <c r="E286" t="inlineStr">
        <is>
          <t>&lt; 3</t>
        </is>
      </c>
      <c r="H286" s="9" t="n"/>
      <c r="I286" s="4">
        <f>IFERROR(IF(NOT(H286=""),ABS(ROUNDDOWN(F286-H286, 3 - (1+INT(LOG10(ABS(F286)))))),""),IF(AND(F286=0,NOT(F286="")),ABS(ROUNDDOWN(F286-H286,0)),""))</f>
        <v/>
      </c>
      <c r="J286" s="4">
        <f>IF(NOT(I286=""),IF(I286&lt;=G286,"match",IF(I286&lt;3*G286,"partial match","no match")),"")</f>
        <v/>
      </c>
      <c r="K286" t="inlineStr">
        <is>
          <t>rlm_gl_var_2_5D_avg</t>
        </is>
      </c>
    </row>
    <row r="287" ht="15.75" customHeight="1" s="10">
      <c r="A287" t="inlineStr">
        <is>
          <t>configuration A</t>
        </is>
      </c>
      <c r="B287" t="inlineStr">
        <is>
          <t>Run length matrix (2.5D, direction-merged)</t>
        </is>
      </c>
      <c r="C287" t="inlineStr">
        <is>
          <t>Run length variance</t>
        </is>
      </c>
      <c r="E287" t="inlineStr">
        <is>
          <t>&lt; 3</t>
        </is>
      </c>
      <c r="H287" s="9" t="n"/>
      <c r="I287" s="4">
        <f>IFERROR(IF(NOT(H287=""),ABS(ROUNDDOWN(F287-H287, 3 - (1+INT(LOG10(ABS(F287)))))),""),IF(AND(F287=0,NOT(F287="")),ABS(ROUNDDOWN(F287-H287,0)),""))</f>
        <v/>
      </c>
      <c r="J287" s="4">
        <f>IF(NOT(I287=""),IF(I287&lt;=G287,"match",IF(I287&lt;3*G287,"partial match","no match")),"")</f>
        <v/>
      </c>
      <c r="K287" t="inlineStr">
        <is>
          <t>rlm_rl_var_2_5D_avg</t>
        </is>
      </c>
    </row>
    <row r="288" ht="15.75" customHeight="1" s="10">
      <c r="A288" t="inlineStr">
        <is>
          <t>configuration A</t>
        </is>
      </c>
      <c r="B288" t="inlineStr">
        <is>
          <t>Run length matrix (2.5D, direction-merged)</t>
        </is>
      </c>
      <c r="C288" t="inlineStr">
        <is>
          <t>Run entropy</t>
        </is>
      </c>
      <c r="E288" t="inlineStr">
        <is>
          <t>&lt; 3</t>
        </is>
      </c>
      <c r="H288" s="9" t="n"/>
      <c r="I288" s="4">
        <f>IFERROR(IF(NOT(H288=""),ABS(ROUNDDOWN(F288-H288, 3 - (1+INT(LOG10(ABS(F288)))))),""),IF(AND(F288=0,NOT(F288="")),ABS(ROUNDDOWN(F288-H288,0)),""))</f>
        <v/>
      </c>
      <c r="J288" s="4">
        <f>IF(NOT(I288=""),IF(I288&lt;=G288,"match",IF(I288&lt;3*G288,"partial match","no match")),"")</f>
        <v/>
      </c>
      <c r="K288" t="inlineStr">
        <is>
          <t>rlm_rl_entr_2_5D_avg</t>
        </is>
      </c>
    </row>
    <row r="289" ht="15.75" customHeight="1" s="10">
      <c r="A289" t="inlineStr">
        <is>
          <t>configuration A</t>
        </is>
      </c>
      <c r="B289" t="inlineStr">
        <is>
          <t>Run length matrix (2.5D, merged)</t>
        </is>
      </c>
      <c r="C289" t="inlineStr">
        <is>
          <t>Short runs emphasis</t>
        </is>
      </c>
      <c r="E289" t="inlineStr">
        <is>
          <t>&lt; 3</t>
        </is>
      </c>
      <c r="H289" s="9" t="n"/>
      <c r="I289" s="4">
        <f>IFERROR(IF(NOT(H289=""),ABS(ROUNDDOWN(F289-H289, 3 - (1+INT(LOG10(ABS(F289)))))),""),IF(AND(F289=0,NOT(F289="")),ABS(ROUNDDOWN(F289-H289,0)),""))</f>
        <v/>
      </c>
      <c r="J289" s="4">
        <f>IF(NOT(I289=""),IF(I289&lt;=G289,"match",IF(I289&lt;3*G289,"partial match","no match")),"")</f>
        <v/>
      </c>
      <c r="K289" t="inlineStr">
        <is>
          <t>rlm_sre_2_5D_comb</t>
        </is>
      </c>
    </row>
    <row r="290" ht="15.75" customHeight="1" s="10">
      <c r="A290" t="inlineStr">
        <is>
          <t>configuration A</t>
        </is>
      </c>
      <c r="B290" t="inlineStr">
        <is>
          <t>Run length matrix (2.5D, merged)</t>
        </is>
      </c>
      <c r="C290" t="inlineStr">
        <is>
          <t>Long runs emphasis</t>
        </is>
      </c>
      <c r="E290" t="inlineStr">
        <is>
          <t>&lt; 3</t>
        </is>
      </c>
      <c r="H290" s="9" t="n"/>
      <c r="I290" s="4">
        <f>IFERROR(IF(NOT(H290=""),ABS(ROUNDDOWN(F290-H290, 3 - (1+INT(LOG10(ABS(F290)))))),""),IF(AND(F290=0,NOT(F290="")),ABS(ROUNDDOWN(F290-H290,0)),""))</f>
        <v/>
      </c>
      <c r="J290" s="4">
        <f>IF(NOT(I290=""),IF(I290&lt;=G290,"match",IF(I290&lt;3*G290,"partial match","no match")),"")</f>
        <v/>
      </c>
      <c r="K290" t="inlineStr">
        <is>
          <t>rlm_lre_2_5D_comb</t>
        </is>
      </c>
    </row>
    <row r="291" ht="15.75" customHeight="1" s="10">
      <c r="A291" t="inlineStr">
        <is>
          <t>configuration A</t>
        </is>
      </c>
      <c r="B291" t="inlineStr">
        <is>
          <t>Run length matrix (2.5D, merged)</t>
        </is>
      </c>
      <c r="C291" t="inlineStr">
        <is>
          <t>Low grey level run emphasis</t>
        </is>
      </c>
      <c r="E291" t="inlineStr">
        <is>
          <t>&lt; 3</t>
        </is>
      </c>
      <c r="H291" s="9" t="n"/>
      <c r="I291" s="4">
        <f>IFERROR(IF(NOT(H291=""),ABS(ROUNDDOWN(F291-H291, 3 - (1+INT(LOG10(ABS(F291)))))),""),IF(AND(F291=0,NOT(F291="")),ABS(ROUNDDOWN(F291-H291,0)),""))</f>
        <v/>
      </c>
      <c r="J291" s="4">
        <f>IF(NOT(I291=""),IF(I291&lt;=G291,"match",IF(I291&lt;3*G291,"partial match","no match")),"")</f>
        <v/>
      </c>
      <c r="K291" t="inlineStr">
        <is>
          <t>rlm_lgre_2_5D_comb</t>
        </is>
      </c>
    </row>
    <row r="292" ht="15.75" customHeight="1" s="10">
      <c r="A292" t="inlineStr">
        <is>
          <t>configuration A</t>
        </is>
      </c>
      <c r="B292" t="inlineStr">
        <is>
          <t>Run length matrix (2.5D, merged)</t>
        </is>
      </c>
      <c r="C292" t="inlineStr">
        <is>
          <t>High grey level run emphasis</t>
        </is>
      </c>
      <c r="E292" t="inlineStr">
        <is>
          <t>&lt; 3</t>
        </is>
      </c>
      <c r="H292" s="9" t="n"/>
      <c r="I292" s="4">
        <f>IFERROR(IF(NOT(H292=""),ABS(ROUNDDOWN(F292-H292, 3 - (1+INT(LOG10(ABS(F292)))))),""),IF(AND(F292=0,NOT(F292="")),ABS(ROUNDDOWN(F292-H292,0)),""))</f>
        <v/>
      </c>
      <c r="J292" s="4">
        <f>IF(NOT(I292=""),IF(I292&lt;=G292,"match",IF(I292&lt;3*G292,"partial match","no match")),"")</f>
        <v/>
      </c>
      <c r="K292" t="inlineStr">
        <is>
          <t>rlm_hgre_2_5D_comb</t>
        </is>
      </c>
    </row>
    <row r="293" ht="15.75" customHeight="1" s="10">
      <c r="A293" t="inlineStr">
        <is>
          <t>configuration A</t>
        </is>
      </c>
      <c r="B293" t="inlineStr">
        <is>
          <t>Run length matrix (2.5D, merged)</t>
        </is>
      </c>
      <c r="C293" t="inlineStr">
        <is>
          <t>Short run low grey level emphasis</t>
        </is>
      </c>
      <c r="E293" t="inlineStr">
        <is>
          <t>&lt; 3</t>
        </is>
      </c>
      <c r="H293" s="9" t="n"/>
      <c r="I293" s="4">
        <f>IFERROR(IF(NOT(H293=""),ABS(ROUNDDOWN(F293-H293, 3 - (1+INT(LOG10(ABS(F293)))))),""),IF(AND(F293=0,NOT(F293="")),ABS(ROUNDDOWN(F293-H293,0)),""))</f>
        <v/>
      </c>
      <c r="J293" s="4">
        <f>IF(NOT(I293=""),IF(I293&lt;=G293,"match",IF(I293&lt;3*G293,"partial match","no match")),"")</f>
        <v/>
      </c>
      <c r="K293" t="inlineStr">
        <is>
          <t>rlm_srlge_2_5D_comb</t>
        </is>
      </c>
    </row>
    <row r="294" ht="15.75" customHeight="1" s="10">
      <c r="A294" t="inlineStr">
        <is>
          <t>configuration A</t>
        </is>
      </c>
      <c r="B294" t="inlineStr">
        <is>
          <t>Run length matrix (2.5D, merged)</t>
        </is>
      </c>
      <c r="C294" t="inlineStr">
        <is>
          <t>Short run high grey level emphasis</t>
        </is>
      </c>
      <c r="E294" t="inlineStr">
        <is>
          <t>&lt; 3</t>
        </is>
      </c>
      <c r="H294" s="9" t="n"/>
      <c r="I294" s="4">
        <f>IFERROR(IF(NOT(H294=""),ABS(ROUNDDOWN(F294-H294, 3 - (1+INT(LOG10(ABS(F294)))))),""),IF(AND(F294=0,NOT(F294="")),ABS(ROUNDDOWN(F294-H294,0)),""))</f>
        <v/>
      </c>
      <c r="J294" s="4">
        <f>IF(NOT(I294=""),IF(I294&lt;=G294,"match",IF(I294&lt;3*G294,"partial match","no match")),"")</f>
        <v/>
      </c>
      <c r="K294" t="inlineStr">
        <is>
          <t>rlm_srhge_2_5D_comb</t>
        </is>
      </c>
    </row>
    <row r="295" ht="15.75" customHeight="1" s="10">
      <c r="A295" t="inlineStr">
        <is>
          <t>configuration A</t>
        </is>
      </c>
      <c r="B295" t="inlineStr">
        <is>
          <t>Run length matrix (2.5D, merged)</t>
        </is>
      </c>
      <c r="C295" t="inlineStr">
        <is>
          <t>Long run low grey level emphasis</t>
        </is>
      </c>
      <c r="E295" t="inlineStr">
        <is>
          <t>&lt; 3</t>
        </is>
      </c>
      <c r="H295" s="9" t="n"/>
      <c r="I295" s="4">
        <f>IFERROR(IF(NOT(H295=""),ABS(ROUNDDOWN(F295-H295, 3 - (1+INT(LOG10(ABS(F295)))))),""),IF(AND(F295=0,NOT(F295="")),ABS(ROUNDDOWN(F295-H295,0)),""))</f>
        <v/>
      </c>
      <c r="J295" s="4">
        <f>IF(NOT(I295=""),IF(I295&lt;=G295,"match",IF(I295&lt;3*G295,"partial match","no match")),"")</f>
        <v/>
      </c>
      <c r="K295" t="inlineStr">
        <is>
          <t>rlm_lrlge_2_5D_comb</t>
        </is>
      </c>
    </row>
    <row r="296" ht="15.75" customHeight="1" s="10">
      <c r="A296" t="inlineStr">
        <is>
          <t>configuration A</t>
        </is>
      </c>
      <c r="B296" t="inlineStr">
        <is>
          <t>Run length matrix (2.5D, merged)</t>
        </is>
      </c>
      <c r="C296" t="inlineStr">
        <is>
          <t>Long run high grey level emphasis</t>
        </is>
      </c>
      <c r="E296" t="inlineStr">
        <is>
          <t>&lt; 3</t>
        </is>
      </c>
      <c r="H296" s="9" t="n"/>
      <c r="I296" s="4">
        <f>IFERROR(IF(NOT(H296=""),ABS(ROUNDDOWN(F296-H296, 3 - (1+INT(LOG10(ABS(F296)))))),""),IF(AND(F296=0,NOT(F296="")),ABS(ROUNDDOWN(F296-H296,0)),""))</f>
        <v/>
      </c>
      <c r="J296" s="4">
        <f>IF(NOT(I296=""),IF(I296&lt;=G296,"match",IF(I296&lt;3*G296,"partial match","no match")),"")</f>
        <v/>
      </c>
      <c r="K296" t="inlineStr">
        <is>
          <t>rlm_lrhge_2_5D_comb</t>
        </is>
      </c>
    </row>
    <row r="297" ht="15.75" customHeight="1" s="10">
      <c r="A297" t="inlineStr">
        <is>
          <t>configuration A</t>
        </is>
      </c>
      <c r="B297" t="inlineStr">
        <is>
          <t>Run length matrix (2.5D, merged)</t>
        </is>
      </c>
      <c r="C297" t="inlineStr">
        <is>
          <t>Grey level non-uniformity</t>
        </is>
      </c>
      <c r="E297" t="inlineStr">
        <is>
          <t>&lt; 3</t>
        </is>
      </c>
      <c r="H297" s="9" t="n"/>
      <c r="I297" s="4">
        <f>IFERROR(IF(NOT(H297=""),ABS(ROUNDDOWN(F297-H297, 3 - (1+INT(LOG10(ABS(F297)))))),""),IF(AND(F297=0,NOT(F297="")),ABS(ROUNDDOWN(F297-H297,0)),""))</f>
        <v/>
      </c>
      <c r="J297" s="4">
        <f>IF(NOT(I297=""),IF(I297&lt;=G297,"match",IF(I297&lt;3*G297,"partial match","no match")),"")</f>
        <v/>
      </c>
      <c r="K297" t="inlineStr">
        <is>
          <t>rlm_glnu_2_5D_comb</t>
        </is>
      </c>
    </row>
    <row r="298" ht="15.75" customHeight="1" s="10">
      <c r="A298" t="inlineStr">
        <is>
          <t>configuration A</t>
        </is>
      </c>
      <c r="B298" t="inlineStr">
        <is>
          <t>Run length matrix (2.5D, merged)</t>
        </is>
      </c>
      <c r="C298" t="inlineStr">
        <is>
          <t>Grey level non-uniformity normalised</t>
        </is>
      </c>
      <c r="E298" t="inlineStr">
        <is>
          <t>&lt; 3</t>
        </is>
      </c>
      <c r="H298" s="9" t="n"/>
      <c r="I298" s="4">
        <f>IFERROR(IF(NOT(H298=""),ABS(ROUNDDOWN(F298-H298, 3 - (1+INT(LOG10(ABS(F298)))))),""),IF(AND(F298=0,NOT(F298="")),ABS(ROUNDDOWN(F298-H298,0)),""))</f>
        <v/>
      </c>
      <c r="J298" s="4">
        <f>IF(NOT(I298=""),IF(I298&lt;=G298,"match",IF(I298&lt;3*G298,"partial match","no match")),"")</f>
        <v/>
      </c>
      <c r="K298" t="inlineStr">
        <is>
          <t>rlm_glnu_norm_2_5D_comb</t>
        </is>
      </c>
    </row>
    <row r="299" ht="15.75" customHeight="1" s="10">
      <c r="A299" t="inlineStr">
        <is>
          <t>configuration A</t>
        </is>
      </c>
      <c r="B299" t="inlineStr">
        <is>
          <t>Run length matrix (2.5D, merged)</t>
        </is>
      </c>
      <c r="C299" t="inlineStr">
        <is>
          <t>Run length non-uniformity</t>
        </is>
      </c>
      <c r="E299" t="inlineStr">
        <is>
          <t>&lt; 3</t>
        </is>
      </c>
      <c r="H299" s="9" t="n"/>
      <c r="I299" s="4">
        <f>IFERROR(IF(NOT(H299=""),ABS(ROUNDDOWN(F299-H299, 3 - (1+INT(LOG10(ABS(F299)))))),""),IF(AND(F299=0,NOT(F299="")),ABS(ROUNDDOWN(F299-H299,0)),""))</f>
        <v/>
      </c>
      <c r="J299" s="4">
        <f>IF(NOT(I299=""),IF(I299&lt;=G299,"match",IF(I299&lt;3*G299,"partial match","no match")),"")</f>
        <v/>
      </c>
      <c r="K299" t="inlineStr">
        <is>
          <t>rlm_rlnu_2_5D_comb</t>
        </is>
      </c>
    </row>
    <row r="300" ht="15.75" customHeight="1" s="10">
      <c r="A300" t="inlineStr">
        <is>
          <t>configuration A</t>
        </is>
      </c>
      <c r="B300" t="inlineStr">
        <is>
          <t>Run length matrix (2.5D, merged)</t>
        </is>
      </c>
      <c r="C300" t="inlineStr">
        <is>
          <t>Run length non-uniformity normalised</t>
        </is>
      </c>
      <c r="E300" t="inlineStr">
        <is>
          <t>&lt; 3</t>
        </is>
      </c>
      <c r="H300" s="9" t="n"/>
      <c r="I300" s="4">
        <f>IFERROR(IF(NOT(H300=""),ABS(ROUNDDOWN(F300-H300, 3 - (1+INT(LOG10(ABS(F300)))))),""),IF(AND(F300=0,NOT(F300="")),ABS(ROUNDDOWN(F300-H300,0)),""))</f>
        <v/>
      </c>
      <c r="J300" s="4">
        <f>IF(NOT(I300=""),IF(I300&lt;=G300,"match",IF(I300&lt;3*G300,"partial match","no match")),"")</f>
        <v/>
      </c>
      <c r="K300" t="inlineStr">
        <is>
          <t>rlm_rlnu_norm_2_5D_comb</t>
        </is>
      </c>
    </row>
    <row r="301" ht="15.75" customHeight="1" s="10">
      <c r="A301" t="inlineStr">
        <is>
          <t>configuration A</t>
        </is>
      </c>
      <c r="B301" t="inlineStr">
        <is>
          <t>Run length matrix (2.5D, merged)</t>
        </is>
      </c>
      <c r="C301" t="inlineStr">
        <is>
          <t>Run percentage</t>
        </is>
      </c>
      <c r="E301" t="inlineStr">
        <is>
          <t>&lt; 3</t>
        </is>
      </c>
      <c r="H301" s="9" t="n"/>
      <c r="I301" s="4">
        <f>IFERROR(IF(NOT(H301=""),ABS(ROUNDDOWN(F301-H301, 3 - (1+INT(LOG10(ABS(F301)))))),""),IF(AND(F301=0,NOT(F301="")),ABS(ROUNDDOWN(F301-H301,0)),""))</f>
        <v/>
      </c>
      <c r="J301" s="4">
        <f>IF(NOT(I301=""),IF(I301&lt;=G301,"match",IF(I301&lt;3*G301,"partial match","no match")),"")</f>
        <v/>
      </c>
      <c r="K301" t="inlineStr">
        <is>
          <t>rlm_r_perc_2_5D_comb</t>
        </is>
      </c>
    </row>
    <row r="302" ht="15.75" customHeight="1" s="10">
      <c r="A302" t="inlineStr">
        <is>
          <t>configuration A</t>
        </is>
      </c>
      <c r="B302" t="inlineStr">
        <is>
          <t>Run length matrix (2.5D, merged)</t>
        </is>
      </c>
      <c r="C302" t="inlineStr">
        <is>
          <t>Grey level variance</t>
        </is>
      </c>
      <c r="E302" t="inlineStr">
        <is>
          <t>&lt; 3</t>
        </is>
      </c>
      <c r="H302" s="9" t="n"/>
      <c r="I302" s="4">
        <f>IFERROR(IF(NOT(H302=""),ABS(ROUNDDOWN(F302-H302, 3 - (1+INT(LOG10(ABS(F302)))))),""),IF(AND(F302=0,NOT(F302="")),ABS(ROUNDDOWN(F302-H302,0)),""))</f>
        <v/>
      </c>
      <c r="J302" s="4">
        <f>IF(NOT(I302=""),IF(I302&lt;=G302,"match",IF(I302&lt;3*G302,"partial match","no match")),"")</f>
        <v/>
      </c>
      <c r="K302" t="inlineStr">
        <is>
          <t>rlm_gl_var_2_5D_comb</t>
        </is>
      </c>
    </row>
    <row r="303" ht="15.75" customHeight="1" s="10">
      <c r="A303" t="inlineStr">
        <is>
          <t>configuration A</t>
        </is>
      </c>
      <c r="B303" t="inlineStr">
        <is>
          <t>Run length matrix (2.5D, merged)</t>
        </is>
      </c>
      <c r="C303" t="inlineStr">
        <is>
          <t>Run length variance</t>
        </is>
      </c>
      <c r="E303" t="inlineStr">
        <is>
          <t>&lt; 3</t>
        </is>
      </c>
      <c r="H303" s="9" t="n"/>
      <c r="I303" s="4">
        <f>IFERROR(IF(NOT(H303=""),ABS(ROUNDDOWN(F303-H303, 3 - (1+INT(LOG10(ABS(F303)))))),""),IF(AND(F303=0,NOT(F303="")),ABS(ROUNDDOWN(F303-H303,0)),""))</f>
        <v/>
      </c>
      <c r="J303" s="4">
        <f>IF(NOT(I303=""),IF(I303&lt;=G303,"match",IF(I303&lt;3*G303,"partial match","no match")),"")</f>
        <v/>
      </c>
      <c r="K303" t="inlineStr">
        <is>
          <t>rlm_rl_var_2_5D_comb</t>
        </is>
      </c>
    </row>
    <row r="304" ht="15.75" customHeight="1" s="10">
      <c r="A304" t="inlineStr">
        <is>
          <t>configuration A</t>
        </is>
      </c>
      <c r="B304" t="inlineStr">
        <is>
          <t>Run length matrix (2.5D, merged)</t>
        </is>
      </c>
      <c r="C304" t="inlineStr">
        <is>
          <t>Run entropy</t>
        </is>
      </c>
      <c r="E304" t="inlineStr">
        <is>
          <t>&lt; 3</t>
        </is>
      </c>
      <c r="H304" s="9" t="n"/>
      <c r="I304" s="4">
        <f>IFERROR(IF(NOT(H304=""),ABS(ROUNDDOWN(F304-H304, 3 - (1+INT(LOG10(ABS(F304)))))),""),IF(AND(F304=0,NOT(F304="")),ABS(ROUNDDOWN(F304-H304,0)),""))</f>
        <v/>
      </c>
      <c r="J304" s="4">
        <f>IF(NOT(I304=""),IF(I304&lt;=G304,"match",IF(I304&lt;3*G304,"partial match","no match")),"")</f>
        <v/>
      </c>
      <c r="K304" t="inlineStr">
        <is>
          <t>rlm_rl_entr_2_5D_comb</t>
        </is>
      </c>
    </row>
    <row r="305" ht="15.75" customHeight="1" s="10">
      <c r="A305" t="inlineStr">
        <is>
          <t>configuration A</t>
        </is>
      </c>
      <c r="B305" t="inlineStr">
        <is>
          <t>Size zone matrix (2D)</t>
        </is>
      </c>
      <c r="C305" t="inlineStr">
        <is>
          <t>Small zone emphasis</t>
        </is>
      </c>
      <c r="E305" t="inlineStr">
        <is>
          <t>6-9</t>
        </is>
      </c>
      <c r="F305" t="n">
        <v>0.6879999999999999</v>
      </c>
      <c r="G305" t="n">
        <v>0.003</v>
      </c>
      <c r="H305" s="9" t="n"/>
      <c r="I305" s="4">
        <f>IFERROR(IF(NOT(H305=""),ABS(ROUNDDOWN(F305-H305, 3 - (1+INT(LOG10(ABS(F305)))))),""),IF(AND(F305=0,NOT(F305="")),ABS(ROUNDDOWN(F305-H305,0)),""))</f>
        <v/>
      </c>
      <c r="J305" s="4">
        <f>IF(NOT(I305=""),IF(I305&lt;=G305,"match",IF(I305&lt;3*G305,"partial match","no match")),"")</f>
        <v/>
      </c>
      <c r="K305" t="inlineStr">
        <is>
          <t>szm_sze_2D</t>
        </is>
      </c>
    </row>
    <row r="306" ht="15.75" customHeight="1" s="10">
      <c r="A306" t="inlineStr">
        <is>
          <t>configuration A</t>
        </is>
      </c>
      <c r="B306" t="inlineStr">
        <is>
          <t>Size zone matrix (2D)</t>
        </is>
      </c>
      <c r="C306" t="inlineStr">
        <is>
          <t>Large zone emphasis</t>
        </is>
      </c>
      <c r="E306" t="inlineStr">
        <is>
          <t>3-5</t>
        </is>
      </c>
      <c r="F306" t="n">
        <v>625</v>
      </c>
      <c r="G306" t="n">
        <v>9</v>
      </c>
      <c r="H306" s="9" t="n"/>
      <c r="I306" s="4">
        <f>IFERROR(IF(NOT(H306=""),ABS(ROUNDDOWN(F306-H306, 3 - (1+INT(LOG10(ABS(F306)))))),""),IF(AND(F306=0,NOT(F306="")),ABS(ROUNDDOWN(F306-H306,0)),""))</f>
        <v/>
      </c>
      <c r="J306" s="4">
        <f>IF(NOT(I306=""),IF(I306&lt;=G306,"match",IF(I306&lt;3*G306,"partial match","no match")),"")</f>
        <v/>
      </c>
      <c r="K306" t="inlineStr">
        <is>
          <t>szm_lze_2D</t>
        </is>
      </c>
    </row>
    <row r="307" ht="15.75" customHeight="1" s="10">
      <c r="A307" t="inlineStr">
        <is>
          <t>configuration A</t>
        </is>
      </c>
      <c r="B307" t="inlineStr">
        <is>
          <t>Size zone matrix (2D)</t>
        </is>
      </c>
      <c r="C307" t="inlineStr">
        <is>
          <t>Low grey level emphasis</t>
        </is>
      </c>
      <c r="E307" t="inlineStr">
        <is>
          <t>3-5</t>
        </is>
      </c>
      <c r="F307" t="n">
        <v>0.0368</v>
      </c>
      <c r="G307" t="n">
        <v>0.0005</v>
      </c>
      <c r="H307" s="9" t="n"/>
      <c r="I307" s="4">
        <f>IFERROR(IF(NOT(H307=""),ABS(ROUNDDOWN(F307-H307, 3 - (1+INT(LOG10(ABS(F307)))))),""),IF(AND(F307=0,NOT(F307="")),ABS(ROUNDDOWN(F307-H307,0)),""))</f>
        <v/>
      </c>
      <c r="J307" s="4">
        <f>IF(NOT(I307=""),IF(I307&lt;=G307,"match",IF(I307&lt;3*G307,"partial match","no match")),"")</f>
        <v/>
      </c>
      <c r="K307" t="inlineStr">
        <is>
          <t>szm_lgze_2D</t>
        </is>
      </c>
    </row>
    <row r="308" ht="15.75" customHeight="1" s="10">
      <c r="A308" t="inlineStr">
        <is>
          <t>configuration A</t>
        </is>
      </c>
      <c r="B308" t="inlineStr">
        <is>
          <t>Size zone matrix (2D)</t>
        </is>
      </c>
      <c r="C308" t="inlineStr">
        <is>
          <t>High grey level emphasis</t>
        </is>
      </c>
      <c r="E308" t="inlineStr">
        <is>
          <t>6-9</t>
        </is>
      </c>
      <c r="F308" t="n">
        <v>363</v>
      </c>
      <c r="G308" t="n">
        <v>3</v>
      </c>
      <c r="H308" s="9" t="n"/>
      <c r="I308" s="4">
        <f>IFERROR(IF(NOT(H308=""),ABS(ROUNDDOWN(F308-H308, 3 - (1+INT(LOG10(ABS(F308)))))),""),IF(AND(F308=0,NOT(F308="")),ABS(ROUNDDOWN(F308-H308,0)),""))</f>
        <v/>
      </c>
      <c r="J308" s="4">
        <f>IF(NOT(I308=""),IF(I308&lt;=G308,"match",IF(I308&lt;3*G308,"partial match","no match")),"")</f>
        <v/>
      </c>
      <c r="K308" t="inlineStr">
        <is>
          <t>szm_hgze_2D</t>
        </is>
      </c>
    </row>
    <row r="309" ht="15.75" customHeight="1" s="10">
      <c r="A309" t="inlineStr">
        <is>
          <t>configuration A</t>
        </is>
      </c>
      <c r="B309" t="inlineStr">
        <is>
          <t>Size zone matrix (2D)</t>
        </is>
      </c>
      <c r="C309" t="inlineStr">
        <is>
          <t>Small zone low grey level emphasis</t>
        </is>
      </c>
      <c r="E309" t="inlineStr">
        <is>
          <t>6-9</t>
        </is>
      </c>
      <c r="F309" t="n">
        <v>0.0298</v>
      </c>
      <c r="G309" t="n">
        <v>0.0005</v>
      </c>
      <c r="H309" s="9" t="n"/>
      <c r="I309" s="4">
        <f>IFERROR(IF(NOT(H309=""),ABS(ROUNDDOWN(F309-H309, 3 - (1+INT(LOG10(ABS(F309)))))),""),IF(AND(F309=0,NOT(F309="")),ABS(ROUNDDOWN(F309-H309,0)),""))</f>
        <v/>
      </c>
      <c r="J309" s="4">
        <f>IF(NOT(I309=""),IF(I309&lt;=G309,"match",IF(I309&lt;3*G309,"partial match","no match")),"")</f>
        <v/>
      </c>
      <c r="K309" t="inlineStr">
        <is>
          <t>szm_szlge_2D</t>
        </is>
      </c>
    </row>
    <row r="310" ht="15.75" customHeight="1" s="10">
      <c r="A310" t="inlineStr">
        <is>
          <t>configuration A</t>
        </is>
      </c>
      <c r="B310" t="inlineStr">
        <is>
          <t>Size zone matrix (2D)</t>
        </is>
      </c>
      <c r="C310" t="inlineStr">
        <is>
          <t>Small zone high grey level emphasis</t>
        </is>
      </c>
      <c r="E310" t="inlineStr">
        <is>
          <t>6-9</t>
        </is>
      </c>
      <c r="F310" t="n">
        <v>226</v>
      </c>
      <c r="G310" t="n">
        <v>1</v>
      </c>
      <c r="H310" s="9" t="n"/>
      <c r="I310" s="4">
        <f>IFERROR(IF(NOT(H310=""),ABS(ROUNDDOWN(F310-H310, 3 - (1+INT(LOG10(ABS(F310)))))),""),IF(AND(F310=0,NOT(F310="")),ABS(ROUNDDOWN(F310-H310,0)),""))</f>
        <v/>
      </c>
      <c r="J310" s="4">
        <f>IF(NOT(I310=""),IF(I310&lt;=G310,"match",IF(I310&lt;3*G310,"partial match","no match")),"")</f>
        <v/>
      </c>
      <c r="K310" t="inlineStr">
        <is>
          <t>szm_szhge_2D</t>
        </is>
      </c>
    </row>
    <row r="311" ht="15.75" customHeight="1" s="10">
      <c r="A311" t="inlineStr">
        <is>
          <t>configuration A</t>
        </is>
      </c>
      <c r="B311" t="inlineStr">
        <is>
          <t>Size zone matrix (2D)</t>
        </is>
      </c>
      <c r="C311" t="inlineStr">
        <is>
          <t>Large zone low grey level emphasis</t>
        </is>
      </c>
      <c r="E311" t="inlineStr">
        <is>
          <t>3-5</t>
        </is>
      </c>
      <c r="F311" t="n">
        <v>1.35</v>
      </c>
      <c r="G311" t="n">
        <v>0.03</v>
      </c>
      <c r="H311" s="9" t="n"/>
      <c r="I311" s="4">
        <f>IFERROR(IF(NOT(H311=""),ABS(ROUNDDOWN(F311-H311, 3 - (1+INT(LOG10(ABS(F311)))))),""),IF(AND(F311=0,NOT(F311="")),ABS(ROUNDDOWN(F311-H311,0)),""))</f>
        <v/>
      </c>
      <c r="J311" s="4">
        <f>IF(NOT(I311=""),IF(I311&lt;=G311,"match",IF(I311&lt;3*G311,"partial match","no match")),"")</f>
        <v/>
      </c>
      <c r="K311" t="inlineStr">
        <is>
          <t>szm_lzlge_2D</t>
        </is>
      </c>
    </row>
    <row r="312" ht="15.75" customHeight="1" s="10">
      <c r="A312" t="inlineStr">
        <is>
          <t>configuration A</t>
        </is>
      </c>
      <c r="B312" t="inlineStr">
        <is>
          <t>Size zone matrix (2D)</t>
        </is>
      </c>
      <c r="C312" t="inlineStr">
        <is>
          <t>Large zone high grey level emphasis</t>
        </is>
      </c>
      <c r="E312" t="inlineStr">
        <is>
          <t>3-5</t>
        </is>
      </c>
      <c r="F312" t="n">
        <v>316000</v>
      </c>
      <c r="G312" t="n">
        <v>5000</v>
      </c>
      <c r="H312" s="9" t="n"/>
      <c r="I312" s="4">
        <f>IFERROR(IF(NOT(H312=""),ABS(ROUNDDOWN(F312-H312, 3 - (1+INT(LOG10(ABS(F312)))))),""),IF(AND(F312=0,NOT(F312="")),ABS(ROUNDDOWN(F312-H312,0)),""))</f>
        <v/>
      </c>
      <c r="J312" s="4">
        <f>IF(NOT(I312=""),IF(I312&lt;=G312,"match",IF(I312&lt;3*G312,"partial match","no match")),"")</f>
        <v/>
      </c>
      <c r="K312" t="inlineStr">
        <is>
          <t>szm_lzhge_2D</t>
        </is>
      </c>
    </row>
    <row r="313" ht="15.75" customHeight="1" s="10">
      <c r="A313" t="inlineStr">
        <is>
          <t>configuration A</t>
        </is>
      </c>
      <c r="B313" t="inlineStr">
        <is>
          <t>Size zone matrix (2D)</t>
        </is>
      </c>
      <c r="C313" t="inlineStr">
        <is>
          <t>Grey level non-uniformity</t>
        </is>
      </c>
      <c r="E313" t="inlineStr">
        <is>
          <t>3-5</t>
        </is>
      </c>
      <c r="F313" t="n">
        <v>82.2</v>
      </c>
      <c r="G313" t="n">
        <v>0.1</v>
      </c>
      <c r="H313" s="9" t="n"/>
      <c r="I313" s="4">
        <f>IFERROR(IF(NOT(H313=""),ABS(ROUNDDOWN(F313-H313, 3 - (1+INT(LOG10(ABS(F313)))))),""),IF(AND(F313=0,NOT(F313="")),ABS(ROUNDDOWN(F313-H313,0)),""))</f>
        <v/>
      </c>
      <c r="J313" s="4">
        <f>IF(NOT(I313=""),IF(I313&lt;=G313,"match",IF(I313&lt;3*G313,"partial match","no match")),"")</f>
        <v/>
      </c>
      <c r="K313" t="inlineStr">
        <is>
          <t>szm_glnu_2D</t>
        </is>
      </c>
    </row>
    <row r="314" ht="15.75" customHeight="1" s="10">
      <c r="A314" t="inlineStr">
        <is>
          <t>configuration A</t>
        </is>
      </c>
      <c r="B314" t="inlineStr">
        <is>
          <t>Size zone matrix (2D)</t>
        </is>
      </c>
      <c r="C314" t="inlineStr">
        <is>
          <t>Grey level non uniformity normalised</t>
        </is>
      </c>
      <c r="E314" t="inlineStr">
        <is>
          <t>6-9</t>
        </is>
      </c>
      <c r="F314" t="n">
        <v>0.0728</v>
      </c>
      <c r="G314" t="n">
        <v>0.0014</v>
      </c>
      <c r="H314" s="9" t="n"/>
      <c r="I314" s="4">
        <f>IFERROR(IF(NOT(H314=""),ABS(ROUNDDOWN(F314-H314, 3 - (1+INT(LOG10(ABS(F314)))))),""),IF(AND(F314=0,NOT(F314="")),ABS(ROUNDDOWN(F314-H314,0)),""))</f>
        <v/>
      </c>
      <c r="J314" s="4">
        <f>IF(NOT(I314=""),IF(I314&lt;=G314,"match",IF(I314&lt;3*G314,"partial match","no match")),"")</f>
        <v/>
      </c>
      <c r="K314" t="inlineStr">
        <is>
          <t>szm_glnu_norm_2D</t>
        </is>
      </c>
    </row>
    <row r="315" ht="15.75" customHeight="1" s="10">
      <c r="A315" t="inlineStr">
        <is>
          <t>configuration A</t>
        </is>
      </c>
      <c r="B315" t="inlineStr">
        <is>
          <t>Size zone matrix (2D)</t>
        </is>
      </c>
      <c r="C315" t="inlineStr">
        <is>
          <t>Zone size non-uniformity</t>
        </is>
      </c>
      <c r="E315" t="inlineStr">
        <is>
          <t>6-9</t>
        </is>
      </c>
      <c r="F315" t="n">
        <v>479</v>
      </c>
      <c r="G315" t="n">
        <v>4</v>
      </c>
      <c r="H315" s="9" t="n"/>
      <c r="I315" s="4">
        <f>IFERROR(IF(NOT(H315=""),ABS(ROUNDDOWN(F315-H315, 3 - (1+INT(LOG10(ABS(F315)))))),""),IF(AND(F315=0,NOT(F315="")),ABS(ROUNDDOWN(F315-H315,0)),""))</f>
        <v/>
      </c>
      <c r="J315" s="4">
        <f>IF(NOT(I315=""),IF(I315&lt;=G315,"match",IF(I315&lt;3*G315,"partial match","no match")),"")</f>
        <v/>
      </c>
      <c r="K315" t="inlineStr">
        <is>
          <t>szm_zsnu_2D</t>
        </is>
      </c>
    </row>
    <row r="316" ht="15.75" customHeight="1" s="10">
      <c r="A316" t="inlineStr">
        <is>
          <t>configuration A</t>
        </is>
      </c>
      <c r="B316" t="inlineStr">
        <is>
          <t>Size zone matrix (2D)</t>
        </is>
      </c>
      <c r="C316" t="inlineStr">
        <is>
          <t>Zone size non-uniformity normalised</t>
        </is>
      </c>
      <c r="E316" t="inlineStr">
        <is>
          <t>6-9</t>
        </is>
      </c>
      <c r="F316" t="n">
        <v>0.44</v>
      </c>
      <c r="G316" t="n">
        <v>0.004</v>
      </c>
      <c r="H316" s="9" t="n"/>
      <c r="I316" s="4">
        <f>IFERROR(IF(NOT(H316=""),ABS(ROUNDDOWN(F316-H316, 3 - (1+INT(LOG10(ABS(F316)))))),""),IF(AND(F316=0,NOT(F316="")),ABS(ROUNDDOWN(F316-H316,0)),""))</f>
        <v/>
      </c>
      <c r="J316" s="4">
        <f>IF(NOT(I316=""),IF(I316&lt;=G316,"match",IF(I316&lt;3*G316,"partial match","no match")),"")</f>
        <v/>
      </c>
      <c r="K316" t="inlineStr">
        <is>
          <t>szm_zsnu_norm_2D</t>
        </is>
      </c>
    </row>
    <row r="317" ht="15.75" customHeight="1" s="10">
      <c r="A317" t="inlineStr">
        <is>
          <t>configuration A</t>
        </is>
      </c>
      <c r="B317" t="inlineStr">
        <is>
          <t>Size zone matrix (2D)</t>
        </is>
      </c>
      <c r="C317" t="inlineStr">
        <is>
          <t>Zone percentage</t>
        </is>
      </c>
      <c r="E317" t="inlineStr">
        <is>
          <t>6-9</t>
        </is>
      </c>
      <c r="F317" t="n">
        <v>0.3</v>
      </c>
      <c r="G317" t="n">
        <v>0.003</v>
      </c>
      <c r="H317" s="9" t="n"/>
      <c r="I317" s="4">
        <f>IFERROR(IF(NOT(H317=""),ABS(ROUNDDOWN(F317-H317, 3 - (1+INT(LOG10(ABS(F317)))))),""),IF(AND(F317=0,NOT(F317="")),ABS(ROUNDDOWN(F317-H317,0)),""))</f>
        <v/>
      </c>
      <c r="J317" s="4">
        <f>IF(NOT(I317=""),IF(I317&lt;=G317,"match",IF(I317&lt;3*G317,"partial match","no match")),"")</f>
        <v/>
      </c>
      <c r="K317" t="inlineStr">
        <is>
          <t>szm_z_perc_2D</t>
        </is>
      </c>
    </row>
    <row r="318" ht="15.75" customHeight="1" s="10">
      <c r="A318" t="inlineStr">
        <is>
          <t>configuration A</t>
        </is>
      </c>
      <c r="B318" t="inlineStr">
        <is>
          <t>Size zone matrix (2D)</t>
        </is>
      </c>
      <c r="C318" t="inlineStr">
        <is>
          <t>Grey level variance</t>
        </is>
      </c>
      <c r="E318" t="inlineStr">
        <is>
          <t>6-9</t>
        </is>
      </c>
      <c r="F318" t="n">
        <v>42.7</v>
      </c>
      <c r="G318" t="n">
        <v>0.7</v>
      </c>
      <c r="H318" s="9" t="n"/>
      <c r="I318" s="4">
        <f>IFERROR(IF(NOT(H318=""),ABS(ROUNDDOWN(F318-H318, 3 - (1+INT(LOG10(ABS(F318)))))),""),IF(AND(F318=0,NOT(F318="")),ABS(ROUNDDOWN(F318-H318,0)),""))</f>
        <v/>
      </c>
      <c r="J318" s="4">
        <f>IF(NOT(I318=""),IF(I318&lt;=G318,"match",IF(I318&lt;3*G318,"partial match","no match")),"")</f>
        <v/>
      </c>
      <c r="K318" t="inlineStr">
        <is>
          <t>szm_gl_var_2D</t>
        </is>
      </c>
    </row>
    <row r="319" ht="15.75" customHeight="1" s="10">
      <c r="A319" t="inlineStr">
        <is>
          <t>configuration A</t>
        </is>
      </c>
      <c r="B319" t="inlineStr">
        <is>
          <t>Size zone matrix (2D)</t>
        </is>
      </c>
      <c r="C319" t="inlineStr">
        <is>
          <t>Zone size variance</t>
        </is>
      </c>
      <c r="E319" t="inlineStr">
        <is>
          <t>3-5</t>
        </is>
      </c>
      <c r="F319" t="n">
        <v>609</v>
      </c>
      <c r="G319" t="n">
        <v>9</v>
      </c>
      <c r="H319" s="9" t="n"/>
      <c r="I319" s="4">
        <f>IFERROR(IF(NOT(H319=""),ABS(ROUNDDOWN(F319-H319, 3 - (1+INT(LOG10(ABS(F319)))))),""),IF(AND(F319=0,NOT(F319="")),ABS(ROUNDDOWN(F319-H319,0)),""))</f>
        <v/>
      </c>
      <c r="J319" s="4">
        <f>IF(NOT(I319=""),IF(I319&lt;=G319,"match",IF(I319&lt;3*G319,"partial match","no match")),"")</f>
        <v/>
      </c>
      <c r="K319" t="inlineStr">
        <is>
          <t>szm_zs_var_2D</t>
        </is>
      </c>
    </row>
    <row r="320" ht="15.75" customHeight="1" s="10">
      <c r="A320" t="inlineStr">
        <is>
          <t>configuration A</t>
        </is>
      </c>
      <c r="B320" t="inlineStr">
        <is>
          <t>Size zone matrix (2D)</t>
        </is>
      </c>
      <c r="C320" t="inlineStr">
        <is>
          <t>Zone size entropy</t>
        </is>
      </c>
      <c r="E320" t="inlineStr">
        <is>
          <t>6-9</t>
        </is>
      </c>
      <c r="F320" t="n">
        <v>5.92</v>
      </c>
      <c r="G320" t="n">
        <v>0.02</v>
      </c>
      <c r="H320" s="9" t="n"/>
      <c r="I320" s="4">
        <f>IFERROR(IF(NOT(H320=""),ABS(ROUNDDOWN(F320-H320, 3 - (1+INT(LOG10(ABS(F320)))))),""),IF(AND(F320=0,NOT(F320="")),ABS(ROUNDDOWN(F320-H320,0)),""))</f>
        <v/>
      </c>
      <c r="J320" s="4">
        <f>IF(NOT(I320=""),IF(I320&lt;=G320,"match",IF(I320&lt;3*G320,"partial match","no match")),"")</f>
        <v/>
      </c>
      <c r="K320" t="inlineStr">
        <is>
          <t>szm_zs_entr_2D</t>
        </is>
      </c>
    </row>
    <row r="321" ht="15.75" customHeight="1" s="10">
      <c r="A321" t="inlineStr">
        <is>
          <t>configuration A</t>
        </is>
      </c>
      <c r="B321" t="inlineStr">
        <is>
          <t>Size zone matrix (2.5D)</t>
        </is>
      </c>
      <c r="C321" t="inlineStr">
        <is>
          <t>Small zone emphasis</t>
        </is>
      </c>
      <c r="E321" t="inlineStr">
        <is>
          <t>&lt; 3</t>
        </is>
      </c>
      <c r="H321" s="9" t="n"/>
      <c r="I321" s="4">
        <f>IFERROR(IF(NOT(H321=""),ABS(ROUNDDOWN(F321-H321, 3 - (1+INT(LOG10(ABS(F321)))))),""),IF(AND(F321=0,NOT(F321="")),ABS(ROUNDDOWN(F321-H321,0)),""))</f>
        <v/>
      </c>
      <c r="J321" s="4">
        <f>IF(NOT(I321=""),IF(I321&lt;=G321,"match",IF(I321&lt;3*G321,"partial match","no match")),"")</f>
        <v/>
      </c>
      <c r="K321" t="inlineStr">
        <is>
          <t>szm_sze_2_5D</t>
        </is>
      </c>
    </row>
    <row r="322" ht="15.75" customHeight="1" s="10">
      <c r="A322" t="inlineStr">
        <is>
          <t>configuration A</t>
        </is>
      </c>
      <c r="B322" t="inlineStr">
        <is>
          <t>Size zone matrix (2.5D)</t>
        </is>
      </c>
      <c r="C322" t="inlineStr">
        <is>
          <t>Large zone emphasis</t>
        </is>
      </c>
      <c r="E322" t="inlineStr">
        <is>
          <t>&lt; 3</t>
        </is>
      </c>
      <c r="H322" s="9" t="n"/>
      <c r="I322" s="4">
        <f>IFERROR(IF(NOT(H322=""),ABS(ROUNDDOWN(F322-H322, 3 - (1+INT(LOG10(ABS(F322)))))),""),IF(AND(F322=0,NOT(F322="")),ABS(ROUNDDOWN(F322-H322,0)),""))</f>
        <v/>
      </c>
      <c r="J322" s="4">
        <f>IF(NOT(I322=""),IF(I322&lt;=G322,"match",IF(I322&lt;3*G322,"partial match","no match")),"")</f>
        <v/>
      </c>
      <c r="K322" t="inlineStr">
        <is>
          <t>szm_lze_2_5D</t>
        </is>
      </c>
    </row>
    <row r="323" ht="15.75" customHeight="1" s="10">
      <c r="A323" t="inlineStr">
        <is>
          <t>configuration A</t>
        </is>
      </c>
      <c r="B323" t="inlineStr">
        <is>
          <t>Size zone matrix (2.5D)</t>
        </is>
      </c>
      <c r="C323" t="inlineStr">
        <is>
          <t>Low grey level emphasis</t>
        </is>
      </c>
      <c r="E323" t="inlineStr">
        <is>
          <t>&lt; 3</t>
        </is>
      </c>
      <c r="H323" s="9" t="n"/>
      <c r="I323" s="4">
        <f>IFERROR(IF(NOT(H323=""),ABS(ROUNDDOWN(F323-H323, 3 - (1+INT(LOG10(ABS(F323)))))),""),IF(AND(F323=0,NOT(F323="")),ABS(ROUNDDOWN(F323-H323,0)),""))</f>
        <v/>
      </c>
      <c r="J323" s="4">
        <f>IF(NOT(I323=""),IF(I323&lt;=G323,"match",IF(I323&lt;3*G323,"partial match","no match")),"")</f>
        <v/>
      </c>
      <c r="K323" t="inlineStr">
        <is>
          <t>szm_lgze_2_5D</t>
        </is>
      </c>
    </row>
    <row r="324" ht="15.75" customHeight="1" s="10">
      <c r="A324" t="inlineStr">
        <is>
          <t>configuration A</t>
        </is>
      </c>
      <c r="B324" t="inlineStr">
        <is>
          <t>Size zone matrix (2.5D)</t>
        </is>
      </c>
      <c r="C324" t="inlineStr">
        <is>
          <t>High grey level emphasis</t>
        </is>
      </c>
      <c r="E324" t="inlineStr">
        <is>
          <t>&lt; 3</t>
        </is>
      </c>
      <c r="H324" s="9" t="n"/>
      <c r="I324" s="4">
        <f>IFERROR(IF(NOT(H324=""),ABS(ROUNDDOWN(F324-H324, 3 - (1+INT(LOG10(ABS(F324)))))),""),IF(AND(F324=0,NOT(F324="")),ABS(ROUNDDOWN(F324-H324,0)),""))</f>
        <v/>
      </c>
      <c r="J324" s="4">
        <f>IF(NOT(I324=""),IF(I324&lt;=G324,"match",IF(I324&lt;3*G324,"partial match","no match")),"")</f>
        <v/>
      </c>
      <c r="K324" t="inlineStr">
        <is>
          <t>szm_hgze_2_5D</t>
        </is>
      </c>
    </row>
    <row r="325" ht="15.75" customHeight="1" s="10">
      <c r="A325" t="inlineStr">
        <is>
          <t>configuration A</t>
        </is>
      </c>
      <c r="B325" t="inlineStr">
        <is>
          <t>Size zone matrix (2.5D)</t>
        </is>
      </c>
      <c r="C325" t="inlineStr">
        <is>
          <t>Small zone low grey level emphasis</t>
        </is>
      </c>
      <c r="E325" t="inlineStr">
        <is>
          <t>&lt; 3</t>
        </is>
      </c>
      <c r="H325" s="9" t="n"/>
      <c r="I325" s="4">
        <f>IFERROR(IF(NOT(H325=""),ABS(ROUNDDOWN(F325-H325, 3 - (1+INT(LOG10(ABS(F325)))))),""),IF(AND(F325=0,NOT(F325="")),ABS(ROUNDDOWN(F325-H325,0)),""))</f>
        <v/>
      </c>
      <c r="J325" s="4">
        <f>IF(NOT(I325=""),IF(I325&lt;=G325,"match",IF(I325&lt;3*G325,"partial match","no match")),"")</f>
        <v/>
      </c>
      <c r="K325" t="inlineStr">
        <is>
          <t>szm_szlge_2_5D</t>
        </is>
      </c>
    </row>
    <row r="326" ht="15.75" customHeight="1" s="10">
      <c r="A326" t="inlineStr">
        <is>
          <t>configuration A</t>
        </is>
      </c>
      <c r="B326" t="inlineStr">
        <is>
          <t>Size zone matrix (2.5D)</t>
        </is>
      </c>
      <c r="C326" t="inlineStr">
        <is>
          <t>Small zone high grey level emphasis</t>
        </is>
      </c>
      <c r="E326" t="inlineStr">
        <is>
          <t>&lt; 3</t>
        </is>
      </c>
      <c r="H326" s="9" t="n"/>
      <c r="I326" s="4">
        <f>IFERROR(IF(NOT(H326=""),ABS(ROUNDDOWN(F326-H326, 3 - (1+INT(LOG10(ABS(F326)))))),""),IF(AND(F326=0,NOT(F326="")),ABS(ROUNDDOWN(F326-H326,0)),""))</f>
        <v/>
      </c>
      <c r="J326" s="4">
        <f>IF(NOT(I326=""),IF(I326&lt;=G326,"match",IF(I326&lt;3*G326,"partial match","no match")),"")</f>
        <v/>
      </c>
      <c r="K326" t="inlineStr">
        <is>
          <t>szm_szhge_2_5D</t>
        </is>
      </c>
    </row>
    <row r="327" ht="15.75" customHeight="1" s="10">
      <c r="A327" t="inlineStr">
        <is>
          <t>configuration A</t>
        </is>
      </c>
      <c r="B327" t="inlineStr">
        <is>
          <t>Size zone matrix (2.5D)</t>
        </is>
      </c>
      <c r="C327" t="inlineStr">
        <is>
          <t>Large zone low grey level emphasis</t>
        </is>
      </c>
      <c r="E327" t="inlineStr">
        <is>
          <t>&lt; 3</t>
        </is>
      </c>
      <c r="H327" s="9" t="n"/>
      <c r="I327" s="4">
        <f>IFERROR(IF(NOT(H327=""),ABS(ROUNDDOWN(F327-H327, 3 - (1+INT(LOG10(ABS(F327)))))),""),IF(AND(F327=0,NOT(F327="")),ABS(ROUNDDOWN(F327-H327,0)),""))</f>
        <v/>
      </c>
      <c r="J327" s="4">
        <f>IF(NOT(I327=""),IF(I327&lt;=G327,"match",IF(I327&lt;3*G327,"partial match","no match")),"")</f>
        <v/>
      </c>
      <c r="K327" t="inlineStr">
        <is>
          <t>szm_lzlge_2_5D</t>
        </is>
      </c>
    </row>
    <row r="328" ht="15.75" customHeight="1" s="10">
      <c r="A328" t="inlineStr">
        <is>
          <t>configuration A</t>
        </is>
      </c>
      <c r="B328" t="inlineStr">
        <is>
          <t>Size zone matrix (2.5D)</t>
        </is>
      </c>
      <c r="C328" t="inlineStr">
        <is>
          <t>Large zone high grey level emphasis</t>
        </is>
      </c>
      <c r="E328" t="inlineStr">
        <is>
          <t>&lt; 3</t>
        </is>
      </c>
      <c r="H328" s="9" t="n"/>
      <c r="I328" s="4">
        <f>IFERROR(IF(NOT(H328=""),ABS(ROUNDDOWN(F328-H328, 3 - (1+INT(LOG10(ABS(F328)))))),""),IF(AND(F328=0,NOT(F328="")),ABS(ROUNDDOWN(F328-H328,0)),""))</f>
        <v/>
      </c>
      <c r="J328" s="4">
        <f>IF(NOT(I328=""),IF(I328&lt;=G328,"match",IF(I328&lt;3*G328,"partial match","no match")),"")</f>
        <v/>
      </c>
      <c r="K328" t="inlineStr">
        <is>
          <t>szm_lzhge_2_5D</t>
        </is>
      </c>
    </row>
    <row r="329" ht="15.75" customHeight="1" s="10">
      <c r="A329" t="inlineStr">
        <is>
          <t>configuration A</t>
        </is>
      </c>
      <c r="B329" t="inlineStr">
        <is>
          <t>Size zone matrix (2.5D)</t>
        </is>
      </c>
      <c r="C329" t="inlineStr">
        <is>
          <t>Grey level non-uniformity</t>
        </is>
      </c>
      <c r="E329" t="inlineStr">
        <is>
          <t>&lt; 3</t>
        </is>
      </c>
      <c r="H329" s="9" t="n"/>
      <c r="I329" s="4">
        <f>IFERROR(IF(NOT(H329=""),ABS(ROUNDDOWN(F329-H329, 3 - (1+INT(LOG10(ABS(F329)))))),""),IF(AND(F329=0,NOT(F329="")),ABS(ROUNDDOWN(F329-H329,0)),""))</f>
        <v/>
      </c>
      <c r="J329" s="4">
        <f>IF(NOT(I329=""),IF(I329&lt;=G329,"match",IF(I329&lt;3*G329,"partial match","no match")),"")</f>
        <v/>
      </c>
      <c r="K329" t="inlineStr">
        <is>
          <t>szm_glnu_2_5D</t>
        </is>
      </c>
    </row>
    <row r="330" ht="15.75" customHeight="1" s="10">
      <c r="A330" t="inlineStr">
        <is>
          <t>configuration A</t>
        </is>
      </c>
      <c r="B330" t="inlineStr">
        <is>
          <t>Size zone matrix (2.5D)</t>
        </is>
      </c>
      <c r="C330" t="inlineStr">
        <is>
          <t>Grey level non uniformity normalised</t>
        </is>
      </c>
      <c r="E330" t="inlineStr">
        <is>
          <t>&lt; 3</t>
        </is>
      </c>
      <c r="H330" s="9" t="n"/>
      <c r="I330" s="4">
        <f>IFERROR(IF(NOT(H330=""),ABS(ROUNDDOWN(F330-H330, 3 - (1+INT(LOG10(ABS(F330)))))),""),IF(AND(F330=0,NOT(F330="")),ABS(ROUNDDOWN(F330-H330,0)),""))</f>
        <v/>
      </c>
      <c r="J330" s="4">
        <f>IF(NOT(I330=""),IF(I330&lt;=G330,"match",IF(I330&lt;3*G330,"partial match","no match")),"")</f>
        <v/>
      </c>
      <c r="K330" t="inlineStr">
        <is>
          <t>szm_glnu_norm_2_5D</t>
        </is>
      </c>
    </row>
    <row r="331" ht="15.75" customHeight="1" s="10">
      <c r="A331" t="inlineStr">
        <is>
          <t>configuration A</t>
        </is>
      </c>
      <c r="B331" t="inlineStr">
        <is>
          <t>Size zone matrix (2.5D)</t>
        </is>
      </c>
      <c r="C331" t="inlineStr">
        <is>
          <t>Zone size non-uniformity</t>
        </is>
      </c>
      <c r="E331" t="inlineStr">
        <is>
          <t>&lt; 3</t>
        </is>
      </c>
      <c r="H331" s="9" t="n"/>
      <c r="I331" s="4">
        <f>IFERROR(IF(NOT(H331=""),ABS(ROUNDDOWN(F331-H331, 3 - (1+INT(LOG10(ABS(F331)))))),""),IF(AND(F331=0,NOT(F331="")),ABS(ROUNDDOWN(F331-H331,0)),""))</f>
        <v/>
      </c>
      <c r="J331" s="4">
        <f>IF(NOT(I331=""),IF(I331&lt;=G331,"match",IF(I331&lt;3*G331,"partial match","no match")),"")</f>
        <v/>
      </c>
      <c r="K331" t="inlineStr">
        <is>
          <t>szm_zsnu_2_5D</t>
        </is>
      </c>
    </row>
    <row r="332" ht="15.75" customHeight="1" s="10">
      <c r="A332" t="inlineStr">
        <is>
          <t>configuration A</t>
        </is>
      </c>
      <c r="B332" t="inlineStr">
        <is>
          <t>Size zone matrix (2.5D)</t>
        </is>
      </c>
      <c r="C332" t="inlineStr">
        <is>
          <t>Zone size non-uniformity normalised</t>
        </is>
      </c>
      <c r="E332" t="inlineStr">
        <is>
          <t>&lt; 3</t>
        </is>
      </c>
      <c r="H332" s="9" t="n"/>
      <c r="I332" s="4">
        <f>IFERROR(IF(NOT(H332=""),ABS(ROUNDDOWN(F332-H332, 3 - (1+INT(LOG10(ABS(F332)))))),""),IF(AND(F332=0,NOT(F332="")),ABS(ROUNDDOWN(F332-H332,0)),""))</f>
        <v/>
      </c>
      <c r="J332" s="4">
        <f>IF(NOT(I332=""),IF(I332&lt;=G332,"match",IF(I332&lt;3*G332,"partial match","no match")),"")</f>
        <v/>
      </c>
      <c r="K332" t="inlineStr">
        <is>
          <t>szm_zsnu_norm_2_5D</t>
        </is>
      </c>
    </row>
    <row r="333" ht="15.75" customHeight="1" s="10">
      <c r="A333" t="inlineStr">
        <is>
          <t>configuration A</t>
        </is>
      </c>
      <c r="B333" t="inlineStr">
        <is>
          <t>Size zone matrix (2.5D)</t>
        </is>
      </c>
      <c r="C333" t="inlineStr">
        <is>
          <t>Zone percentage</t>
        </is>
      </c>
      <c r="E333" t="inlineStr">
        <is>
          <t>&lt; 3</t>
        </is>
      </c>
      <c r="H333" s="9" t="n"/>
      <c r="I333" s="4">
        <f>IFERROR(IF(NOT(H333=""),ABS(ROUNDDOWN(F333-H333, 3 - (1+INT(LOG10(ABS(F333)))))),""),IF(AND(F333=0,NOT(F333="")),ABS(ROUNDDOWN(F333-H333,0)),""))</f>
        <v/>
      </c>
      <c r="J333" s="4">
        <f>IF(NOT(I333=""),IF(I333&lt;=G333,"match",IF(I333&lt;3*G333,"partial match","no match")),"")</f>
        <v/>
      </c>
      <c r="K333" t="inlineStr">
        <is>
          <t>szm_z_perc_2_5D</t>
        </is>
      </c>
    </row>
    <row r="334" ht="15.75" customHeight="1" s="10">
      <c r="A334" t="inlineStr">
        <is>
          <t>configuration A</t>
        </is>
      </c>
      <c r="B334" t="inlineStr">
        <is>
          <t>Size zone matrix (2.5D)</t>
        </is>
      </c>
      <c r="C334" t="inlineStr">
        <is>
          <t>Grey level variance</t>
        </is>
      </c>
      <c r="E334" t="inlineStr">
        <is>
          <t>&lt; 3</t>
        </is>
      </c>
      <c r="H334" s="9" t="n"/>
      <c r="I334" s="4">
        <f>IFERROR(IF(NOT(H334=""),ABS(ROUNDDOWN(F334-H334, 3 - (1+INT(LOG10(ABS(F334)))))),""),IF(AND(F334=0,NOT(F334="")),ABS(ROUNDDOWN(F334-H334,0)),""))</f>
        <v/>
      </c>
      <c r="J334" s="4">
        <f>IF(NOT(I334=""),IF(I334&lt;=G334,"match",IF(I334&lt;3*G334,"partial match","no match")),"")</f>
        <v/>
      </c>
      <c r="K334" t="inlineStr">
        <is>
          <t>szm_gl_var_2_5D</t>
        </is>
      </c>
    </row>
    <row r="335" ht="15.75" customHeight="1" s="10">
      <c r="A335" t="inlineStr">
        <is>
          <t>configuration A</t>
        </is>
      </c>
      <c r="B335" t="inlineStr">
        <is>
          <t>Size zone matrix (2.5D)</t>
        </is>
      </c>
      <c r="C335" t="inlineStr">
        <is>
          <t>Zone size variance</t>
        </is>
      </c>
      <c r="E335" t="inlineStr">
        <is>
          <t>&lt; 3</t>
        </is>
      </c>
      <c r="H335" s="9" t="n"/>
      <c r="I335" s="4">
        <f>IFERROR(IF(NOT(H335=""),ABS(ROUNDDOWN(F335-H335, 3 - (1+INT(LOG10(ABS(F335)))))),""),IF(AND(F335=0,NOT(F335="")),ABS(ROUNDDOWN(F335-H335,0)),""))</f>
        <v/>
      </c>
      <c r="J335" s="4">
        <f>IF(NOT(I335=""),IF(I335&lt;=G335,"match",IF(I335&lt;3*G335,"partial match","no match")),"")</f>
        <v/>
      </c>
      <c r="K335" t="inlineStr">
        <is>
          <t>szm_zs_var_2_5D</t>
        </is>
      </c>
    </row>
    <row r="336" ht="15.75" customHeight="1" s="10">
      <c r="A336" t="inlineStr">
        <is>
          <t>configuration A</t>
        </is>
      </c>
      <c r="B336" t="inlineStr">
        <is>
          <t>Size zone matrix (2.5D)</t>
        </is>
      </c>
      <c r="C336" t="inlineStr">
        <is>
          <t>Zone size entropy</t>
        </is>
      </c>
      <c r="E336" t="inlineStr">
        <is>
          <t>&lt; 3</t>
        </is>
      </c>
      <c r="H336" s="9" t="n"/>
      <c r="I336" s="4">
        <f>IFERROR(IF(NOT(H336=""),ABS(ROUNDDOWN(F336-H336, 3 - (1+INT(LOG10(ABS(F336)))))),""),IF(AND(F336=0,NOT(F336="")),ABS(ROUNDDOWN(F336-H336,0)),""))</f>
        <v/>
      </c>
      <c r="J336" s="4">
        <f>IF(NOT(I336=""),IF(I336&lt;=G336,"match",IF(I336&lt;3*G336,"partial match","no match")),"")</f>
        <v/>
      </c>
      <c r="K336" t="inlineStr">
        <is>
          <t>szm_zs_entr_2_5D</t>
        </is>
      </c>
    </row>
    <row r="337" ht="15.75" customHeight="1" s="10">
      <c r="A337" t="inlineStr">
        <is>
          <t>configuration A</t>
        </is>
      </c>
      <c r="B337" t="inlineStr">
        <is>
          <t>Distance zone matrix (2D)</t>
        </is>
      </c>
      <c r="C337" t="inlineStr">
        <is>
          <t>Small distance emphasis</t>
        </is>
      </c>
      <c r="E337" t="inlineStr">
        <is>
          <t>3-5</t>
        </is>
      </c>
      <c r="F337" t="n">
        <v>0.191</v>
      </c>
      <c r="G337" t="n">
        <v>0.006</v>
      </c>
      <c r="H337" s="9" t="n"/>
      <c r="I337" s="4">
        <f>IFERROR(IF(NOT(H337=""),ABS(ROUNDDOWN(F337-H337, 3 - (1+INT(LOG10(ABS(F337)))))),""),IF(AND(F337=0,NOT(F337="")),ABS(ROUNDDOWN(F337-H337,0)),""))</f>
        <v/>
      </c>
      <c r="J337" s="4">
        <f>IF(NOT(I337=""),IF(I337&lt;=G337,"match",IF(I337&lt;3*G337,"partial match","no match")),"")</f>
        <v/>
      </c>
      <c r="K337" t="inlineStr">
        <is>
          <t>dzm_sde_2D</t>
        </is>
      </c>
    </row>
    <row r="338" ht="15.75" customHeight="1" s="10">
      <c r="A338" t="inlineStr">
        <is>
          <t>configuration A</t>
        </is>
      </c>
      <c r="B338" t="inlineStr">
        <is>
          <t>Distance zone matrix (2D)</t>
        </is>
      </c>
      <c r="C338" t="inlineStr">
        <is>
          <t>Large distance emphasis</t>
        </is>
      </c>
      <c r="E338" t="inlineStr">
        <is>
          <t>3-5</t>
        </is>
      </c>
      <c r="F338" t="n">
        <v>162</v>
      </c>
      <c r="G338" t="n">
        <v>1</v>
      </c>
      <c r="H338" s="9" t="n"/>
      <c r="I338" s="4">
        <f>IFERROR(IF(NOT(H338=""),ABS(ROUNDDOWN(F338-H338, 3 - (1+INT(LOG10(ABS(F338)))))),""),IF(AND(F338=0,NOT(F338="")),ABS(ROUNDDOWN(F338-H338,0)),""))</f>
        <v/>
      </c>
      <c r="J338" s="4">
        <f>IF(NOT(I338=""),IF(I338&lt;=G338,"match",IF(I338&lt;3*G338,"partial match","no match")),"")</f>
        <v/>
      </c>
      <c r="K338" t="inlineStr">
        <is>
          <t>dzm_lde_2D</t>
        </is>
      </c>
    </row>
    <row r="339" ht="15.75" customHeight="1" s="10">
      <c r="A339" t="inlineStr">
        <is>
          <t>configuration A</t>
        </is>
      </c>
      <c r="B339" t="inlineStr">
        <is>
          <t>Distance zone matrix (2D)</t>
        </is>
      </c>
      <c r="C339" t="inlineStr">
        <is>
          <t>Low grey level emphasis</t>
        </is>
      </c>
      <c r="E339" t="inlineStr">
        <is>
          <t>3-5</t>
        </is>
      </c>
      <c r="F339" t="n">
        <v>0.0376</v>
      </c>
      <c r="G339" t="n">
        <v>0.0005</v>
      </c>
      <c r="H339" s="9" t="n"/>
      <c r="I339" s="4">
        <f>IFERROR(IF(NOT(H339=""),ABS(ROUNDDOWN(F339-H339, 3 - (1+INT(LOG10(ABS(F339)))))),""),IF(AND(F339=0,NOT(F339="")),ABS(ROUNDDOWN(F339-H339,0)),""))</f>
        <v/>
      </c>
      <c r="J339" s="4">
        <f>IF(NOT(I339=""),IF(I339&lt;=G339,"match",IF(I339&lt;3*G339,"partial match","no match")),"")</f>
        <v/>
      </c>
      <c r="K339" t="inlineStr">
        <is>
          <t>dzm_lgze_2D</t>
        </is>
      </c>
    </row>
    <row r="340" ht="15.75" customHeight="1" s="10">
      <c r="A340" t="inlineStr">
        <is>
          <t>configuration A</t>
        </is>
      </c>
      <c r="B340" t="inlineStr">
        <is>
          <t>Distance zone matrix (2D)</t>
        </is>
      </c>
      <c r="C340" t="inlineStr">
        <is>
          <t>High grey level emphasis</t>
        </is>
      </c>
      <c r="E340" t="inlineStr">
        <is>
          <t>3-5</t>
        </is>
      </c>
      <c r="F340" t="n">
        <v>362</v>
      </c>
      <c r="G340" t="n">
        <v>3</v>
      </c>
      <c r="H340" s="9" t="n"/>
      <c r="I340" s="4">
        <f>IFERROR(IF(NOT(H340=""),ABS(ROUNDDOWN(F340-H340, 3 - (1+INT(LOG10(ABS(F340)))))),""),IF(AND(F340=0,NOT(F340="")),ABS(ROUNDDOWN(F340-H340,0)),""))</f>
        <v/>
      </c>
      <c r="J340" s="4">
        <f>IF(NOT(I340=""),IF(I340&lt;=G340,"match",IF(I340&lt;3*G340,"partial match","no match")),"")</f>
        <v/>
      </c>
      <c r="K340" t="inlineStr">
        <is>
          <t>dzm_hgze_2D</t>
        </is>
      </c>
    </row>
    <row r="341" ht="15.75" customHeight="1" s="10">
      <c r="A341" t="inlineStr">
        <is>
          <t>configuration A</t>
        </is>
      </c>
      <c r="B341" t="inlineStr">
        <is>
          <t>Distance zone matrix (2D)</t>
        </is>
      </c>
      <c r="C341" t="inlineStr">
        <is>
          <t>Small distance low grey level emphasis</t>
        </is>
      </c>
      <c r="E341" t="inlineStr">
        <is>
          <t>3-5</t>
        </is>
      </c>
      <c r="F341" t="n">
        <v>0.00942</v>
      </c>
      <c r="G341" t="n">
        <v>0.00023</v>
      </c>
      <c r="H341" s="9" t="n"/>
      <c r="I341" s="4">
        <f>IFERROR(IF(NOT(H341=""),ABS(ROUNDDOWN(F341-H341, 3 - (1+INT(LOG10(ABS(F341)))))),""),IF(AND(F341=0,NOT(F341="")),ABS(ROUNDDOWN(F341-H341,0)),""))</f>
        <v/>
      </c>
      <c r="J341" s="4">
        <f>IF(NOT(I341=""),IF(I341&lt;=G341,"match",IF(I341&lt;3*G341,"partial match","no match")),"")</f>
        <v/>
      </c>
      <c r="K341" t="inlineStr">
        <is>
          <t>dzm_sdlge_2D</t>
        </is>
      </c>
    </row>
    <row r="342" ht="15.75" customHeight="1" s="10">
      <c r="A342" t="inlineStr">
        <is>
          <t>configuration A</t>
        </is>
      </c>
      <c r="B342" t="inlineStr">
        <is>
          <t>Distance zone matrix (2D)</t>
        </is>
      </c>
      <c r="C342" t="inlineStr">
        <is>
          <t>Small distance high grey level emphasis</t>
        </is>
      </c>
      <c r="E342" t="inlineStr">
        <is>
          <t>3-5</t>
        </is>
      </c>
      <c r="F342" t="n">
        <v>60.1</v>
      </c>
      <c r="G342" t="n">
        <v>3.3</v>
      </c>
      <c r="H342" s="9" t="n"/>
      <c r="I342" s="4">
        <f>IFERROR(IF(NOT(H342=""),ABS(ROUNDDOWN(F342-H342, 3 - (1+INT(LOG10(ABS(F342)))))),""),IF(AND(F342=0,NOT(F342="")),ABS(ROUNDDOWN(F342-H342,0)),""))</f>
        <v/>
      </c>
      <c r="J342" s="4">
        <f>IF(NOT(I342=""),IF(I342&lt;=G342,"match",IF(I342&lt;3*G342,"partial match","no match")),"")</f>
        <v/>
      </c>
      <c r="K342" t="inlineStr">
        <is>
          <t>dzm_sdhge_2D</t>
        </is>
      </c>
    </row>
    <row r="343" ht="15.75" customHeight="1" s="10">
      <c r="A343" t="inlineStr">
        <is>
          <t>configuration A</t>
        </is>
      </c>
      <c r="B343" t="inlineStr">
        <is>
          <t>Distance zone matrix (2D)</t>
        </is>
      </c>
      <c r="C343" t="inlineStr">
        <is>
          <t>Large distance low grey level emphasis</t>
        </is>
      </c>
      <c r="E343" t="inlineStr">
        <is>
          <t>3-5</t>
        </is>
      </c>
      <c r="F343" t="n">
        <v>2.97</v>
      </c>
      <c r="G343" t="n">
        <v>0.02</v>
      </c>
      <c r="H343" s="9" t="n"/>
      <c r="I343" s="4">
        <f>IFERROR(IF(NOT(H343=""),ABS(ROUNDDOWN(F343-H343, 3 - (1+INT(LOG10(ABS(F343)))))),""),IF(AND(F343=0,NOT(F343="")),ABS(ROUNDDOWN(F343-H343,0)),""))</f>
        <v/>
      </c>
      <c r="J343" s="4">
        <f>IF(NOT(I343=""),IF(I343&lt;=G343,"match",IF(I343&lt;3*G343,"partial match","no match")),"")</f>
        <v/>
      </c>
      <c r="K343" t="inlineStr">
        <is>
          <t>dzm_ldlge_2D</t>
        </is>
      </c>
    </row>
    <row r="344" ht="15.75" customHeight="1" s="10">
      <c r="A344" t="inlineStr">
        <is>
          <t>configuration A</t>
        </is>
      </c>
      <c r="B344" t="inlineStr">
        <is>
          <t>Distance zone matrix (2D)</t>
        </is>
      </c>
      <c r="C344" t="inlineStr">
        <is>
          <t>Large distance high grey level emphasis</t>
        </is>
      </c>
      <c r="E344" t="inlineStr">
        <is>
          <t>3-5</t>
        </is>
      </c>
      <c r="F344" t="n">
        <v>70500</v>
      </c>
      <c r="G344" t="n">
        <v>100</v>
      </c>
      <c r="H344" s="9" t="n"/>
      <c r="I344" s="4">
        <f>IFERROR(IF(NOT(H344=""),ABS(ROUNDDOWN(F344-H344, 3 - (1+INT(LOG10(ABS(F344)))))),""),IF(AND(F344=0,NOT(F344="")),ABS(ROUNDDOWN(F344-H344,0)),""))</f>
        <v/>
      </c>
      <c r="J344" s="4">
        <f>IF(NOT(I344=""),IF(I344&lt;=G344,"match",IF(I344&lt;3*G344,"partial match","no match")),"")</f>
        <v/>
      </c>
      <c r="K344" t="inlineStr">
        <is>
          <t>dzm_ldhge_2D</t>
        </is>
      </c>
    </row>
    <row r="345" ht="15.75" customHeight="1" s="10">
      <c r="A345" t="inlineStr">
        <is>
          <t>configuration A</t>
        </is>
      </c>
      <c r="B345" t="inlineStr">
        <is>
          <t>Distance zone matrix (2D)</t>
        </is>
      </c>
      <c r="C345" t="inlineStr">
        <is>
          <t>Grey level non-uniformity</t>
        </is>
      </c>
      <c r="E345" t="inlineStr">
        <is>
          <t>3-5</t>
        </is>
      </c>
      <c r="F345" t="n">
        <v>82.59999999999999</v>
      </c>
      <c r="G345" t="n">
        <v>0.1</v>
      </c>
      <c r="H345" s="9" t="n"/>
      <c r="I345" s="4">
        <f>IFERROR(IF(NOT(H345=""),ABS(ROUNDDOWN(F345-H345, 3 - (1+INT(LOG10(ABS(F345)))))),""),IF(AND(F345=0,NOT(F345="")),ABS(ROUNDDOWN(F345-H345,0)),""))</f>
        <v/>
      </c>
      <c r="J345" s="4">
        <f>IF(NOT(I345=""),IF(I345&lt;=G345,"match",IF(I345&lt;3*G345,"partial match","no match")),"")</f>
        <v/>
      </c>
      <c r="K345" t="inlineStr">
        <is>
          <t>dzm_glnu_2D</t>
        </is>
      </c>
    </row>
    <row r="346" ht="15.75" customHeight="1" s="10">
      <c r="A346" t="inlineStr">
        <is>
          <t>configuration A</t>
        </is>
      </c>
      <c r="B346" t="inlineStr">
        <is>
          <t>Distance zone matrix (2D)</t>
        </is>
      </c>
      <c r="C346" t="inlineStr">
        <is>
          <t>Grey level non-uniformity normalised</t>
        </is>
      </c>
      <c r="E346" t="inlineStr">
        <is>
          <t>3-5</t>
        </is>
      </c>
      <c r="F346" t="n">
        <v>0.0728</v>
      </c>
      <c r="G346" t="n">
        <v>0.0014</v>
      </c>
      <c r="H346" s="9" t="n"/>
      <c r="I346" s="4">
        <f>IFERROR(IF(NOT(H346=""),ABS(ROUNDDOWN(F346-H346, 3 - (1+INT(LOG10(ABS(F346)))))),""),IF(AND(F346=0,NOT(F346="")),ABS(ROUNDDOWN(F346-H346,0)),""))</f>
        <v/>
      </c>
      <c r="J346" s="4">
        <f>IF(NOT(I346=""),IF(I346&lt;=G346,"match",IF(I346&lt;3*G346,"partial match","no match")),"")</f>
        <v/>
      </c>
      <c r="K346" t="inlineStr">
        <is>
          <t>dzm_glnu_norm_2D</t>
        </is>
      </c>
    </row>
    <row r="347" ht="15.75" customHeight="1" s="10">
      <c r="A347" t="inlineStr">
        <is>
          <t>configuration A</t>
        </is>
      </c>
      <c r="B347" t="inlineStr">
        <is>
          <t>Distance zone matrix (2D)</t>
        </is>
      </c>
      <c r="C347" t="inlineStr">
        <is>
          <t>Zone distance non-uniformity</t>
        </is>
      </c>
      <c r="E347" t="inlineStr">
        <is>
          <t>3-5</t>
        </is>
      </c>
      <c r="F347" t="n">
        <v>63.5</v>
      </c>
      <c r="G347" t="n">
        <v>0.4</v>
      </c>
      <c r="H347" s="9" t="n"/>
      <c r="I347" s="4">
        <f>IFERROR(IF(NOT(H347=""),ABS(ROUNDDOWN(F347-H347, 3 - (1+INT(LOG10(ABS(F347)))))),""),IF(AND(F347=0,NOT(F347="")),ABS(ROUNDDOWN(F347-H347,0)),""))</f>
        <v/>
      </c>
      <c r="J347" s="4">
        <f>IF(NOT(I347=""),IF(I347&lt;=G347,"match",IF(I347&lt;3*G347,"partial match","no match")),"")</f>
        <v/>
      </c>
      <c r="K347" t="inlineStr">
        <is>
          <t>dzm_zdnu_2D</t>
        </is>
      </c>
    </row>
    <row r="348" ht="15.75" customHeight="1" s="10">
      <c r="A348" t="inlineStr">
        <is>
          <t>configuration A</t>
        </is>
      </c>
      <c r="B348" t="inlineStr">
        <is>
          <t>Distance zone matrix (2D)</t>
        </is>
      </c>
      <c r="C348" t="inlineStr">
        <is>
          <t>Zone distance non-uniformity normalised</t>
        </is>
      </c>
      <c r="E348" t="inlineStr">
        <is>
          <t>3-5</t>
        </is>
      </c>
      <c r="F348" t="n">
        <v>0.0716</v>
      </c>
      <c r="G348" t="n">
        <v>0.0023</v>
      </c>
      <c r="H348" s="9" t="n"/>
      <c r="I348" s="4">
        <f>IFERROR(IF(NOT(H348=""),ABS(ROUNDDOWN(F348-H348, 3 - (1+INT(LOG10(ABS(F348)))))),""),IF(AND(F348=0,NOT(F348="")),ABS(ROUNDDOWN(F348-H348,0)),""))</f>
        <v/>
      </c>
      <c r="J348" s="4">
        <f>IF(NOT(I348=""),IF(I348&lt;=G348,"match",IF(I348&lt;3*G348,"partial match","no match")),"")</f>
        <v/>
      </c>
      <c r="K348" t="inlineStr">
        <is>
          <t>dzm_zdnu_norm_2D</t>
        </is>
      </c>
    </row>
    <row r="349" ht="15.75" customHeight="1" s="10">
      <c r="A349" t="inlineStr">
        <is>
          <t>configuration A</t>
        </is>
      </c>
      <c r="B349" t="inlineStr">
        <is>
          <t>Distance zone matrix (2D)</t>
        </is>
      </c>
      <c r="C349" t="inlineStr">
        <is>
          <t>Zone percentage</t>
        </is>
      </c>
      <c r="E349" t="inlineStr">
        <is>
          <t>3-5</t>
        </is>
      </c>
      <c r="F349" t="n">
        <v>0.299</v>
      </c>
      <c r="G349" t="n">
        <v>0.003</v>
      </c>
      <c r="H349" s="9" t="n"/>
      <c r="I349" s="4">
        <f>IFERROR(IF(NOT(H349=""),ABS(ROUNDDOWN(F349-H349, 3 - (1+INT(LOG10(ABS(F349)))))),""),IF(AND(F349=0,NOT(F349="")),ABS(ROUNDDOWN(F349-H349,0)),""))</f>
        <v/>
      </c>
      <c r="J349" s="4">
        <f>IF(NOT(I349=""),IF(I349&lt;=G349,"match",IF(I349&lt;3*G349,"partial match","no match")),"")</f>
        <v/>
      </c>
      <c r="K349" t="inlineStr">
        <is>
          <t>dzm_z_perc_2D</t>
        </is>
      </c>
    </row>
    <row r="350" ht="15.75" customHeight="1" s="10">
      <c r="A350" t="inlineStr">
        <is>
          <t>configuration A</t>
        </is>
      </c>
      <c r="B350" t="inlineStr">
        <is>
          <t>Distance zone matrix (2D)</t>
        </is>
      </c>
      <c r="C350" t="inlineStr">
        <is>
          <t>Grey level variance</t>
        </is>
      </c>
      <c r="E350" t="inlineStr">
        <is>
          <t>3-5</t>
        </is>
      </c>
      <c r="F350" t="n">
        <v>42.6</v>
      </c>
      <c r="G350" t="n">
        <v>0.7</v>
      </c>
      <c r="H350" s="9" t="n"/>
      <c r="I350" s="4">
        <f>IFERROR(IF(NOT(H350=""),ABS(ROUNDDOWN(F350-H350, 3 - (1+INT(LOG10(ABS(F350)))))),""),IF(AND(F350=0,NOT(F350="")),ABS(ROUNDDOWN(F350-H350,0)),""))</f>
        <v/>
      </c>
      <c r="J350" s="4">
        <f>IF(NOT(I350=""),IF(I350&lt;=G350,"match",IF(I350&lt;3*G350,"partial match","no match")),"")</f>
        <v/>
      </c>
      <c r="K350" t="inlineStr">
        <is>
          <t>dzm_gl_var_2D</t>
        </is>
      </c>
    </row>
    <row r="351" ht="15.75" customHeight="1" s="10">
      <c r="A351" t="inlineStr">
        <is>
          <t>configuration A</t>
        </is>
      </c>
      <c r="B351" t="inlineStr">
        <is>
          <t>Distance zone matrix (2D)</t>
        </is>
      </c>
      <c r="C351" t="inlineStr">
        <is>
          <t>Zone distance variance</t>
        </is>
      </c>
      <c r="E351" t="inlineStr">
        <is>
          <t>3-5</t>
        </is>
      </c>
      <c r="F351" t="n">
        <v>69.7</v>
      </c>
      <c r="G351" t="n">
        <v>0.1</v>
      </c>
      <c r="H351" s="9" t="n"/>
      <c r="I351" s="4">
        <f>IFERROR(IF(NOT(H351=""),ABS(ROUNDDOWN(F351-H351, 3 - (1+INT(LOG10(ABS(F351)))))),""),IF(AND(F351=0,NOT(F351="")),ABS(ROUNDDOWN(F351-H351,0)),""))</f>
        <v/>
      </c>
      <c r="J351" s="4">
        <f>IF(NOT(I351=""),IF(I351&lt;=G351,"match",IF(I351&lt;3*G351,"partial match","no match")),"")</f>
        <v/>
      </c>
      <c r="K351" t="inlineStr">
        <is>
          <t>dzm_zd_var_2D</t>
        </is>
      </c>
    </row>
    <row r="352" ht="15.75" customHeight="1" s="10">
      <c r="A352" t="inlineStr">
        <is>
          <t>configuration A</t>
        </is>
      </c>
      <c r="B352" t="inlineStr">
        <is>
          <t>Distance zone matrix (2D)</t>
        </is>
      </c>
      <c r="C352" t="inlineStr">
        <is>
          <t>Zone distance entropy</t>
        </is>
      </c>
      <c r="E352" t="inlineStr">
        <is>
          <t>3-5</t>
        </is>
      </c>
      <c r="F352" t="n">
        <v>8</v>
      </c>
      <c r="G352" t="n">
        <v>0.04</v>
      </c>
      <c r="H352" s="9" t="n"/>
      <c r="I352" s="4">
        <f>IFERROR(IF(NOT(H352=""),ABS(ROUNDDOWN(F352-H352, 3 - (1+INT(LOG10(ABS(F352)))))),""),IF(AND(F352=0,NOT(F352="")),ABS(ROUNDDOWN(F352-H352,0)),""))</f>
        <v/>
      </c>
      <c r="J352" s="4">
        <f>IF(NOT(I352=""),IF(I352&lt;=G352,"match",IF(I352&lt;3*G352,"partial match","no match")),"")</f>
        <v/>
      </c>
      <c r="K352" t="inlineStr">
        <is>
          <t>dzm_zd_entr_2D</t>
        </is>
      </c>
    </row>
    <row r="353" ht="15.75" customHeight="1" s="10">
      <c r="A353" t="inlineStr">
        <is>
          <t>configuration A</t>
        </is>
      </c>
      <c r="B353" t="inlineStr">
        <is>
          <t>Distance zone matrix (2.5D)</t>
        </is>
      </c>
      <c r="C353" t="inlineStr">
        <is>
          <t>Small distance emphasis</t>
        </is>
      </c>
      <c r="E353" t="inlineStr">
        <is>
          <t>&lt; 3</t>
        </is>
      </c>
      <c r="H353" s="9" t="n"/>
      <c r="I353" s="4">
        <f>IFERROR(IF(NOT(H353=""),ABS(ROUNDDOWN(F353-H353, 3 - (1+INT(LOG10(ABS(F353)))))),""),IF(AND(F353=0,NOT(F353="")),ABS(ROUNDDOWN(F353-H353,0)),""))</f>
        <v/>
      </c>
      <c r="J353" s="4">
        <f>IF(NOT(I353=""),IF(I353&lt;=G353,"match",IF(I353&lt;3*G353,"partial match","no match")),"")</f>
        <v/>
      </c>
      <c r="K353" t="inlineStr">
        <is>
          <t>dzm_sde_2_5D</t>
        </is>
      </c>
    </row>
    <row r="354" ht="15.75" customHeight="1" s="10">
      <c r="A354" t="inlineStr">
        <is>
          <t>configuration A</t>
        </is>
      </c>
      <c r="B354" t="inlineStr">
        <is>
          <t>Distance zone matrix (2.5D)</t>
        </is>
      </c>
      <c r="C354" t="inlineStr">
        <is>
          <t>Large distance emphasis</t>
        </is>
      </c>
      <c r="E354" t="inlineStr">
        <is>
          <t>&lt; 3</t>
        </is>
      </c>
      <c r="H354" s="9" t="n"/>
      <c r="I354" s="4">
        <f>IFERROR(IF(NOT(H354=""),ABS(ROUNDDOWN(F354-H354, 3 - (1+INT(LOG10(ABS(F354)))))),""),IF(AND(F354=0,NOT(F354="")),ABS(ROUNDDOWN(F354-H354,0)),""))</f>
        <v/>
      </c>
      <c r="J354" s="4">
        <f>IF(NOT(I354=""),IF(I354&lt;=G354,"match",IF(I354&lt;3*G354,"partial match","no match")),"")</f>
        <v/>
      </c>
      <c r="K354" t="inlineStr">
        <is>
          <t>dzm_lde_2_5D</t>
        </is>
      </c>
    </row>
    <row r="355" ht="15.75" customHeight="1" s="10">
      <c r="A355" t="inlineStr">
        <is>
          <t>configuration A</t>
        </is>
      </c>
      <c r="B355" t="inlineStr">
        <is>
          <t>Distance zone matrix (2.5D)</t>
        </is>
      </c>
      <c r="C355" t="inlineStr">
        <is>
          <t>Low grey level emphasis</t>
        </is>
      </c>
      <c r="E355" t="inlineStr">
        <is>
          <t>&lt; 3</t>
        </is>
      </c>
      <c r="H355" s="9" t="n"/>
      <c r="I355" s="4">
        <f>IFERROR(IF(NOT(H355=""),ABS(ROUNDDOWN(F355-H355, 3 - (1+INT(LOG10(ABS(F355)))))),""),IF(AND(F355=0,NOT(F355="")),ABS(ROUNDDOWN(F355-H355,0)),""))</f>
        <v/>
      </c>
      <c r="J355" s="4">
        <f>IF(NOT(I355=""),IF(I355&lt;=G355,"match",IF(I355&lt;3*G355,"partial match","no match")),"")</f>
        <v/>
      </c>
      <c r="K355" t="inlineStr">
        <is>
          <t>dzm_lgze_2_5D</t>
        </is>
      </c>
    </row>
    <row r="356" ht="15.75" customHeight="1" s="10">
      <c r="A356" t="inlineStr">
        <is>
          <t>configuration A</t>
        </is>
      </c>
      <c r="B356" t="inlineStr">
        <is>
          <t>Distance zone matrix (2.5D)</t>
        </is>
      </c>
      <c r="C356" t="inlineStr">
        <is>
          <t>High grey level emphasis</t>
        </is>
      </c>
      <c r="E356" t="inlineStr">
        <is>
          <t>&lt; 3</t>
        </is>
      </c>
      <c r="H356" s="9" t="n"/>
      <c r="I356" s="4">
        <f>IFERROR(IF(NOT(H356=""),ABS(ROUNDDOWN(F356-H356, 3 - (1+INT(LOG10(ABS(F356)))))),""),IF(AND(F356=0,NOT(F356="")),ABS(ROUNDDOWN(F356-H356,0)),""))</f>
        <v/>
      </c>
      <c r="J356" s="4">
        <f>IF(NOT(I356=""),IF(I356&lt;=G356,"match",IF(I356&lt;3*G356,"partial match","no match")),"")</f>
        <v/>
      </c>
      <c r="K356" t="inlineStr">
        <is>
          <t>dzm_hgze_2_5D</t>
        </is>
      </c>
    </row>
    <row r="357" ht="15.75" customHeight="1" s="10">
      <c r="A357" t="inlineStr">
        <is>
          <t>configuration A</t>
        </is>
      </c>
      <c r="B357" t="inlineStr">
        <is>
          <t>Distance zone matrix (2.5D)</t>
        </is>
      </c>
      <c r="C357" t="inlineStr">
        <is>
          <t>Small distance low grey level emphasis</t>
        </is>
      </c>
      <c r="E357" t="inlineStr">
        <is>
          <t>&lt; 3</t>
        </is>
      </c>
      <c r="H357" s="9" t="n"/>
      <c r="I357" s="4">
        <f>IFERROR(IF(NOT(H357=""),ABS(ROUNDDOWN(F357-H357, 3 - (1+INT(LOG10(ABS(F357)))))),""),IF(AND(F357=0,NOT(F357="")),ABS(ROUNDDOWN(F357-H357,0)),""))</f>
        <v/>
      </c>
      <c r="J357" s="4">
        <f>IF(NOT(I357=""),IF(I357&lt;=G357,"match",IF(I357&lt;3*G357,"partial match","no match")),"")</f>
        <v/>
      </c>
      <c r="K357" t="inlineStr">
        <is>
          <t>dzm_sdlge_2_5D</t>
        </is>
      </c>
    </row>
    <row r="358" ht="15.75" customHeight="1" s="10">
      <c r="A358" t="inlineStr">
        <is>
          <t>configuration A</t>
        </is>
      </c>
      <c r="B358" t="inlineStr">
        <is>
          <t>Distance zone matrix (2.5D)</t>
        </is>
      </c>
      <c r="C358" t="inlineStr">
        <is>
          <t>Small distance high grey level emphasis</t>
        </is>
      </c>
      <c r="E358" t="inlineStr">
        <is>
          <t>&lt; 3</t>
        </is>
      </c>
      <c r="H358" s="9" t="n"/>
      <c r="I358" s="4">
        <f>IFERROR(IF(NOT(H358=""),ABS(ROUNDDOWN(F358-H358, 3 - (1+INT(LOG10(ABS(F358)))))),""),IF(AND(F358=0,NOT(F358="")),ABS(ROUNDDOWN(F358-H358,0)),""))</f>
        <v/>
      </c>
      <c r="J358" s="4">
        <f>IF(NOT(I358=""),IF(I358&lt;=G358,"match",IF(I358&lt;3*G358,"partial match","no match")),"")</f>
        <v/>
      </c>
      <c r="K358" t="inlineStr">
        <is>
          <t>dzm_sdhge_2_5D</t>
        </is>
      </c>
    </row>
    <row r="359" ht="15.75" customHeight="1" s="10">
      <c r="A359" t="inlineStr">
        <is>
          <t>configuration A</t>
        </is>
      </c>
      <c r="B359" t="inlineStr">
        <is>
          <t>Distance zone matrix (2.5D)</t>
        </is>
      </c>
      <c r="C359" t="inlineStr">
        <is>
          <t>Large distance low grey level emphasis</t>
        </is>
      </c>
      <c r="E359" t="inlineStr">
        <is>
          <t>&lt; 3</t>
        </is>
      </c>
      <c r="H359" s="9" t="n"/>
      <c r="I359" s="4">
        <f>IFERROR(IF(NOT(H359=""),ABS(ROUNDDOWN(F359-H359, 3 - (1+INT(LOG10(ABS(F359)))))),""),IF(AND(F359=0,NOT(F359="")),ABS(ROUNDDOWN(F359-H359,0)),""))</f>
        <v/>
      </c>
      <c r="J359" s="4">
        <f>IF(NOT(I359=""),IF(I359&lt;=G359,"match",IF(I359&lt;3*G359,"partial match","no match")),"")</f>
        <v/>
      </c>
      <c r="K359" t="inlineStr">
        <is>
          <t>dzm_ldlge_2_5D</t>
        </is>
      </c>
    </row>
    <row r="360" ht="15.75" customHeight="1" s="10">
      <c r="A360" t="inlineStr">
        <is>
          <t>configuration A</t>
        </is>
      </c>
      <c r="B360" t="inlineStr">
        <is>
          <t>Distance zone matrix (2.5D)</t>
        </is>
      </c>
      <c r="C360" t="inlineStr">
        <is>
          <t>Large distance high grey level emphasis</t>
        </is>
      </c>
      <c r="E360" t="inlineStr">
        <is>
          <t>&lt; 3</t>
        </is>
      </c>
      <c r="H360" s="9" t="n"/>
      <c r="I360" s="4">
        <f>IFERROR(IF(NOT(H360=""),ABS(ROUNDDOWN(F360-H360, 3 - (1+INT(LOG10(ABS(F360)))))),""),IF(AND(F360=0,NOT(F360="")),ABS(ROUNDDOWN(F360-H360,0)),""))</f>
        <v/>
      </c>
      <c r="J360" s="4">
        <f>IF(NOT(I360=""),IF(I360&lt;=G360,"match",IF(I360&lt;3*G360,"partial match","no match")),"")</f>
        <v/>
      </c>
      <c r="K360" t="inlineStr">
        <is>
          <t>dzm_ldhge_2_5D</t>
        </is>
      </c>
    </row>
    <row r="361" ht="15.75" customHeight="1" s="10">
      <c r="A361" t="inlineStr">
        <is>
          <t>configuration A</t>
        </is>
      </c>
      <c r="B361" t="inlineStr">
        <is>
          <t>Distance zone matrix (2.5D)</t>
        </is>
      </c>
      <c r="C361" t="inlineStr">
        <is>
          <t>Grey level non-uniformity</t>
        </is>
      </c>
      <c r="E361" t="inlineStr">
        <is>
          <t>&lt; 3</t>
        </is>
      </c>
      <c r="H361" s="9" t="n"/>
      <c r="I361" s="4">
        <f>IFERROR(IF(NOT(H361=""),ABS(ROUNDDOWN(F361-H361, 3 - (1+INT(LOG10(ABS(F361)))))),""),IF(AND(F361=0,NOT(F361="")),ABS(ROUNDDOWN(F361-H361,0)),""))</f>
        <v/>
      </c>
      <c r="J361" s="4">
        <f>IF(NOT(I361=""),IF(I361&lt;=G361,"match",IF(I361&lt;3*G361,"partial match","no match")),"")</f>
        <v/>
      </c>
      <c r="K361" t="inlineStr">
        <is>
          <t>dzm_glnu_2_5D</t>
        </is>
      </c>
    </row>
    <row r="362" ht="15.75" customHeight="1" s="10">
      <c r="A362" t="inlineStr">
        <is>
          <t>configuration A</t>
        </is>
      </c>
      <c r="B362" t="inlineStr">
        <is>
          <t>Distance zone matrix (2.5D)</t>
        </is>
      </c>
      <c r="C362" t="inlineStr">
        <is>
          <t>Grey level non-uniformity normalised</t>
        </is>
      </c>
      <c r="E362" t="inlineStr">
        <is>
          <t>&lt; 3</t>
        </is>
      </c>
      <c r="H362" s="9" t="n"/>
      <c r="I362" s="4">
        <f>IFERROR(IF(NOT(H362=""),ABS(ROUNDDOWN(F362-H362, 3 - (1+INT(LOG10(ABS(F362)))))),""),IF(AND(F362=0,NOT(F362="")),ABS(ROUNDDOWN(F362-H362,0)),""))</f>
        <v/>
      </c>
      <c r="J362" s="4">
        <f>IF(NOT(I362=""),IF(I362&lt;=G362,"match",IF(I362&lt;3*G362,"partial match","no match")),"")</f>
        <v/>
      </c>
      <c r="K362" t="inlineStr">
        <is>
          <t>dzm_glnu_norm_2_5D</t>
        </is>
      </c>
    </row>
    <row r="363" ht="15.75" customHeight="1" s="10">
      <c r="A363" t="inlineStr">
        <is>
          <t>configuration A</t>
        </is>
      </c>
      <c r="B363" t="inlineStr">
        <is>
          <t>Distance zone matrix (2.5D)</t>
        </is>
      </c>
      <c r="C363" t="inlineStr">
        <is>
          <t>Zone distance non-uniformity</t>
        </is>
      </c>
      <c r="E363" t="inlineStr">
        <is>
          <t>&lt; 3</t>
        </is>
      </c>
      <c r="H363" s="9" t="n"/>
      <c r="I363" s="4">
        <f>IFERROR(IF(NOT(H363=""),ABS(ROUNDDOWN(F363-H363, 3 - (1+INT(LOG10(ABS(F363)))))),""),IF(AND(F363=0,NOT(F363="")),ABS(ROUNDDOWN(F363-H363,0)),""))</f>
        <v/>
      </c>
      <c r="J363" s="4">
        <f>IF(NOT(I363=""),IF(I363&lt;=G363,"match",IF(I363&lt;3*G363,"partial match","no match")),"")</f>
        <v/>
      </c>
      <c r="K363" t="inlineStr">
        <is>
          <t>dzm_zdnu_2_5D</t>
        </is>
      </c>
    </row>
    <row r="364" ht="15.75" customHeight="1" s="10">
      <c r="A364" t="inlineStr">
        <is>
          <t>configuration A</t>
        </is>
      </c>
      <c r="B364" t="inlineStr">
        <is>
          <t>Distance zone matrix (2.5D)</t>
        </is>
      </c>
      <c r="C364" t="inlineStr">
        <is>
          <t>Zone distance non-uniformity normalised</t>
        </is>
      </c>
      <c r="E364" t="inlineStr">
        <is>
          <t>&lt; 3</t>
        </is>
      </c>
      <c r="H364" s="9" t="n"/>
      <c r="I364" s="4">
        <f>IFERROR(IF(NOT(H364=""),ABS(ROUNDDOWN(F364-H364, 3 - (1+INT(LOG10(ABS(F364)))))),""),IF(AND(F364=0,NOT(F364="")),ABS(ROUNDDOWN(F364-H364,0)),""))</f>
        <v/>
      </c>
      <c r="J364" s="4">
        <f>IF(NOT(I364=""),IF(I364&lt;=G364,"match",IF(I364&lt;3*G364,"partial match","no match")),"")</f>
        <v/>
      </c>
      <c r="K364" t="inlineStr">
        <is>
          <t>dzm_zdnu_norm_2_5D</t>
        </is>
      </c>
    </row>
    <row r="365" ht="15.75" customHeight="1" s="10">
      <c r="A365" t="inlineStr">
        <is>
          <t>configuration A</t>
        </is>
      </c>
      <c r="B365" t="inlineStr">
        <is>
          <t>Distance zone matrix (2.5D)</t>
        </is>
      </c>
      <c r="C365" t="inlineStr">
        <is>
          <t>Zone percentage</t>
        </is>
      </c>
      <c r="E365" t="inlineStr">
        <is>
          <t>&lt; 3</t>
        </is>
      </c>
      <c r="H365" s="9" t="n"/>
      <c r="I365" s="4">
        <f>IFERROR(IF(NOT(H365=""),ABS(ROUNDDOWN(F365-H365, 3 - (1+INT(LOG10(ABS(F365)))))),""),IF(AND(F365=0,NOT(F365="")),ABS(ROUNDDOWN(F365-H365,0)),""))</f>
        <v/>
      </c>
      <c r="J365" s="4">
        <f>IF(NOT(I365=""),IF(I365&lt;=G365,"match",IF(I365&lt;3*G365,"partial match","no match")),"")</f>
        <v/>
      </c>
      <c r="K365" t="inlineStr">
        <is>
          <t>dzm_z_perc_2_5D</t>
        </is>
      </c>
    </row>
    <row r="366" ht="15.75" customHeight="1" s="10">
      <c r="A366" t="inlineStr">
        <is>
          <t>configuration A</t>
        </is>
      </c>
      <c r="B366" t="inlineStr">
        <is>
          <t>Distance zone matrix (2.5D)</t>
        </is>
      </c>
      <c r="C366" t="inlineStr">
        <is>
          <t>Grey level variance</t>
        </is>
      </c>
      <c r="E366" t="inlineStr">
        <is>
          <t>&lt; 3</t>
        </is>
      </c>
      <c r="H366" s="9" t="n"/>
      <c r="I366" s="4">
        <f>IFERROR(IF(NOT(H366=""),ABS(ROUNDDOWN(F366-H366, 3 - (1+INT(LOG10(ABS(F366)))))),""),IF(AND(F366=0,NOT(F366="")),ABS(ROUNDDOWN(F366-H366,0)),""))</f>
        <v/>
      </c>
      <c r="J366" s="4">
        <f>IF(NOT(I366=""),IF(I366&lt;=G366,"match",IF(I366&lt;3*G366,"partial match","no match")),"")</f>
        <v/>
      </c>
      <c r="K366" t="inlineStr">
        <is>
          <t>dzm_gl_var_2_5D</t>
        </is>
      </c>
    </row>
    <row r="367" ht="15.75" customHeight="1" s="10">
      <c r="A367" t="inlineStr">
        <is>
          <t>configuration A</t>
        </is>
      </c>
      <c r="B367" t="inlineStr">
        <is>
          <t>Distance zone matrix (2.5D)</t>
        </is>
      </c>
      <c r="C367" t="inlineStr">
        <is>
          <t>Zone distance variance</t>
        </is>
      </c>
      <c r="E367" t="inlineStr">
        <is>
          <t>&lt; 3</t>
        </is>
      </c>
      <c r="H367" s="9" t="n"/>
      <c r="I367" s="4">
        <f>IFERROR(IF(NOT(H367=""),ABS(ROUNDDOWN(F367-H367, 3 - (1+INT(LOG10(ABS(F367)))))),""),IF(AND(F367=0,NOT(F367="")),ABS(ROUNDDOWN(F367-H367,0)),""))</f>
        <v/>
      </c>
      <c r="J367" s="4">
        <f>IF(NOT(I367=""),IF(I367&lt;=G367,"match",IF(I367&lt;3*G367,"partial match","no match")),"")</f>
        <v/>
      </c>
      <c r="K367" t="inlineStr">
        <is>
          <t>dzm_zd_var_2_5D</t>
        </is>
      </c>
    </row>
    <row r="368" ht="15.75" customHeight="1" s="10">
      <c r="A368" t="inlineStr">
        <is>
          <t>configuration A</t>
        </is>
      </c>
      <c r="B368" t="inlineStr">
        <is>
          <t>Distance zone matrix (2.5D)</t>
        </is>
      </c>
      <c r="C368" t="inlineStr">
        <is>
          <t>Zone distance entropy</t>
        </is>
      </c>
      <c r="E368" t="inlineStr">
        <is>
          <t>&lt; 3</t>
        </is>
      </c>
      <c r="H368" s="9" t="n"/>
      <c r="I368" s="4">
        <f>IFERROR(IF(NOT(H368=""),ABS(ROUNDDOWN(F368-H368, 3 - (1+INT(LOG10(ABS(F368)))))),""),IF(AND(F368=0,NOT(F368="")),ABS(ROUNDDOWN(F368-H368,0)),""))</f>
        <v/>
      </c>
      <c r="J368" s="4">
        <f>IF(NOT(I368=""),IF(I368&lt;=G368,"match",IF(I368&lt;3*G368,"partial match","no match")),"")</f>
        <v/>
      </c>
      <c r="K368" t="inlineStr">
        <is>
          <t>dzm_zd_entr_2_5D</t>
        </is>
      </c>
    </row>
    <row r="369" ht="15.75" customHeight="1" s="10">
      <c r="A369" t="inlineStr">
        <is>
          <t>configuration A</t>
        </is>
      </c>
      <c r="B369" t="inlineStr">
        <is>
          <t>Neighbourhood grey tone difference matrix (2D)</t>
        </is>
      </c>
      <c r="C369" t="inlineStr">
        <is>
          <t>Coarseness</t>
        </is>
      </c>
      <c r="E369" t="inlineStr">
        <is>
          <t>6-9</t>
        </is>
      </c>
      <c r="F369" t="n">
        <v>0.00629</v>
      </c>
      <c r="G369" t="n">
        <v>0.00046</v>
      </c>
      <c r="H369" s="9" t="n"/>
      <c r="I369" s="4">
        <f>IFERROR(IF(NOT(H369=""),ABS(ROUNDDOWN(F369-H369, 3 - (1+INT(LOG10(ABS(F369)))))),""),IF(AND(F369=0,NOT(F369="")),ABS(ROUNDDOWN(F369-H369,0)),""))</f>
        <v/>
      </c>
      <c r="J369" s="4">
        <f>IF(NOT(I369=""),IF(I369&lt;=G369,"match",IF(I369&lt;3*G369,"partial match","no match")),"")</f>
        <v/>
      </c>
      <c r="K369" t="inlineStr">
        <is>
          <t>ngt_coarseness_2D</t>
        </is>
      </c>
    </row>
    <row r="370" ht="15.75" customHeight="1" s="10">
      <c r="A370" t="inlineStr">
        <is>
          <t>configuration A</t>
        </is>
      </c>
      <c r="B370" t="inlineStr">
        <is>
          <t>Neighbourhood grey tone difference matrix (2D)</t>
        </is>
      </c>
      <c r="C370" t="inlineStr">
        <is>
          <t>Contrast</t>
        </is>
      </c>
      <c r="E370" t="inlineStr">
        <is>
          <t>6-9</t>
        </is>
      </c>
      <c r="F370" t="n">
        <v>0.107</v>
      </c>
      <c r="G370" t="n">
        <v>0.003</v>
      </c>
      <c r="H370" s="9" t="n"/>
      <c r="I370" s="4">
        <f>IFERROR(IF(NOT(H370=""),ABS(ROUNDDOWN(F370-H370, 3 - (1+INT(LOG10(ABS(F370)))))),""),IF(AND(F370=0,NOT(F370="")),ABS(ROUNDDOWN(F370-H370,0)),""))</f>
        <v/>
      </c>
      <c r="J370" s="4">
        <f>IF(NOT(I370=""),IF(I370&lt;=G370,"match",IF(I370&lt;3*G370,"partial match","no match")),"")</f>
        <v/>
      </c>
      <c r="K370" t="inlineStr">
        <is>
          <t>ngt_contrast_2D</t>
        </is>
      </c>
    </row>
    <row r="371" ht="15.75" customHeight="1" s="10">
      <c r="A371" t="inlineStr">
        <is>
          <t>configuration A</t>
        </is>
      </c>
      <c r="B371" t="inlineStr">
        <is>
          <t>Neighbourhood grey tone difference matrix (2D)</t>
        </is>
      </c>
      <c r="C371" t="inlineStr">
        <is>
          <t>Busyness</t>
        </is>
      </c>
      <c r="E371" t="inlineStr">
        <is>
          <t>3-5</t>
        </is>
      </c>
      <c r="F371" t="n">
        <v>0.489</v>
      </c>
      <c r="G371" t="n">
        <v>0.001</v>
      </c>
      <c r="H371" s="9" t="n"/>
      <c r="I371" s="4">
        <f>IFERROR(IF(NOT(H371=""),ABS(ROUNDDOWN(F371-H371, 3 - (1+INT(LOG10(ABS(F371)))))),""),IF(AND(F371=0,NOT(F371="")),ABS(ROUNDDOWN(F371-H371,0)),""))</f>
        <v/>
      </c>
      <c r="J371" s="4">
        <f>IF(NOT(I371=""),IF(I371&lt;=G371,"match",IF(I371&lt;3*G371,"partial match","no match")),"")</f>
        <v/>
      </c>
      <c r="K371" t="inlineStr">
        <is>
          <t>ngt_busyness_2D</t>
        </is>
      </c>
    </row>
    <row r="372" ht="15.75" customHeight="1" s="10">
      <c r="A372" t="inlineStr">
        <is>
          <t>configuration A</t>
        </is>
      </c>
      <c r="B372" t="inlineStr">
        <is>
          <t>Neighbourhood grey tone difference matrix (2D)</t>
        </is>
      </c>
      <c r="C372" t="inlineStr">
        <is>
          <t>Complexity</t>
        </is>
      </c>
      <c r="E372" t="inlineStr">
        <is>
          <t>6-9</t>
        </is>
      </c>
      <c r="F372" t="n">
        <v>438</v>
      </c>
      <c r="G372" t="n">
        <v>9</v>
      </c>
      <c r="H372" s="9" t="n"/>
      <c r="I372" s="4">
        <f>IFERROR(IF(NOT(H372=""),ABS(ROUNDDOWN(F372-H372, 3 - (1+INT(LOG10(ABS(F372)))))),""),IF(AND(F372=0,NOT(F372="")),ABS(ROUNDDOWN(F372-H372,0)),""))</f>
        <v/>
      </c>
      <c r="J372" s="4">
        <f>IF(NOT(I372=""),IF(I372&lt;=G372,"match",IF(I372&lt;3*G372,"partial match","no match")),"")</f>
        <v/>
      </c>
      <c r="K372" t="inlineStr">
        <is>
          <t>ngt_complexity_2D</t>
        </is>
      </c>
    </row>
    <row r="373" ht="15.75" customHeight="1" s="10">
      <c r="A373" t="inlineStr">
        <is>
          <t>configuration A</t>
        </is>
      </c>
      <c r="B373" t="inlineStr">
        <is>
          <t>Neighbourhood grey tone difference matrix (2D)</t>
        </is>
      </c>
      <c r="C373" t="inlineStr">
        <is>
          <t>Strength</t>
        </is>
      </c>
      <c r="E373" t="inlineStr">
        <is>
          <t>3-5</t>
        </is>
      </c>
      <c r="F373" t="n">
        <v>3.33</v>
      </c>
      <c r="G373" t="n">
        <v>0.08</v>
      </c>
      <c r="H373" s="9" t="n"/>
      <c r="I373" s="4">
        <f>IFERROR(IF(NOT(H373=""),ABS(ROUNDDOWN(F373-H373, 3 - (1+INT(LOG10(ABS(F373)))))),""),IF(AND(F373=0,NOT(F373="")),ABS(ROUNDDOWN(F373-H373,0)),""))</f>
        <v/>
      </c>
      <c r="J373" s="4">
        <f>IF(NOT(I373=""),IF(I373&lt;=G373,"match",IF(I373&lt;3*G373,"partial match","no match")),"")</f>
        <v/>
      </c>
      <c r="K373" t="inlineStr">
        <is>
          <t>ngt_strength_2D</t>
        </is>
      </c>
    </row>
    <row r="374" ht="15.75" customHeight="1" s="10">
      <c r="A374" t="inlineStr">
        <is>
          <t>configuration A</t>
        </is>
      </c>
      <c r="B374" t="inlineStr">
        <is>
          <t>Neighbourhood grey tone difference matrix (2.5D)</t>
        </is>
      </c>
      <c r="C374" t="inlineStr">
        <is>
          <t>Coarseness</t>
        </is>
      </c>
      <c r="E374" t="inlineStr">
        <is>
          <t>&lt; 3</t>
        </is>
      </c>
      <c r="H374" s="9" t="n"/>
      <c r="I374" s="4">
        <f>IFERROR(IF(NOT(H374=""),ABS(ROUNDDOWN(F374-H374, 3 - (1+INT(LOG10(ABS(F374)))))),""),IF(AND(F374=0,NOT(F374="")),ABS(ROUNDDOWN(F374-H374,0)),""))</f>
        <v/>
      </c>
      <c r="J374" s="4">
        <f>IF(NOT(I374=""),IF(I374&lt;=G374,"match",IF(I374&lt;3*G374,"partial match","no match")),"")</f>
        <v/>
      </c>
      <c r="K374" t="inlineStr">
        <is>
          <t>ngt_coarseness_2_5D</t>
        </is>
      </c>
    </row>
    <row r="375" ht="15.75" customHeight="1" s="10">
      <c r="A375" t="inlineStr">
        <is>
          <t>configuration A</t>
        </is>
      </c>
      <c r="B375" t="inlineStr">
        <is>
          <t>Neighbourhood grey tone difference matrix (2.5D)</t>
        </is>
      </c>
      <c r="C375" t="inlineStr">
        <is>
          <t>Contrast</t>
        </is>
      </c>
      <c r="E375" t="inlineStr">
        <is>
          <t>&lt; 3</t>
        </is>
      </c>
      <c r="H375" s="9" t="n"/>
      <c r="I375" s="4">
        <f>IFERROR(IF(NOT(H375=""),ABS(ROUNDDOWN(F375-H375, 3 - (1+INT(LOG10(ABS(F375)))))),""),IF(AND(F375=0,NOT(F375="")),ABS(ROUNDDOWN(F375-H375,0)),""))</f>
        <v/>
      </c>
      <c r="J375" s="4">
        <f>IF(NOT(I375=""),IF(I375&lt;=G375,"match",IF(I375&lt;3*G375,"partial match","no match")),"")</f>
        <v/>
      </c>
      <c r="K375" t="inlineStr">
        <is>
          <t>ngt_contrast_2_5D</t>
        </is>
      </c>
    </row>
    <row r="376" ht="15.75" customHeight="1" s="10">
      <c r="A376" t="inlineStr">
        <is>
          <t>configuration A</t>
        </is>
      </c>
      <c r="B376" t="inlineStr">
        <is>
          <t>Neighbourhood grey tone difference matrix (2.5D)</t>
        </is>
      </c>
      <c r="C376" t="inlineStr">
        <is>
          <t>Busyness</t>
        </is>
      </c>
      <c r="E376" t="inlineStr">
        <is>
          <t>&lt; 3</t>
        </is>
      </c>
      <c r="H376" s="9" t="n"/>
      <c r="I376" s="4">
        <f>IFERROR(IF(NOT(H376=""),ABS(ROUNDDOWN(F376-H376, 3 - (1+INT(LOG10(ABS(F376)))))),""),IF(AND(F376=0,NOT(F376="")),ABS(ROUNDDOWN(F376-H376,0)),""))</f>
        <v/>
      </c>
      <c r="J376" s="4">
        <f>IF(NOT(I376=""),IF(I376&lt;=G376,"match",IF(I376&lt;3*G376,"partial match","no match")),"")</f>
        <v/>
      </c>
      <c r="K376" t="inlineStr">
        <is>
          <t>ngt_busyness_2_5D</t>
        </is>
      </c>
    </row>
    <row r="377" ht="15.75" customHeight="1" s="10">
      <c r="A377" t="inlineStr">
        <is>
          <t>configuration A</t>
        </is>
      </c>
      <c r="B377" t="inlineStr">
        <is>
          <t>Neighbourhood grey tone difference matrix (2.5D)</t>
        </is>
      </c>
      <c r="C377" t="inlineStr">
        <is>
          <t>Complexity</t>
        </is>
      </c>
      <c r="E377" t="inlineStr">
        <is>
          <t>&lt; 3</t>
        </is>
      </c>
      <c r="H377" s="9" t="n"/>
      <c r="I377" s="4">
        <f>IFERROR(IF(NOT(H377=""),ABS(ROUNDDOWN(F377-H377, 3 - (1+INT(LOG10(ABS(F377)))))),""),IF(AND(F377=0,NOT(F377="")),ABS(ROUNDDOWN(F377-H377,0)),""))</f>
        <v/>
      </c>
      <c r="J377" s="4">
        <f>IF(NOT(I377=""),IF(I377&lt;=G377,"match",IF(I377&lt;3*G377,"partial match","no match")),"")</f>
        <v/>
      </c>
      <c r="K377" t="inlineStr">
        <is>
          <t>ngt_complexity_2_5D</t>
        </is>
      </c>
    </row>
    <row r="378" ht="15.75" customHeight="1" s="10">
      <c r="A378" t="inlineStr">
        <is>
          <t>configuration A</t>
        </is>
      </c>
      <c r="B378" t="inlineStr">
        <is>
          <t>Neighbourhood grey tone difference matrix (2.5D)</t>
        </is>
      </c>
      <c r="C378" t="inlineStr">
        <is>
          <t>Strength</t>
        </is>
      </c>
      <c r="E378" t="inlineStr">
        <is>
          <t>&lt; 3</t>
        </is>
      </c>
      <c r="H378" s="9" t="n"/>
      <c r="I378" s="4">
        <f>IFERROR(IF(NOT(H378=""),ABS(ROUNDDOWN(F378-H378, 3 - (1+INT(LOG10(ABS(F378)))))),""),IF(AND(F378=0,NOT(F378="")),ABS(ROUNDDOWN(F378-H378,0)),""))</f>
        <v/>
      </c>
      <c r="J378" s="4">
        <f>IF(NOT(I378=""),IF(I378&lt;=G378,"match",IF(I378&lt;3*G378,"partial match","no match")),"")</f>
        <v/>
      </c>
      <c r="K378" t="inlineStr">
        <is>
          <t>ngt_strength_2_5D</t>
        </is>
      </c>
    </row>
    <row r="379" ht="15.75" customHeight="1" s="10">
      <c r="A379" t="inlineStr">
        <is>
          <t>configuration A</t>
        </is>
      </c>
      <c r="B379" t="inlineStr">
        <is>
          <t>Neighbouring grey level dependence matrix (2D)</t>
        </is>
      </c>
      <c r="C379" t="inlineStr">
        <is>
          <t>Low dependence emphasis</t>
        </is>
      </c>
      <c r="E379" t="inlineStr">
        <is>
          <t>3-5</t>
        </is>
      </c>
      <c r="F379" t="n">
        <v>0.281</v>
      </c>
      <c r="G379" t="n">
        <v>0.003</v>
      </c>
      <c r="H379" s="9" t="n"/>
      <c r="I379" s="4">
        <f>IFERROR(IF(NOT(H379=""),ABS(ROUNDDOWN(F379-H379, 3 - (1+INT(LOG10(ABS(F379)))))),""),IF(AND(F379=0,NOT(F379="")),ABS(ROUNDDOWN(F379-H379,0)),""))</f>
        <v/>
      </c>
      <c r="J379" s="4">
        <f>IF(NOT(I379=""),IF(I379&lt;=G379,"match",IF(I379&lt;3*G379,"partial match","no match")),"")</f>
        <v/>
      </c>
      <c r="K379" t="inlineStr">
        <is>
          <t>ngl_lde_2D</t>
        </is>
      </c>
    </row>
    <row r="380" ht="15.75" customHeight="1" s="10">
      <c r="A380" t="inlineStr">
        <is>
          <t>configuration A</t>
        </is>
      </c>
      <c r="B380" t="inlineStr">
        <is>
          <t>Neighbouring grey level dependence matrix (2D)</t>
        </is>
      </c>
      <c r="C380" t="inlineStr">
        <is>
          <t>High dependence emphasis</t>
        </is>
      </c>
      <c r="E380" t="inlineStr">
        <is>
          <t>3-5</t>
        </is>
      </c>
      <c r="F380" t="n">
        <v>14.8</v>
      </c>
      <c r="G380" t="n">
        <v>0.1</v>
      </c>
      <c r="H380" s="9" t="n"/>
      <c r="I380" s="4">
        <f>IFERROR(IF(NOT(H380=""),ABS(ROUNDDOWN(F380-H380, 3 - (1+INT(LOG10(ABS(F380)))))),""),IF(AND(F380=0,NOT(F380="")),ABS(ROUNDDOWN(F380-H380,0)),""))</f>
        <v/>
      </c>
      <c r="J380" s="4">
        <f>IF(NOT(I380=""),IF(I380&lt;=G380,"match",IF(I380&lt;3*G380,"partial match","no match")),"")</f>
        <v/>
      </c>
      <c r="K380" t="inlineStr">
        <is>
          <t>ngl_hde_2D</t>
        </is>
      </c>
    </row>
    <row r="381" ht="15.75" customHeight="1" s="10">
      <c r="A381" t="inlineStr">
        <is>
          <t>configuration A</t>
        </is>
      </c>
      <c r="B381" t="inlineStr">
        <is>
          <t>Neighbouring grey level dependence matrix (2D)</t>
        </is>
      </c>
      <c r="C381" t="inlineStr">
        <is>
          <t>Low grey level count emphasis</t>
        </is>
      </c>
      <c r="E381" t="inlineStr">
        <is>
          <t>3-5</t>
        </is>
      </c>
      <c r="F381" t="n">
        <v>0.0233</v>
      </c>
      <c r="G381" t="n">
        <v>0.0003</v>
      </c>
      <c r="H381" s="9" t="n"/>
      <c r="I381" s="4">
        <f>IFERROR(IF(NOT(H381=""),ABS(ROUNDDOWN(F381-H381, 3 - (1+INT(LOG10(ABS(F381)))))),""),IF(AND(F381=0,NOT(F381="")),ABS(ROUNDDOWN(F381-H381,0)),""))</f>
        <v/>
      </c>
      <c r="J381" s="4">
        <f>IF(NOT(I381=""),IF(I381&lt;=G381,"match",IF(I381&lt;3*G381,"partial match","no match")),"")</f>
        <v/>
      </c>
      <c r="K381" t="inlineStr">
        <is>
          <t>ngl_lgce_2D</t>
        </is>
      </c>
    </row>
    <row r="382" ht="15.75" customHeight="1" s="10">
      <c r="A382" t="inlineStr">
        <is>
          <t>configuration A</t>
        </is>
      </c>
      <c r="B382" t="inlineStr">
        <is>
          <t>Neighbouring grey level dependence matrix (2D)</t>
        </is>
      </c>
      <c r="C382" t="inlineStr">
        <is>
          <t>High grey level count emphasis</t>
        </is>
      </c>
      <c r="E382" t="inlineStr">
        <is>
          <t>3-5</t>
        </is>
      </c>
      <c r="F382" t="n">
        <v>446</v>
      </c>
      <c r="G382" t="n">
        <v>2</v>
      </c>
      <c r="H382" s="9" t="n"/>
      <c r="I382" s="4">
        <f>IFERROR(IF(NOT(H382=""),ABS(ROUNDDOWN(F382-H382, 3 - (1+INT(LOG10(ABS(F382)))))),""),IF(AND(F382=0,NOT(F382="")),ABS(ROUNDDOWN(F382-H382,0)),""))</f>
        <v/>
      </c>
      <c r="J382" s="4">
        <f>IF(NOT(I382=""),IF(I382&lt;=G382,"match",IF(I382&lt;3*G382,"partial match","no match")),"")</f>
        <v/>
      </c>
      <c r="K382" t="inlineStr">
        <is>
          <t>ngl_hgce_2D</t>
        </is>
      </c>
    </row>
    <row r="383" ht="15.75" customHeight="1" s="10">
      <c r="A383" t="inlineStr">
        <is>
          <t>configuration A</t>
        </is>
      </c>
      <c r="B383" t="inlineStr">
        <is>
          <t>Neighbouring grey level dependence matrix (2D)</t>
        </is>
      </c>
      <c r="C383" t="inlineStr">
        <is>
          <t>Low dependence low grey level emphasis</t>
        </is>
      </c>
      <c r="E383" t="inlineStr">
        <is>
          <t>3-5</t>
        </is>
      </c>
      <c r="F383" t="n">
        <v>0.0137</v>
      </c>
      <c r="G383" t="n">
        <v>0.0002</v>
      </c>
      <c r="H383" s="9" t="n"/>
      <c r="I383" s="4">
        <f>IFERROR(IF(NOT(H383=""),ABS(ROUNDDOWN(F383-H383, 3 - (1+INT(LOG10(ABS(F383)))))),""),IF(AND(F383=0,NOT(F383="")),ABS(ROUNDDOWN(F383-H383,0)),""))</f>
        <v/>
      </c>
      <c r="J383" s="4">
        <f>IF(NOT(I383=""),IF(I383&lt;=G383,"match",IF(I383&lt;3*G383,"partial match","no match")),"")</f>
        <v/>
      </c>
      <c r="K383" t="inlineStr">
        <is>
          <t>ngl_ldlge_2D</t>
        </is>
      </c>
    </row>
    <row r="384" ht="15.75" customHeight="1" s="10">
      <c r="A384" t="inlineStr">
        <is>
          <t>configuration A</t>
        </is>
      </c>
      <c r="B384" t="inlineStr">
        <is>
          <t>Neighbouring grey level dependence matrix (2D)</t>
        </is>
      </c>
      <c r="C384" t="inlineStr">
        <is>
          <t>Low dependence high grey level emphasis</t>
        </is>
      </c>
      <c r="E384" t="inlineStr">
        <is>
          <t>3-5</t>
        </is>
      </c>
      <c r="F384" t="n">
        <v>94.2</v>
      </c>
      <c r="G384" t="n">
        <v>0.4</v>
      </c>
      <c r="H384" s="9" t="n"/>
      <c r="I384" s="4">
        <f>IFERROR(IF(NOT(H384=""),ABS(ROUNDDOWN(F384-H384, 3 - (1+INT(LOG10(ABS(F384)))))),""),IF(AND(F384=0,NOT(F384="")),ABS(ROUNDDOWN(F384-H384,0)),""))</f>
        <v/>
      </c>
      <c r="J384" s="4">
        <f>IF(NOT(I384=""),IF(I384&lt;=G384,"match",IF(I384&lt;3*G384,"partial match","no match")),"")</f>
        <v/>
      </c>
      <c r="K384" t="inlineStr">
        <is>
          <t>ngl_ldhge_2D</t>
        </is>
      </c>
    </row>
    <row r="385" ht="15.75" customHeight="1" s="10">
      <c r="A385" t="inlineStr">
        <is>
          <t>configuration A</t>
        </is>
      </c>
      <c r="B385" t="inlineStr">
        <is>
          <t>Neighbouring grey level dependence matrix (2D)</t>
        </is>
      </c>
      <c r="C385" t="inlineStr">
        <is>
          <t>High dependence low grey level emphasis</t>
        </is>
      </c>
      <c r="E385" t="inlineStr">
        <is>
          <t>3-5</t>
        </is>
      </c>
      <c r="F385" t="n">
        <v>0.116</v>
      </c>
      <c r="G385" t="n">
        <v>0.001</v>
      </c>
      <c r="H385" s="9" t="n"/>
      <c r="I385" s="4">
        <f>IFERROR(IF(NOT(H385=""),ABS(ROUNDDOWN(F385-H385, 3 - (1+INT(LOG10(ABS(F385)))))),""),IF(AND(F385=0,NOT(F385="")),ABS(ROUNDDOWN(F385-H385,0)),""))</f>
        <v/>
      </c>
      <c r="J385" s="4">
        <f>IF(NOT(I385=""),IF(I385&lt;=G385,"match",IF(I385&lt;3*G385,"partial match","no match")),"")</f>
        <v/>
      </c>
      <c r="K385" t="inlineStr">
        <is>
          <t>ngl_hdlge_2D</t>
        </is>
      </c>
    </row>
    <row r="386" ht="15.75" customHeight="1" s="10">
      <c r="A386" t="inlineStr">
        <is>
          <t>configuration A</t>
        </is>
      </c>
      <c r="B386" t="inlineStr">
        <is>
          <t>Neighbouring grey level dependence matrix (2D)</t>
        </is>
      </c>
      <c r="C386" t="inlineStr">
        <is>
          <t>High dependence high grey level emphasis</t>
        </is>
      </c>
      <c r="E386" t="inlineStr">
        <is>
          <t>3-5</t>
        </is>
      </c>
      <c r="F386" t="n">
        <v>7540</v>
      </c>
      <c r="G386" t="n">
        <v>50</v>
      </c>
      <c r="H386" s="9" t="n"/>
      <c r="I386" s="4">
        <f>IFERROR(IF(NOT(H386=""),ABS(ROUNDDOWN(F386-H386, 3 - (1+INT(LOG10(ABS(F386)))))),""),IF(AND(F386=0,NOT(F386="")),ABS(ROUNDDOWN(F386-H386,0)),""))</f>
        <v/>
      </c>
      <c r="J386" s="4">
        <f>IF(NOT(I386=""),IF(I386&lt;=G386,"match",IF(I386&lt;3*G386,"partial match","no match")),"")</f>
        <v/>
      </c>
      <c r="K386" t="inlineStr">
        <is>
          <t>ngl_hdhge_2D</t>
        </is>
      </c>
    </row>
    <row r="387" ht="15.75" customHeight="1" s="10">
      <c r="A387" t="inlineStr">
        <is>
          <t>configuration A</t>
        </is>
      </c>
      <c r="B387" t="inlineStr">
        <is>
          <t>Neighbouring grey level dependence matrix (2D)</t>
        </is>
      </c>
      <c r="C387" t="inlineStr">
        <is>
          <t>Grey level non-uniformity</t>
        </is>
      </c>
      <c r="E387" t="inlineStr">
        <is>
          <t>3-5</t>
        </is>
      </c>
      <c r="F387" t="n">
        <v>757</v>
      </c>
      <c r="G387" t="n">
        <v>1</v>
      </c>
      <c r="H387" s="9" t="n"/>
      <c r="I387" s="4">
        <f>IFERROR(IF(NOT(H387=""),ABS(ROUNDDOWN(F387-H387, 3 - (1+INT(LOG10(ABS(F387)))))),""),IF(AND(F387=0,NOT(F387="")),ABS(ROUNDDOWN(F387-H387,0)),""))</f>
        <v/>
      </c>
      <c r="J387" s="4">
        <f>IF(NOT(I387=""),IF(I387&lt;=G387,"match",IF(I387&lt;3*G387,"partial match","no match")),"")</f>
        <v/>
      </c>
      <c r="K387" t="inlineStr">
        <is>
          <t>ngl_glnu_2D</t>
        </is>
      </c>
    </row>
    <row r="388" ht="15.75" customHeight="1" s="10">
      <c r="A388" t="inlineStr">
        <is>
          <t>configuration A</t>
        </is>
      </c>
      <c r="B388" t="inlineStr">
        <is>
          <t>Neighbouring grey level dependence matrix (2D)</t>
        </is>
      </c>
      <c r="C388" t="inlineStr">
        <is>
          <t>Grey level non-uniformity normalised</t>
        </is>
      </c>
      <c r="E388" t="inlineStr">
        <is>
          <t>3-5</t>
        </is>
      </c>
      <c r="F388" t="n">
        <v>0.151</v>
      </c>
      <c r="G388" t="n">
        <v>0.003</v>
      </c>
      <c r="H388" s="9" t="n"/>
      <c r="I388" s="4">
        <f>IFERROR(IF(NOT(H388=""),ABS(ROUNDDOWN(F388-H388, 3 - (1+INT(LOG10(ABS(F388)))))),""),IF(AND(F388=0,NOT(F388="")),ABS(ROUNDDOWN(F388-H388,0)),""))</f>
        <v/>
      </c>
      <c r="J388" s="4">
        <f>IF(NOT(I388=""),IF(I388&lt;=G388,"match",IF(I388&lt;3*G388,"partial match","no match")),"")</f>
        <v/>
      </c>
      <c r="K388" t="inlineStr">
        <is>
          <t>ngl_glnu_norm_2D</t>
        </is>
      </c>
    </row>
    <row r="389" ht="15.75" customHeight="1" s="10">
      <c r="A389" t="inlineStr">
        <is>
          <t>configuration A</t>
        </is>
      </c>
      <c r="B389" t="inlineStr">
        <is>
          <t>Neighbouring grey level dependence matrix (2D)</t>
        </is>
      </c>
      <c r="C389" t="inlineStr">
        <is>
          <t>Dependence count non-uniformity</t>
        </is>
      </c>
      <c r="E389" t="inlineStr">
        <is>
          <t>3-5</t>
        </is>
      </c>
      <c r="F389" t="n">
        <v>709</v>
      </c>
      <c r="G389" t="n">
        <v>2</v>
      </c>
      <c r="H389" s="9" t="n"/>
      <c r="I389" s="4">
        <f>IFERROR(IF(NOT(H389=""),ABS(ROUNDDOWN(F389-H389, 3 - (1+INT(LOG10(ABS(F389)))))),""),IF(AND(F389=0,NOT(F389="")),ABS(ROUNDDOWN(F389-H389,0)),""))</f>
        <v/>
      </c>
      <c r="J389" s="4">
        <f>IF(NOT(I389=""),IF(I389&lt;=G389,"match",IF(I389&lt;3*G389,"partial match","no match")),"")</f>
        <v/>
      </c>
      <c r="K389" t="inlineStr">
        <is>
          <t>ngl_dcnu_2D</t>
        </is>
      </c>
    </row>
    <row r="390" ht="15.75" customHeight="1" s="10">
      <c r="A390" t="inlineStr">
        <is>
          <t>configuration A</t>
        </is>
      </c>
      <c r="B390" t="inlineStr">
        <is>
          <t>Neighbouring grey level dependence matrix (2D)</t>
        </is>
      </c>
      <c r="C390" t="inlineStr">
        <is>
          <t>Dependence count non-uniformity normalised</t>
        </is>
      </c>
      <c r="E390" t="inlineStr">
        <is>
          <t>3-5</t>
        </is>
      </c>
      <c r="F390" t="n">
        <v>0.175</v>
      </c>
      <c r="G390" t="n">
        <v>0.001</v>
      </c>
      <c r="H390" s="9" t="n"/>
      <c r="I390" s="4">
        <f>IFERROR(IF(NOT(H390=""),ABS(ROUNDDOWN(F390-H390, 3 - (1+INT(LOG10(ABS(F390)))))),""),IF(AND(F390=0,NOT(F390="")),ABS(ROUNDDOWN(F390-H390,0)),""))</f>
        <v/>
      </c>
      <c r="J390" s="4">
        <f>IF(NOT(I390=""),IF(I390&lt;=G390,"match",IF(I390&lt;3*G390,"partial match","no match")),"")</f>
        <v/>
      </c>
      <c r="K390" t="inlineStr">
        <is>
          <t>ngl_dcnu_norm_2D</t>
        </is>
      </c>
    </row>
    <row r="391" ht="15.75" customHeight="1" s="10">
      <c r="A391" t="inlineStr">
        <is>
          <t>configuration A</t>
        </is>
      </c>
      <c r="B391" t="inlineStr">
        <is>
          <t>Neighbouring grey level dependence matrix (2D)</t>
        </is>
      </c>
      <c r="C391" t="inlineStr">
        <is>
          <t>Dependence count percentage</t>
        </is>
      </c>
      <c r="E391" t="inlineStr">
        <is>
          <t>3-5</t>
        </is>
      </c>
      <c r="F391" t="n">
        <v>1</v>
      </c>
      <c r="G391" t="n">
        <v>0</v>
      </c>
      <c r="H391" s="9" t="n"/>
      <c r="I391" s="4">
        <f>IFERROR(IF(NOT(H391=""),ABS(ROUNDDOWN(F391-H391, 3 - (1+INT(LOG10(ABS(F391)))))),""),IF(AND(F391=0,NOT(F391="")),ABS(ROUNDDOWN(F391-H391,0)),""))</f>
        <v/>
      </c>
      <c r="J391" s="4">
        <f>IF(NOT(I391=""),IF(I391&lt;=G391,"match",IF(I391&lt;3*G391,"partial match","no match")),"")</f>
        <v/>
      </c>
      <c r="K391" t="inlineStr">
        <is>
          <t>ngl_dc_perc_2D</t>
        </is>
      </c>
    </row>
    <row r="392" ht="15.75" customHeight="1" s="10">
      <c r="A392" t="inlineStr">
        <is>
          <t>configuration A</t>
        </is>
      </c>
      <c r="B392" t="inlineStr">
        <is>
          <t>Neighbouring grey level dependence matrix (2D)</t>
        </is>
      </c>
      <c r="C392" t="inlineStr">
        <is>
          <t>Grey level variance</t>
        </is>
      </c>
      <c r="E392" t="inlineStr">
        <is>
          <t>3-5</t>
        </is>
      </c>
      <c r="F392" t="n">
        <v>31.1</v>
      </c>
      <c r="G392" t="n">
        <v>0.5</v>
      </c>
      <c r="H392" s="9" t="n"/>
      <c r="I392" s="4">
        <f>IFERROR(IF(NOT(H392=""),ABS(ROUNDDOWN(F392-H392, 3 - (1+INT(LOG10(ABS(F392)))))),""),IF(AND(F392=0,NOT(F392="")),ABS(ROUNDDOWN(F392-H392,0)),""))</f>
        <v/>
      </c>
      <c r="J392" s="4">
        <f>IF(NOT(I392=""),IF(I392&lt;=G392,"match",IF(I392&lt;3*G392,"partial match","no match")),"")</f>
        <v/>
      </c>
      <c r="K392" t="inlineStr">
        <is>
          <t>ngl_gl_var_2D</t>
        </is>
      </c>
    </row>
    <row r="393" ht="15.75" customHeight="1" s="10">
      <c r="A393" t="inlineStr">
        <is>
          <t>configuration A</t>
        </is>
      </c>
      <c r="B393" t="inlineStr">
        <is>
          <t>Neighbouring grey level dependence matrix (2D)</t>
        </is>
      </c>
      <c r="C393" t="inlineStr">
        <is>
          <t>Dependence count variance</t>
        </is>
      </c>
      <c r="E393" t="inlineStr">
        <is>
          <t>3-5</t>
        </is>
      </c>
      <c r="F393" t="n">
        <v>3.12</v>
      </c>
      <c r="G393" t="n">
        <v>0.02</v>
      </c>
      <c r="H393" s="9" t="n"/>
      <c r="I393" s="4">
        <f>IFERROR(IF(NOT(H393=""),ABS(ROUNDDOWN(F393-H393, 3 - (1+INT(LOG10(ABS(F393)))))),""),IF(AND(F393=0,NOT(F393="")),ABS(ROUNDDOWN(F393-H393,0)),""))</f>
        <v/>
      </c>
      <c r="J393" s="4">
        <f>IF(NOT(I393=""),IF(I393&lt;=G393,"match",IF(I393&lt;3*G393,"partial match","no match")),"")</f>
        <v/>
      </c>
      <c r="K393" t="inlineStr">
        <is>
          <t>ngl_dc_var_2D</t>
        </is>
      </c>
    </row>
    <row r="394" ht="15.75" customHeight="1" s="10">
      <c r="A394" t="inlineStr">
        <is>
          <t>configuration A</t>
        </is>
      </c>
      <c r="B394" t="inlineStr">
        <is>
          <t>Neighbouring grey level dependence matrix (2D)</t>
        </is>
      </c>
      <c r="C394" t="inlineStr">
        <is>
          <t>Dependence count entropy</t>
        </is>
      </c>
      <c r="E394" t="inlineStr">
        <is>
          <t>3-5</t>
        </is>
      </c>
      <c r="F394" t="n">
        <v>5.76</v>
      </c>
      <c r="G394" t="n">
        <v>0.02</v>
      </c>
      <c r="H394" s="9" t="n"/>
      <c r="I394" s="4">
        <f>IFERROR(IF(NOT(H394=""),ABS(ROUNDDOWN(F394-H394, 3 - (1+INT(LOG10(ABS(F394)))))),""),IF(AND(F394=0,NOT(F394="")),ABS(ROUNDDOWN(F394-H394,0)),""))</f>
        <v/>
      </c>
      <c r="J394" s="4">
        <f>IF(NOT(I394=""),IF(I394&lt;=G394,"match",IF(I394&lt;3*G394,"partial match","no match")),"")</f>
        <v/>
      </c>
      <c r="K394" t="inlineStr">
        <is>
          <t>ngl_dc_entr_2D</t>
        </is>
      </c>
    </row>
    <row r="395" ht="15.75" customHeight="1" s="10">
      <c r="A395" t="inlineStr">
        <is>
          <t>configuration A</t>
        </is>
      </c>
      <c r="B395" t="inlineStr">
        <is>
          <t>Neighbouring grey level dependence matrix (2D)</t>
        </is>
      </c>
      <c r="C395" t="inlineStr">
        <is>
          <t>Dependence count energy</t>
        </is>
      </c>
      <c r="E395" t="inlineStr">
        <is>
          <t>3-5</t>
        </is>
      </c>
      <c r="F395" t="n">
        <v>0.0268</v>
      </c>
      <c r="G395" t="n">
        <v>0.0004</v>
      </c>
      <c r="H395" s="9" t="n"/>
      <c r="I395" s="4">
        <f>IFERROR(IF(NOT(H395=""),ABS(ROUNDDOWN(F395-H395, 3 - (1+INT(LOG10(ABS(F395)))))),""),IF(AND(F395=0,NOT(F395="")),ABS(ROUNDDOWN(F395-H395,0)),""))</f>
        <v/>
      </c>
      <c r="J395" s="4">
        <f>IF(NOT(I395=""),IF(I395&lt;=G395,"match",IF(I395&lt;3*G395,"partial match","no match")),"")</f>
        <v/>
      </c>
      <c r="K395" t="inlineStr">
        <is>
          <t>ngl_dc_energy_2D</t>
        </is>
      </c>
    </row>
    <row r="396" ht="15.75" customHeight="1" s="10">
      <c r="A396" t="inlineStr">
        <is>
          <t>configuration A</t>
        </is>
      </c>
      <c r="B396" t="inlineStr">
        <is>
          <t>Neighbouring grey level dependence matrix (2.5D)</t>
        </is>
      </c>
      <c r="C396" t="inlineStr">
        <is>
          <t>Low dependence emphasis</t>
        </is>
      </c>
      <c r="E396" t="inlineStr">
        <is>
          <t>&lt; 3</t>
        </is>
      </c>
      <c r="H396" s="9" t="n"/>
      <c r="I396" s="4">
        <f>IFERROR(IF(NOT(H396=""),ABS(ROUNDDOWN(F396-H396, 3 - (1+INT(LOG10(ABS(F396)))))),""),IF(AND(F396=0,NOT(F396="")),ABS(ROUNDDOWN(F396-H396,0)),""))</f>
        <v/>
      </c>
      <c r="J396" s="4">
        <f>IF(NOT(I396=""),IF(I396&lt;=G396,"match",IF(I396&lt;3*G396,"partial match","no match")),"")</f>
        <v/>
      </c>
      <c r="K396" t="inlineStr">
        <is>
          <t>ngl_lde_2_5D</t>
        </is>
      </c>
    </row>
    <row r="397" ht="15.75" customHeight="1" s="10">
      <c r="A397" t="inlineStr">
        <is>
          <t>configuration A</t>
        </is>
      </c>
      <c r="B397" t="inlineStr">
        <is>
          <t>Neighbouring grey level dependence matrix (2.5D)</t>
        </is>
      </c>
      <c r="C397" t="inlineStr">
        <is>
          <t>High dependence emphasis</t>
        </is>
      </c>
      <c r="E397" t="inlineStr">
        <is>
          <t>&lt; 3</t>
        </is>
      </c>
      <c r="H397" s="9" t="n"/>
      <c r="I397" s="4">
        <f>IFERROR(IF(NOT(H397=""),ABS(ROUNDDOWN(F397-H397, 3 - (1+INT(LOG10(ABS(F397)))))),""),IF(AND(F397=0,NOT(F397="")),ABS(ROUNDDOWN(F397-H397,0)),""))</f>
        <v/>
      </c>
      <c r="J397" s="4">
        <f>IF(NOT(I397=""),IF(I397&lt;=G397,"match",IF(I397&lt;3*G397,"partial match","no match")),"")</f>
        <v/>
      </c>
      <c r="K397" t="inlineStr">
        <is>
          <t>ngl_hde_2_5D</t>
        </is>
      </c>
    </row>
    <row r="398" ht="15.75" customHeight="1" s="10">
      <c r="A398" t="inlineStr">
        <is>
          <t>configuration A</t>
        </is>
      </c>
      <c r="B398" t="inlineStr">
        <is>
          <t>Neighbouring grey level dependence matrix (2.5D)</t>
        </is>
      </c>
      <c r="C398" t="inlineStr">
        <is>
          <t>Low grey level count emphasis</t>
        </is>
      </c>
      <c r="E398" t="inlineStr">
        <is>
          <t>&lt; 3</t>
        </is>
      </c>
      <c r="H398" s="9" t="n"/>
      <c r="I398" s="4">
        <f>IFERROR(IF(NOT(H398=""),ABS(ROUNDDOWN(F398-H398, 3 - (1+INT(LOG10(ABS(F398)))))),""),IF(AND(F398=0,NOT(F398="")),ABS(ROUNDDOWN(F398-H398,0)),""))</f>
        <v/>
      </c>
      <c r="J398" s="4">
        <f>IF(NOT(I398=""),IF(I398&lt;=G398,"match",IF(I398&lt;3*G398,"partial match","no match")),"")</f>
        <v/>
      </c>
      <c r="K398" t="inlineStr">
        <is>
          <t>ngl_lgce_2_5D</t>
        </is>
      </c>
    </row>
    <row r="399" ht="15.75" customHeight="1" s="10">
      <c r="A399" t="inlineStr">
        <is>
          <t>configuration A</t>
        </is>
      </c>
      <c r="B399" t="inlineStr">
        <is>
          <t>Neighbouring grey level dependence matrix (2.5D)</t>
        </is>
      </c>
      <c r="C399" t="inlineStr">
        <is>
          <t>High grey level count emphasis</t>
        </is>
      </c>
      <c r="E399" t="inlineStr">
        <is>
          <t>&lt; 3</t>
        </is>
      </c>
      <c r="H399" s="9" t="n"/>
      <c r="I399" s="4">
        <f>IFERROR(IF(NOT(H399=""),ABS(ROUNDDOWN(F399-H399, 3 - (1+INT(LOG10(ABS(F399)))))),""),IF(AND(F399=0,NOT(F399="")),ABS(ROUNDDOWN(F399-H399,0)),""))</f>
        <v/>
      </c>
      <c r="J399" s="4">
        <f>IF(NOT(I399=""),IF(I399&lt;=G399,"match",IF(I399&lt;3*G399,"partial match","no match")),"")</f>
        <v/>
      </c>
      <c r="K399" t="inlineStr">
        <is>
          <t>ngl_hgce_2_5D</t>
        </is>
      </c>
    </row>
    <row r="400" ht="15.75" customHeight="1" s="10">
      <c r="A400" t="inlineStr">
        <is>
          <t>configuration A</t>
        </is>
      </c>
      <c r="B400" t="inlineStr">
        <is>
          <t>Neighbouring grey level dependence matrix (2.5D)</t>
        </is>
      </c>
      <c r="C400" t="inlineStr">
        <is>
          <t>Low dependence low grey level emphasis</t>
        </is>
      </c>
      <c r="E400" t="inlineStr">
        <is>
          <t>&lt; 3</t>
        </is>
      </c>
      <c r="H400" s="9" t="n"/>
      <c r="I400" s="4">
        <f>IFERROR(IF(NOT(H400=""),ABS(ROUNDDOWN(F400-H400, 3 - (1+INT(LOG10(ABS(F400)))))),""),IF(AND(F400=0,NOT(F400="")),ABS(ROUNDDOWN(F400-H400,0)),""))</f>
        <v/>
      </c>
      <c r="J400" s="4">
        <f>IF(NOT(I400=""),IF(I400&lt;=G400,"match",IF(I400&lt;3*G400,"partial match","no match")),"")</f>
        <v/>
      </c>
      <c r="K400" t="inlineStr">
        <is>
          <t>ngl_ldlge_2_5D</t>
        </is>
      </c>
    </row>
    <row r="401" ht="15.75" customHeight="1" s="10">
      <c r="A401" t="inlineStr">
        <is>
          <t>configuration A</t>
        </is>
      </c>
      <c r="B401" t="inlineStr">
        <is>
          <t>Neighbouring grey level dependence matrix (2.5D)</t>
        </is>
      </c>
      <c r="C401" t="inlineStr">
        <is>
          <t>Low dependence high grey level emphasis</t>
        </is>
      </c>
      <c r="E401" t="inlineStr">
        <is>
          <t>&lt; 3</t>
        </is>
      </c>
      <c r="H401" s="9" t="n"/>
      <c r="I401" s="4">
        <f>IFERROR(IF(NOT(H401=""),ABS(ROUNDDOWN(F401-H401, 3 - (1+INT(LOG10(ABS(F401)))))),""),IF(AND(F401=0,NOT(F401="")),ABS(ROUNDDOWN(F401-H401,0)),""))</f>
        <v/>
      </c>
      <c r="J401" s="4">
        <f>IF(NOT(I401=""),IF(I401&lt;=G401,"match",IF(I401&lt;3*G401,"partial match","no match")),"")</f>
        <v/>
      </c>
      <c r="K401" t="inlineStr">
        <is>
          <t>ngl_ldhge_2_5D</t>
        </is>
      </c>
    </row>
    <row r="402" ht="15.75" customHeight="1" s="10">
      <c r="A402" t="inlineStr">
        <is>
          <t>configuration A</t>
        </is>
      </c>
      <c r="B402" t="inlineStr">
        <is>
          <t>Neighbouring grey level dependence matrix (2.5D)</t>
        </is>
      </c>
      <c r="C402" t="inlineStr">
        <is>
          <t>High dependence low grey level emphasis</t>
        </is>
      </c>
      <c r="E402" t="inlineStr">
        <is>
          <t>&lt; 3</t>
        </is>
      </c>
      <c r="H402" s="9" t="n"/>
      <c r="I402" s="4">
        <f>IFERROR(IF(NOT(H402=""),ABS(ROUNDDOWN(F402-H402, 3 - (1+INT(LOG10(ABS(F402)))))),""),IF(AND(F402=0,NOT(F402="")),ABS(ROUNDDOWN(F402-H402,0)),""))</f>
        <v/>
      </c>
      <c r="J402" s="4">
        <f>IF(NOT(I402=""),IF(I402&lt;=G402,"match",IF(I402&lt;3*G402,"partial match","no match")),"")</f>
        <v/>
      </c>
      <c r="K402" t="inlineStr">
        <is>
          <t>ngl_hdlge_2_5D</t>
        </is>
      </c>
    </row>
    <row r="403" ht="15.75" customHeight="1" s="10">
      <c r="A403" t="inlineStr">
        <is>
          <t>configuration A</t>
        </is>
      </c>
      <c r="B403" t="inlineStr">
        <is>
          <t>Neighbouring grey level dependence matrix (2.5D)</t>
        </is>
      </c>
      <c r="C403" t="inlineStr">
        <is>
          <t>High dependence high grey level emphasis</t>
        </is>
      </c>
      <c r="E403" t="inlineStr">
        <is>
          <t>&lt; 3</t>
        </is>
      </c>
      <c r="H403" s="9" t="n"/>
      <c r="I403" s="4">
        <f>IFERROR(IF(NOT(H403=""),ABS(ROUNDDOWN(F403-H403, 3 - (1+INT(LOG10(ABS(F403)))))),""),IF(AND(F403=0,NOT(F403="")),ABS(ROUNDDOWN(F403-H403,0)),""))</f>
        <v/>
      </c>
      <c r="J403" s="4">
        <f>IF(NOT(I403=""),IF(I403&lt;=G403,"match",IF(I403&lt;3*G403,"partial match","no match")),"")</f>
        <v/>
      </c>
      <c r="K403" t="inlineStr">
        <is>
          <t>ngl_hdhge_2_5D</t>
        </is>
      </c>
    </row>
    <row r="404" ht="15.75" customHeight="1" s="10">
      <c r="A404" t="inlineStr">
        <is>
          <t>configuration A</t>
        </is>
      </c>
      <c r="B404" t="inlineStr">
        <is>
          <t>Neighbouring grey level dependence matrix (2.5D)</t>
        </is>
      </c>
      <c r="C404" t="inlineStr">
        <is>
          <t>Grey level non-uniformity</t>
        </is>
      </c>
      <c r="E404" t="inlineStr">
        <is>
          <t>&lt; 3</t>
        </is>
      </c>
      <c r="H404" s="9" t="n"/>
      <c r="I404" s="4">
        <f>IFERROR(IF(NOT(H404=""),ABS(ROUNDDOWN(F404-H404, 3 - (1+INT(LOG10(ABS(F404)))))),""),IF(AND(F404=0,NOT(F404="")),ABS(ROUNDDOWN(F404-H404,0)),""))</f>
        <v/>
      </c>
      <c r="J404" s="4">
        <f>IF(NOT(I404=""),IF(I404&lt;=G404,"match",IF(I404&lt;3*G404,"partial match","no match")),"")</f>
        <v/>
      </c>
      <c r="K404" t="inlineStr">
        <is>
          <t>ngl_glnu_2_5D</t>
        </is>
      </c>
    </row>
    <row r="405" ht="15.75" customHeight="1" s="10">
      <c r="A405" t="inlineStr">
        <is>
          <t>configuration A</t>
        </is>
      </c>
      <c r="B405" t="inlineStr">
        <is>
          <t>Neighbouring grey level dependence matrix (2.5D)</t>
        </is>
      </c>
      <c r="C405" t="inlineStr">
        <is>
          <t>Grey level non-uniformity normalised</t>
        </is>
      </c>
      <c r="E405" t="inlineStr">
        <is>
          <t>&lt; 3</t>
        </is>
      </c>
      <c r="H405" s="9" t="n"/>
      <c r="I405" s="4">
        <f>IFERROR(IF(NOT(H405=""),ABS(ROUNDDOWN(F405-H405, 3 - (1+INT(LOG10(ABS(F405)))))),""),IF(AND(F405=0,NOT(F405="")),ABS(ROUNDDOWN(F405-H405,0)),""))</f>
        <v/>
      </c>
      <c r="J405" s="4">
        <f>IF(NOT(I405=""),IF(I405&lt;=G405,"match",IF(I405&lt;3*G405,"partial match","no match")),"")</f>
        <v/>
      </c>
      <c r="K405" t="inlineStr">
        <is>
          <t>ngl_glnu_norm_2_5D</t>
        </is>
      </c>
    </row>
    <row r="406" ht="15.75" customHeight="1" s="10">
      <c r="A406" t="inlineStr">
        <is>
          <t>configuration A</t>
        </is>
      </c>
      <c r="B406" t="inlineStr">
        <is>
          <t>Neighbouring grey level dependence matrix (2.5D)</t>
        </is>
      </c>
      <c r="C406" t="inlineStr">
        <is>
          <t>Dependence count non-uniformity</t>
        </is>
      </c>
      <c r="E406" t="inlineStr">
        <is>
          <t>&lt; 3</t>
        </is>
      </c>
      <c r="H406" s="9" t="n"/>
      <c r="I406" s="4">
        <f>IFERROR(IF(NOT(H406=""),ABS(ROUNDDOWN(F406-H406, 3 - (1+INT(LOG10(ABS(F406)))))),""),IF(AND(F406=0,NOT(F406="")),ABS(ROUNDDOWN(F406-H406,0)),""))</f>
        <v/>
      </c>
      <c r="J406" s="4">
        <f>IF(NOT(I406=""),IF(I406&lt;=G406,"match",IF(I406&lt;3*G406,"partial match","no match")),"")</f>
        <v/>
      </c>
      <c r="K406" t="inlineStr">
        <is>
          <t>ngl_dcnu_2_5D</t>
        </is>
      </c>
    </row>
    <row r="407" ht="15.75" customHeight="1" s="10">
      <c r="A407" t="inlineStr">
        <is>
          <t>configuration A</t>
        </is>
      </c>
      <c r="B407" t="inlineStr">
        <is>
          <t>Neighbouring grey level dependence matrix (2.5D)</t>
        </is>
      </c>
      <c r="C407" t="inlineStr">
        <is>
          <t>Dependence count non-uniformity normalised</t>
        </is>
      </c>
      <c r="E407" t="inlineStr">
        <is>
          <t>&lt; 3</t>
        </is>
      </c>
      <c r="H407" s="9" t="n"/>
      <c r="I407" s="4">
        <f>IFERROR(IF(NOT(H407=""),ABS(ROUNDDOWN(F407-H407, 3 - (1+INT(LOG10(ABS(F407)))))),""),IF(AND(F407=0,NOT(F407="")),ABS(ROUNDDOWN(F407-H407,0)),""))</f>
        <v/>
      </c>
      <c r="J407" s="4">
        <f>IF(NOT(I407=""),IF(I407&lt;=G407,"match",IF(I407&lt;3*G407,"partial match","no match")),"")</f>
        <v/>
      </c>
      <c r="K407" t="inlineStr">
        <is>
          <t>ngl_dcnu_norm_2_5D</t>
        </is>
      </c>
    </row>
    <row r="408" ht="15.75" customHeight="1" s="10">
      <c r="A408" t="inlineStr">
        <is>
          <t>configuration A</t>
        </is>
      </c>
      <c r="B408" t="inlineStr">
        <is>
          <t>Neighbouring grey level dependence matrix (2.5D)</t>
        </is>
      </c>
      <c r="C408" t="inlineStr">
        <is>
          <t>Dependence count percentage</t>
        </is>
      </c>
      <c r="E408" t="inlineStr">
        <is>
          <t>&lt; 3</t>
        </is>
      </c>
      <c r="H408" s="9" t="n"/>
      <c r="I408" s="4">
        <f>IFERROR(IF(NOT(H408=""),ABS(ROUNDDOWN(F408-H408, 3 - (1+INT(LOG10(ABS(F408)))))),""),IF(AND(F408=0,NOT(F408="")),ABS(ROUNDDOWN(F408-H408,0)),""))</f>
        <v/>
      </c>
      <c r="J408" s="4">
        <f>IF(NOT(I408=""),IF(I408&lt;=G408,"match",IF(I408&lt;3*G408,"partial match","no match")),"")</f>
        <v/>
      </c>
      <c r="K408" t="inlineStr">
        <is>
          <t>ngl_dc_perc_2_5D</t>
        </is>
      </c>
    </row>
    <row r="409" ht="15.75" customHeight="1" s="10">
      <c r="A409" t="inlineStr">
        <is>
          <t>configuration A</t>
        </is>
      </c>
      <c r="B409" t="inlineStr">
        <is>
          <t>Neighbouring grey level dependence matrix (2.5D)</t>
        </is>
      </c>
      <c r="C409" t="inlineStr">
        <is>
          <t>Grey level variance</t>
        </is>
      </c>
      <c r="E409" t="inlineStr">
        <is>
          <t>&lt; 3</t>
        </is>
      </c>
      <c r="H409" s="9" t="n"/>
      <c r="I409" s="4">
        <f>IFERROR(IF(NOT(H409=""),ABS(ROUNDDOWN(F409-H409, 3 - (1+INT(LOG10(ABS(F409)))))),""),IF(AND(F409=0,NOT(F409="")),ABS(ROUNDDOWN(F409-H409,0)),""))</f>
        <v/>
      </c>
      <c r="J409" s="4">
        <f>IF(NOT(I409=""),IF(I409&lt;=G409,"match",IF(I409&lt;3*G409,"partial match","no match")),"")</f>
        <v/>
      </c>
      <c r="K409" t="inlineStr">
        <is>
          <t>ngl_gl_var_2_5D</t>
        </is>
      </c>
    </row>
    <row r="410" ht="15.75" customHeight="1" s="10">
      <c r="A410" t="inlineStr">
        <is>
          <t>configuration A</t>
        </is>
      </c>
      <c r="B410" t="inlineStr">
        <is>
          <t>Neighbouring grey level dependence matrix (2.5D)</t>
        </is>
      </c>
      <c r="C410" t="inlineStr">
        <is>
          <t>Dependence count variance</t>
        </is>
      </c>
      <c r="E410" t="inlineStr">
        <is>
          <t>&lt; 3</t>
        </is>
      </c>
      <c r="H410" s="9" t="n"/>
      <c r="I410" s="4">
        <f>IFERROR(IF(NOT(H410=""),ABS(ROUNDDOWN(F410-H410, 3 - (1+INT(LOG10(ABS(F410)))))),""),IF(AND(F410=0,NOT(F410="")),ABS(ROUNDDOWN(F410-H410,0)),""))</f>
        <v/>
      </c>
      <c r="J410" s="4">
        <f>IF(NOT(I410=""),IF(I410&lt;=G410,"match",IF(I410&lt;3*G410,"partial match","no match")),"")</f>
        <v/>
      </c>
      <c r="K410" t="inlineStr">
        <is>
          <t>ngl_dc_var_2_5D</t>
        </is>
      </c>
    </row>
    <row r="411" ht="15.75" customHeight="1" s="10">
      <c r="A411" t="inlineStr">
        <is>
          <t>configuration A</t>
        </is>
      </c>
      <c r="B411" t="inlineStr">
        <is>
          <t>Neighbouring grey level dependence matrix (2.5D)</t>
        </is>
      </c>
      <c r="C411" t="inlineStr">
        <is>
          <t>Dependence count entropy</t>
        </is>
      </c>
      <c r="E411" t="inlineStr">
        <is>
          <t>&lt; 3</t>
        </is>
      </c>
      <c r="H411" s="9" t="n"/>
      <c r="I411" s="4">
        <f>IFERROR(IF(NOT(H411=""),ABS(ROUNDDOWN(F411-H411, 3 - (1+INT(LOG10(ABS(F411)))))),""),IF(AND(F411=0,NOT(F411="")),ABS(ROUNDDOWN(F411-H411,0)),""))</f>
        <v/>
      </c>
      <c r="J411" s="4">
        <f>IF(NOT(I411=""),IF(I411&lt;=G411,"match",IF(I411&lt;3*G411,"partial match","no match")),"")</f>
        <v/>
      </c>
      <c r="K411" t="inlineStr">
        <is>
          <t>ngl_dc_entr_2_5D</t>
        </is>
      </c>
    </row>
    <row r="412" ht="15.75" customHeight="1" s="10">
      <c r="A412" t="inlineStr">
        <is>
          <t>configuration A</t>
        </is>
      </c>
      <c r="B412" t="inlineStr">
        <is>
          <t>Neighbouring grey level dependence matrix (2.5D)</t>
        </is>
      </c>
      <c r="C412" t="inlineStr">
        <is>
          <t>Dependence count energy</t>
        </is>
      </c>
      <c r="E412" t="inlineStr">
        <is>
          <t>&lt; 3</t>
        </is>
      </c>
      <c r="H412" s="9" t="n"/>
      <c r="I412" s="4">
        <f>IFERROR(IF(NOT(H412=""),ABS(ROUNDDOWN(F412-H412, 3 - (1+INT(LOG10(ABS(F412)))))),""),IF(AND(F412=0,NOT(F412="")),ABS(ROUNDDOWN(F412-H412,0)),""))</f>
        <v/>
      </c>
      <c r="J412" s="4">
        <f>IF(NOT(I412=""),IF(I412&lt;=G412,"match",IF(I412&lt;3*G412,"partial match","no match")),"")</f>
        <v/>
      </c>
      <c r="K412" t="inlineStr">
        <is>
          <t>ngl_dc_energy_2_5D</t>
        </is>
      </c>
    </row>
  </sheetData>
  <conditionalFormatting sqref="J2:J412">
    <cfRule type="containsBlanks" priority="1" dxfId="3">
      <formula>LEN(TRIM(J2))=0</formula>
    </cfRule>
    <cfRule type="cellIs" priority="2" operator="equal" dxfId="2">
      <formula>"match"</formula>
    </cfRule>
    <cfRule type="cellIs" priority="3" operator="equal" dxfId="1">
      <formula>"partial match"</formula>
    </cfRule>
    <cfRule type="cellIs" priority="4" operator="equal" dxfId="0">
      <formula>"no match"</formula>
    </cfRule>
  </conditionalFormatting>
  <pageMargins left="0.7" right="0.7" top="0.787401575" bottom="0.7874015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412"/>
  <sheetViews>
    <sheetView workbookViewId="0">
      <selection activeCell="D2" sqref="D2"/>
    </sheetView>
  </sheetViews>
  <sheetFormatPr baseColWidth="8" defaultColWidth="14.42578125" defaultRowHeight="15.75" customHeight="1"/>
  <cols>
    <col width="43" customWidth="1" style="10" min="2" max="2"/>
    <col width="50.140625" customWidth="1" style="10" min="3" max="4"/>
    <col width="30.42578125" customWidth="1" style="10" min="11" max="11"/>
  </cols>
  <sheetData>
    <row r="1" ht="15" customHeight="1" s="10">
      <c r="A1" s="1" t="inlineStr">
        <is>
          <t>data_set</t>
        </is>
      </c>
      <c r="B1" s="1" t="inlineStr">
        <is>
          <t>family</t>
        </is>
      </c>
      <c r="C1" s="1" t="inlineStr">
        <is>
          <t>image_biomarker</t>
        </is>
      </c>
      <c r="D1" s="1" t="inlineStr">
        <is>
          <t>RadiomicsJ_NAME</t>
        </is>
      </c>
      <c r="E1" s="1" t="inlineStr">
        <is>
          <t>consensus</t>
        </is>
      </c>
      <c r="F1" s="1" t="inlineStr">
        <is>
          <t>benchmark_value</t>
        </is>
      </c>
      <c r="G1" s="1" t="inlineStr">
        <is>
          <t>tolerance</t>
        </is>
      </c>
      <c r="H1" s="1" t="inlineStr">
        <is>
          <t>your_result</t>
        </is>
      </c>
      <c r="I1" s="1" t="inlineStr">
        <is>
          <t>difference</t>
        </is>
      </c>
      <c r="J1" s="1" t="inlineStr">
        <is>
          <t>check</t>
        </is>
      </c>
      <c r="K1" s="1" t="inlineStr">
        <is>
          <t>tag</t>
        </is>
      </c>
      <c r="L1" t="inlineStr">
        <is>
          <t>reference_status</t>
        </is>
      </c>
    </row>
    <row r="2" ht="15" customHeight="1" s="10">
      <c r="A2" t="inlineStr">
        <is>
          <t>configuration B</t>
        </is>
      </c>
      <c r="B2" t="inlineStr">
        <is>
          <t>Diagnostics-initial image</t>
        </is>
      </c>
      <c r="C2" t="inlineStr">
        <is>
          <t>Image dimension x</t>
        </is>
      </c>
      <c r="E2" t="inlineStr">
        <is>
          <t>6-9</t>
        </is>
      </c>
      <c r="F2" t="n">
        <v>204</v>
      </c>
      <c r="G2" t="n">
        <v>0</v>
      </c>
      <c r="H2" s="9" t="n"/>
      <c r="I2" s="4">
        <f>IFERROR(IF(NOT(H2=""),ABS(ROUNDDOWN(F2-H2, 3 - (1+INT(LOG10(ABS(F2)))))),""),IF(AND(F2=0,NOT(F2="")),ABS(ROUNDDOWN(F2-H2,0)),""))</f>
        <v/>
      </c>
      <c r="J2" s="4">
        <f>IF(NOT(I2=""),IF(I2&lt;=G2,"match",IF(I2&lt;3*G2,"partial match","no match")),"")</f>
        <v/>
      </c>
      <c r="K2" t="inlineStr">
        <is>
          <t>img_dim_x_init_img</t>
        </is>
      </c>
    </row>
    <row r="3" ht="15" customHeight="1" s="10">
      <c r="A3" t="inlineStr">
        <is>
          <t>configuration B</t>
        </is>
      </c>
      <c r="B3" t="inlineStr">
        <is>
          <t>Diagnostics-initial image</t>
        </is>
      </c>
      <c r="C3" t="inlineStr">
        <is>
          <t>Image dimension y</t>
        </is>
      </c>
      <c r="E3" t="inlineStr">
        <is>
          <t>6-9</t>
        </is>
      </c>
      <c r="F3" t="n">
        <v>201</v>
      </c>
      <c r="G3" t="n">
        <v>0</v>
      </c>
      <c r="H3" s="9" t="n"/>
      <c r="I3" s="4">
        <f>IFERROR(IF(NOT(H3=""),ABS(ROUNDDOWN(F3-H3, 3 - (1+INT(LOG10(ABS(F3)))))),""),IF(AND(F3=0,NOT(F3="")),ABS(ROUNDDOWN(F3-H3,0)),""))</f>
        <v/>
      </c>
      <c r="J3" s="4">
        <f>IF(NOT(I3=""),IF(I3&lt;=G3,"match",IF(I3&lt;3*G3,"partial match","no match")),"")</f>
        <v/>
      </c>
      <c r="K3" t="inlineStr">
        <is>
          <t>img_dim_y_init_img</t>
        </is>
      </c>
    </row>
    <row r="4" ht="15" customHeight="1" s="10">
      <c r="A4" t="inlineStr">
        <is>
          <t>configuration B</t>
        </is>
      </c>
      <c r="B4" t="inlineStr">
        <is>
          <t>Diagnostics-initial image</t>
        </is>
      </c>
      <c r="C4" t="inlineStr">
        <is>
          <t>Image dimension z</t>
        </is>
      </c>
      <c r="E4" t="inlineStr">
        <is>
          <t>6-9</t>
        </is>
      </c>
      <c r="F4" t="n">
        <v>60</v>
      </c>
      <c r="G4" t="n">
        <v>0</v>
      </c>
      <c r="H4" s="9" t="n"/>
      <c r="I4" s="4">
        <f>IFERROR(IF(NOT(H4=""),ABS(ROUNDDOWN(F4-H4, 3 - (1+INT(LOG10(ABS(F4)))))),""),IF(AND(F4=0,NOT(F4="")),ABS(ROUNDDOWN(F4-H4,0)),""))</f>
        <v/>
      </c>
      <c r="J4" s="4">
        <f>IF(NOT(I4=""),IF(I4&lt;=G4,"match",IF(I4&lt;3*G4,"partial match","no match")),"")</f>
        <v/>
      </c>
      <c r="K4" t="inlineStr">
        <is>
          <t>img_dim_z_init_img</t>
        </is>
      </c>
    </row>
    <row r="5" ht="15" customHeight="1" s="10">
      <c r="A5" t="inlineStr">
        <is>
          <t>configuration B</t>
        </is>
      </c>
      <c r="B5" t="inlineStr">
        <is>
          <t>Diagnostics-initial image</t>
        </is>
      </c>
      <c r="C5" t="inlineStr">
        <is>
          <t>Voxel dimension x</t>
        </is>
      </c>
      <c r="E5" t="inlineStr">
        <is>
          <t>6-9</t>
        </is>
      </c>
      <c r="F5" t="n">
        <v>0.977</v>
      </c>
      <c r="G5" t="n">
        <v>0</v>
      </c>
      <c r="I5" s="4">
        <f>IFERROR(IF(NOT(H5=""),ABS(ROUNDDOWN(F5-H5, 3 - (1+INT(LOG10(ABS(F5)))))),""),IF(AND(F5=0,NOT(F5="")),ABS(ROUNDDOWN(F5-H5,0)),""))</f>
        <v/>
      </c>
      <c r="J5" s="4">
        <f>IF(NOT(I5=""),IF(I5&lt;=G5,"match",IF(I5&lt;3*G5,"partial match","no match")),"")</f>
        <v/>
      </c>
      <c r="K5" t="inlineStr">
        <is>
          <t>vox_dim_x_init_img</t>
        </is>
      </c>
    </row>
    <row r="6" ht="15" customHeight="1" s="10">
      <c r="A6" t="inlineStr">
        <is>
          <t>configuration B</t>
        </is>
      </c>
      <c r="B6" t="inlineStr">
        <is>
          <t>Diagnostics-initial image</t>
        </is>
      </c>
      <c r="C6" t="inlineStr">
        <is>
          <t>Voxel dimension y</t>
        </is>
      </c>
      <c r="E6" t="inlineStr">
        <is>
          <t>6-9</t>
        </is>
      </c>
      <c r="F6" t="n">
        <v>0.977</v>
      </c>
      <c r="G6" t="n">
        <v>0</v>
      </c>
      <c r="I6" s="4">
        <f>IFERROR(IF(NOT(H6=""),ABS(ROUNDDOWN(F6-H6, 3 - (1+INT(LOG10(ABS(F6)))))),""),IF(AND(F6=0,NOT(F6="")),ABS(ROUNDDOWN(F6-H6,0)),""))</f>
        <v/>
      </c>
      <c r="J6" s="4">
        <f>IF(NOT(I6=""),IF(I6&lt;=G6,"match",IF(I6&lt;3*G6,"partial match","no match")),"")</f>
        <v/>
      </c>
      <c r="K6" t="inlineStr">
        <is>
          <t>vox_dim_y_init_img</t>
        </is>
      </c>
    </row>
    <row r="7" ht="15" customHeight="1" s="10">
      <c r="A7" t="inlineStr">
        <is>
          <t>configuration B</t>
        </is>
      </c>
      <c r="B7" t="inlineStr">
        <is>
          <t>Diagnostics-initial image</t>
        </is>
      </c>
      <c r="C7" t="inlineStr">
        <is>
          <t>Voxel dimension z</t>
        </is>
      </c>
      <c r="E7" t="inlineStr">
        <is>
          <t>6-9</t>
        </is>
      </c>
      <c r="F7" t="n">
        <v>3</v>
      </c>
      <c r="G7" t="n">
        <v>0</v>
      </c>
      <c r="I7" s="4">
        <f>IFERROR(IF(NOT(H7=""),ABS(ROUNDDOWN(F7-H7, 3 - (1+INT(LOG10(ABS(F7)))))),""),IF(AND(F7=0,NOT(F7="")),ABS(ROUNDDOWN(F7-H7,0)),""))</f>
        <v/>
      </c>
      <c r="J7" s="4">
        <f>IF(NOT(I7=""),IF(I7&lt;=G7,"match",IF(I7&lt;3*G7,"partial match","no match")),"")</f>
        <v/>
      </c>
      <c r="K7" t="inlineStr">
        <is>
          <t>vox_dim_z_init_img</t>
        </is>
      </c>
    </row>
    <row r="8" ht="15" customHeight="1" s="10">
      <c r="A8" t="inlineStr">
        <is>
          <t>configuration B</t>
        </is>
      </c>
      <c r="B8" t="inlineStr">
        <is>
          <t>Diagnostics-initial image</t>
        </is>
      </c>
      <c r="C8" t="inlineStr">
        <is>
          <t>Mean intensity</t>
        </is>
      </c>
      <c r="E8" t="inlineStr">
        <is>
          <t>6-9</t>
        </is>
      </c>
      <c r="F8" t="n">
        <v>-266</v>
      </c>
      <c r="G8" t="n">
        <v>0</v>
      </c>
      <c r="I8" s="4">
        <f>IFERROR(IF(NOT(H8=""),ABS(ROUNDDOWN(F8-H8, 3 - (1+INT(LOG10(ABS(F8)))))),""),IF(AND(F8=0,NOT(F8="")),ABS(ROUNDDOWN(F8-H8,0)),""))</f>
        <v/>
      </c>
      <c r="J8" s="4">
        <f>IF(NOT(I8=""),IF(I8&lt;=G8,"match",IF(I8&lt;3*G8,"partial match","no match")),"")</f>
        <v/>
      </c>
      <c r="K8" t="inlineStr">
        <is>
          <t>mean_int_init_img</t>
        </is>
      </c>
    </row>
    <row r="9" ht="15" customHeight="1" s="10">
      <c r="A9" t="inlineStr">
        <is>
          <t>configuration B</t>
        </is>
      </c>
      <c r="B9" t="inlineStr">
        <is>
          <t>Diagnostics-initial image</t>
        </is>
      </c>
      <c r="C9" t="inlineStr">
        <is>
          <t>Minimum intensity</t>
        </is>
      </c>
      <c r="E9" t="inlineStr">
        <is>
          <t>6-9</t>
        </is>
      </c>
      <c r="F9" t="n">
        <v>-1000</v>
      </c>
      <c r="G9" t="n">
        <v>0</v>
      </c>
      <c r="I9" s="4">
        <f>IFERROR(IF(NOT(H9=""),ABS(ROUNDDOWN(F9-H9, 3 - (1+INT(LOG10(ABS(F9)))))),""),IF(AND(F9=0,NOT(F9="")),ABS(ROUNDDOWN(F9-H9,0)),""))</f>
        <v/>
      </c>
      <c r="J9" s="4">
        <f>IF(NOT(I9=""),IF(I9&lt;=G9,"match",IF(I9&lt;3*G9,"partial match","no match")),"")</f>
        <v/>
      </c>
      <c r="K9" t="inlineStr">
        <is>
          <t>min_int_init_img</t>
        </is>
      </c>
    </row>
    <row r="10" ht="15" customHeight="1" s="10">
      <c r="A10" t="inlineStr">
        <is>
          <t>configuration B</t>
        </is>
      </c>
      <c r="B10" t="inlineStr">
        <is>
          <t>Diagnostics-initial image</t>
        </is>
      </c>
      <c r="C10" t="inlineStr">
        <is>
          <t>Maximum intensity</t>
        </is>
      </c>
      <c r="E10" t="inlineStr">
        <is>
          <t>6-9</t>
        </is>
      </c>
      <c r="F10" t="n">
        <v>3065</v>
      </c>
      <c r="G10" t="n">
        <v>0</v>
      </c>
      <c r="I10" s="4">
        <f>IFERROR(IF(NOT(H10=""),ABS(ROUNDDOWN(F10-H10, 3 - (1+INT(LOG10(ABS(F10)))))),""),IF(AND(F10=0,NOT(F10="")),ABS(ROUNDDOWN(F10-H10,0)),""))</f>
        <v/>
      </c>
      <c r="J10" s="4">
        <f>IF(NOT(I10=""),IF(I10&lt;=G10,"match",IF(I10&lt;3*G10,"partial match","no match")),"")</f>
        <v/>
      </c>
      <c r="K10" t="inlineStr">
        <is>
          <t>max_int_init_img</t>
        </is>
      </c>
    </row>
    <row r="11" ht="15" customHeight="1" s="10">
      <c r="A11" t="inlineStr">
        <is>
          <t>configuration B</t>
        </is>
      </c>
      <c r="B11" t="inlineStr">
        <is>
          <t>Diagnostics-interpolated image</t>
        </is>
      </c>
      <c r="C11" t="inlineStr">
        <is>
          <t>Image dimension x</t>
        </is>
      </c>
      <c r="E11" t="inlineStr">
        <is>
          <t>6-9</t>
        </is>
      </c>
      <c r="F11" t="n">
        <v>100</v>
      </c>
      <c r="G11" t="n">
        <v>1</v>
      </c>
      <c r="I11" s="4">
        <f>IFERROR(IF(NOT(H11=""),ABS(ROUNDDOWN(F11-H11, 3 - (1+INT(LOG10(ABS(F11)))))),""),IF(AND(F11=0,NOT(F11="")),ABS(ROUNDDOWN(F11-H11,0)),""))</f>
        <v/>
      </c>
      <c r="J11" s="4">
        <f>IF(NOT(I11=""),IF(I11&lt;=G11,"match",IF(I11&lt;3*G11,"partial match","no match")),"")</f>
        <v/>
      </c>
      <c r="K11" t="inlineStr">
        <is>
          <t>img_dim_x_interp_img</t>
        </is>
      </c>
    </row>
    <row r="12" ht="15" customHeight="1" s="10">
      <c r="A12" t="inlineStr">
        <is>
          <t>configuration B</t>
        </is>
      </c>
      <c r="B12" t="inlineStr">
        <is>
          <t>Diagnostics-interpolated image</t>
        </is>
      </c>
      <c r="C12" t="inlineStr">
        <is>
          <t>Image dimension y</t>
        </is>
      </c>
      <c r="E12" t="inlineStr">
        <is>
          <t>6-9</t>
        </is>
      </c>
      <c r="F12" t="n">
        <v>99</v>
      </c>
      <c r="G12" t="n">
        <v>0.8</v>
      </c>
      <c r="I12" s="4">
        <f>IFERROR(IF(NOT(H12=""),ABS(ROUNDDOWN(F12-H12, 3 - (1+INT(LOG10(ABS(F12)))))),""),IF(AND(F12=0,NOT(F12="")),ABS(ROUNDDOWN(F12-H12,0)),""))</f>
        <v/>
      </c>
      <c r="J12" s="4">
        <f>IF(NOT(I12=""),IF(I12&lt;=G12,"match",IF(I12&lt;3*G12,"partial match","no match")),"")</f>
        <v/>
      </c>
      <c r="K12" t="inlineStr">
        <is>
          <t>img_dim_y_interp_img</t>
        </is>
      </c>
    </row>
    <row r="13" ht="15" customHeight="1" s="10">
      <c r="A13" t="inlineStr">
        <is>
          <t>configuration B</t>
        </is>
      </c>
      <c r="B13" t="inlineStr">
        <is>
          <t>Diagnostics-interpolated image</t>
        </is>
      </c>
      <c r="C13" t="inlineStr">
        <is>
          <t>Image dimension z</t>
        </is>
      </c>
      <c r="E13" t="inlineStr">
        <is>
          <t>6-9</t>
        </is>
      </c>
      <c r="F13" t="n">
        <v>60</v>
      </c>
      <c r="G13" t="n">
        <v>0</v>
      </c>
      <c r="I13" s="4">
        <f>IFERROR(IF(NOT(H13=""),ABS(ROUNDDOWN(F13-H13, 3 - (1+INT(LOG10(ABS(F13)))))),""),IF(AND(F13=0,NOT(F13="")),ABS(ROUNDDOWN(F13-H13,0)),""))</f>
        <v/>
      </c>
      <c r="J13" s="4">
        <f>IF(NOT(I13=""),IF(I13&lt;=G13,"match",IF(I13&lt;3*G13,"partial match","no match")),"")</f>
        <v/>
      </c>
      <c r="K13" t="inlineStr">
        <is>
          <t>img_dim_z_interp_img</t>
        </is>
      </c>
    </row>
    <row r="14" ht="15" customHeight="1" s="10">
      <c r="A14" t="inlineStr">
        <is>
          <t>configuration B</t>
        </is>
      </c>
      <c r="B14" t="inlineStr">
        <is>
          <t>Diagnostics-interpolated image</t>
        </is>
      </c>
      <c r="C14" t="inlineStr">
        <is>
          <t>Voxel dimension x</t>
        </is>
      </c>
      <c r="E14" t="inlineStr">
        <is>
          <t>6-9</t>
        </is>
      </c>
      <c r="F14" t="n">
        <v>2</v>
      </c>
      <c r="G14" t="n">
        <v>0</v>
      </c>
      <c r="I14" s="4">
        <f>IFERROR(IF(NOT(H14=""),ABS(ROUNDDOWN(F14-H14, 3 - (1+INT(LOG10(ABS(F14)))))),""),IF(AND(F14=0,NOT(F14="")),ABS(ROUNDDOWN(F14-H14,0)),""))</f>
        <v/>
      </c>
      <c r="J14" s="4">
        <f>IF(NOT(I14=""),IF(I14&lt;=G14,"match",IF(I14&lt;3*G14,"partial match","no match")),"")</f>
        <v/>
      </c>
      <c r="K14" t="inlineStr">
        <is>
          <t>vox_dim_x_interp_img</t>
        </is>
      </c>
    </row>
    <row r="15" ht="15" customHeight="1" s="10">
      <c r="A15" t="inlineStr">
        <is>
          <t>configuration B</t>
        </is>
      </c>
      <c r="B15" t="inlineStr">
        <is>
          <t>Diagnostics-interpolated image</t>
        </is>
      </c>
      <c r="C15" t="inlineStr">
        <is>
          <t>Voxel dimension y</t>
        </is>
      </c>
      <c r="E15" t="inlineStr">
        <is>
          <t>6-9</t>
        </is>
      </c>
      <c r="F15" t="n">
        <v>2</v>
      </c>
      <c r="G15" t="n">
        <v>0</v>
      </c>
      <c r="I15" s="4">
        <f>IFERROR(IF(NOT(H15=""),ABS(ROUNDDOWN(F15-H15, 3 - (1+INT(LOG10(ABS(F15)))))),""),IF(AND(F15=0,NOT(F15="")),ABS(ROUNDDOWN(F15-H15,0)),""))</f>
        <v/>
      </c>
      <c r="J15" s="4">
        <f>IF(NOT(I15=""),IF(I15&lt;=G15,"match",IF(I15&lt;3*G15,"partial match","no match")),"")</f>
        <v/>
      </c>
      <c r="K15" t="inlineStr">
        <is>
          <t>vox_dim_y_interp_img</t>
        </is>
      </c>
    </row>
    <row r="16" ht="15" customHeight="1" s="10">
      <c r="A16" t="inlineStr">
        <is>
          <t>configuration B</t>
        </is>
      </c>
      <c r="B16" t="inlineStr">
        <is>
          <t>Diagnostics-interpolated image</t>
        </is>
      </c>
      <c r="C16" t="inlineStr">
        <is>
          <t>Voxel dimension z</t>
        </is>
      </c>
      <c r="E16" t="inlineStr">
        <is>
          <t>6-9</t>
        </is>
      </c>
      <c r="F16" t="n">
        <v>3</v>
      </c>
      <c r="G16" t="n">
        <v>0</v>
      </c>
      <c r="I16" s="4">
        <f>IFERROR(IF(NOT(H16=""),ABS(ROUNDDOWN(F16-H16, 3 - (1+INT(LOG10(ABS(F16)))))),""),IF(AND(F16=0,NOT(F16="")),ABS(ROUNDDOWN(F16-H16,0)),""))</f>
        <v/>
      </c>
      <c r="J16" s="4">
        <f>IF(NOT(I16=""),IF(I16&lt;=G16,"match",IF(I16&lt;3*G16,"partial match","no match")),"")</f>
        <v/>
      </c>
      <c r="K16" t="inlineStr">
        <is>
          <t>vox_dim_z_interp_img</t>
        </is>
      </c>
    </row>
    <row r="17" ht="15" customHeight="1" s="10">
      <c r="A17" t="inlineStr">
        <is>
          <t>configuration B</t>
        </is>
      </c>
      <c r="B17" t="inlineStr">
        <is>
          <t>Diagnostics-interpolated image</t>
        </is>
      </c>
      <c r="C17" t="inlineStr">
        <is>
          <t>Mean intensity</t>
        </is>
      </c>
      <c r="E17" t="inlineStr">
        <is>
          <t>6-9</t>
        </is>
      </c>
      <c r="F17" t="n">
        <v>-270</v>
      </c>
      <c r="G17" t="n">
        <v>3</v>
      </c>
      <c r="I17" s="4">
        <f>IFERROR(IF(NOT(H17=""),ABS(ROUNDDOWN(F17-H17, 3 - (1+INT(LOG10(ABS(F17)))))),""),IF(AND(F17=0,NOT(F17="")),ABS(ROUNDDOWN(F17-H17,0)),""))</f>
        <v/>
      </c>
      <c r="J17" s="4">
        <f>IF(NOT(I17=""),IF(I17&lt;=G17,"match",IF(I17&lt;3*G17,"partial match","no match")),"")</f>
        <v/>
      </c>
      <c r="K17" t="inlineStr">
        <is>
          <t>mean_int_interp_img</t>
        </is>
      </c>
    </row>
    <row r="18" ht="15" customHeight="1" s="10">
      <c r="A18" t="inlineStr">
        <is>
          <t>configuration B</t>
        </is>
      </c>
      <c r="B18" t="inlineStr">
        <is>
          <t>Diagnostics-interpolated image</t>
        </is>
      </c>
      <c r="C18" t="inlineStr">
        <is>
          <t>Minimum intensity</t>
        </is>
      </c>
      <c r="E18" t="inlineStr">
        <is>
          <t>6-9</t>
        </is>
      </c>
      <c r="F18" t="n">
        <v>-1000</v>
      </c>
      <c r="G18" t="n">
        <v>0</v>
      </c>
      <c r="I18" s="4">
        <f>IFERROR(IF(NOT(H18=""),ABS(ROUNDDOWN(F18-H18, 3 - (1+INT(LOG10(ABS(F18)))))),""),IF(AND(F18=0,NOT(F18="")),ABS(ROUNDDOWN(F18-H18,0)),""))</f>
        <v/>
      </c>
      <c r="J18" s="4">
        <f>IF(NOT(I18=""),IF(I18&lt;=G18,"match",IF(I18&lt;3*G18,"partial match","no match")),"")</f>
        <v/>
      </c>
      <c r="K18" t="inlineStr">
        <is>
          <t>min_int_interp_img</t>
        </is>
      </c>
    </row>
    <row r="19" ht="15" customHeight="1" s="10">
      <c r="A19" t="inlineStr">
        <is>
          <t>configuration B</t>
        </is>
      </c>
      <c r="B19" t="inlineStr">
        <is>
          <t>Diagnostics-interpolated image</t>
        </is>
      </c>
      <c r="C19" t="inlineStr">
        <is>
          <t>Maximum intensity</t>
        </is>
      </c>
      <c r="E19" t="inlineStr">
        <is>
          <t>6-9</t>
        </is>
      </c>
      <c r="F19" t="n">
        <v>2257</v>
      </c>
      <c r="G19" t="n">
        <v>30</v>
      </c>
      <c r="I19" s="4">
        <f>IFERROR(IF(NOT(H19=""),ABS(ROUNDDOWN(F19-H19, 3 - (1+INT(LOG10(ABS(F19)))))),""),IF(AND(F19=0,NOT(F19="")),ABS(ROUNDDOWN(F19-H19,0)),""))</f>
        <v/>
      </c>
      <c r="J19" s="4">
        <f>IF(NOT(I19=""),IF(I19&lt;=G19,"match",IF(I19&lt;3*G19,"partial match","no match")),"")</f>
        <v/>
      </c>
      <c r="K19" t="inlineStr">
        <is>
          <t>max_int_interp_img</t>
        </is>
      </c>
    </row>
    <row r="20" ht="15" customHeight="1" s="10">
      <c r="A20" t="inlineStr">
        <is>
          <t>configuration B</t>
        </is>
      </c>
      <c r="B20" t="inlineStr">
        <is>
          <t>Diagnostics-initial ROI</t>
        </is>
      </c>
      <c r="C20" t="inlineStr">
        <is>
          <t>Int. mask dimension x</t>
        </is>
      </c>
      <c r="E20" t="inlineStr">
        <is>
          <t>6-9</t>
        </is>
      </c>
      <c r="F20" t="n">
        <v>204</v>
      </c>
      <c r="G20" t="n">
        <v>0</v>
      </c>
      <c r="I20" s="4">
        <f>IFERROR(IF(NOT(H20=""),ABS(ROUNDDOWN(F20-H20, 3 - (1+INT(LOG10(ABS(F20)))))),""),IF(AND(F20=0,NOT(F20="")),ABS(ROUNDDOWN(F20-H20,0)),""))</f>
        <v/>
      </c>
      <c r="J20" s="4">
        <f>IF(NOT(I20=""),IF(I20&lt;=G20,"match",IF(I20&lt;3*G20,"partial match","no match")),"")</f>
        <v/>
      </c>
      <c r="K20" t="inlineStr">
        <is>
          <t>int_mask_dim_x_init_roi</t>
        </is>
      </c>
    </row>
    <row r="21" ht="15" customHeight="1" s="10">
      <c r="A21" t="inlineStr">
        <is>
          <t>configuration B</t>
        </is>
      </c>
      <c r="B21" t="inlineStr">
        <is>
          <t>Diagnostics-initial ROI</t>
        </is>
      </c>
      <c r="C21" t="inlineStr">
        <is>
          <t>Int. mask dimension y</t>
        </is>
      </c>
      <c r="E21" t="inlineStr">
        <is>
          <t>6-9</t>
        </is>
      </c>
      <c r="F21" t="n">
        <v>201</v>
      </c>
      <c r="G21" t="n">
        <v>0</v>
      </c>
      <c r="I21" s="4">
        <f>IFERROR(IF(NOT(H21=""),ABS(ROUNDDOWN(F21-H21, 3 - (1+INT(LOG10(ABS(F21)))))),""),IF(AND(F21=0,NOT(F21="")),ABS(ROUNDDOWN(F21-H21,0)),""))</f>
        <v/>
      </c>
      <c r="J21" s="4">
        <f>IF(NOT(I21=""),IF(I21&lt;=G21,"match",IF(I21&lt;3*G21,"partial match","no match")),"")</f>
        <v/>
      </c>
      <c r="K21" t="inlineStr">
        <is>
          <t>int_mask_dim_y_init_roi</t>
        </is>
      </c>
    </row>
    <row r="22" ht="15" customHeight="1" s="10">
      <c r="A22" t="inlineStr">
        <is>
          <t>configuration B</t>
        </is>
      </c>
      <c r="B22" t="inlineStr">
        <is>
          <t>Diagnostics-initial ROI</t>
        </is>
      </c>
      <c r="C22" t="inlineStr">
        <is>
          <t>Int. mask dimension z</t>
        </is>
      </c>
      <c r="E22" t="inlineStr">
        <is>
          <t>6-9</t>
        </is>
      </c>
      <c r="F22" t="n">
        <v>60</v>
      </c>
      <c r="G22" t="n">
        <v>0</v>
      </c>
      <c r="I22" s="4">
        <f>IFERROR(IF(NOT(H22=""),ABS(ROUNDDOWN(F22-H22, 3 - (1+INT(LOG10(ABS(F22)))))),""),IF(AND(F22=0,NOT(F22="")),ABS(ROUNDDOWN(F22-H22,0)),""))</f>
        <v/>
      </c>
      <c r="J22" s="4">
        <f>IF(NOT(I22=""),IF(I22&lt;=G22,"match",IF(I22&lt;3*G22,"partial match","no match")),"")</f>
        <v/>
      </c>
      <c r="K22" t="inlineStr">
        <is>
          <t>int_mask_dim_z_init_roi</t>
        </is>
      </c>
    </row>
    <row r="23" ht="15" customHeight="1" s="10">
      <c r="A23" t="inlineStr">
        <is>
          <t>configuration B</t>
        </is>
      </c>
      <c r="B23" t="inlineStr">
        <is>
          <t>Diagnostics-initial ROI</t>
        </is>
      </c>
      <c r="C23" t="inlineStr">
        <is>
          <t>Int. mask bounding box dimension x</t>
        </is>
      </c>
      <c r="E23" t="inlineStr">
        <is>
          <t>6-9</t>
        </is>
      </c>
      <c r="F23" t="n">
        <v>100</v>
      </c>
      <c r="G23" t="n">
        <v>0</v>
      </c>
      <c r="I23" s="4">
        <f>IFERROR(IF(NOT(H23=""),ABS(ROUNDDOWN(F23-H23, 3 - (1+INT(LOG10(ABS(F23)))))),""),IF(AND(F23=0,NOT(F23="")),ABS(ROUNDDOWN(F23-H23,0)),""))</f>
        <v/>
      </c>
      <c r="J23" s="4">
        <f>IF(NOT(I23=""),IF(I23&lt;=G23,"match",IF(I23&lt;3*G23,"partial match","no match")),"")</f>
        <v/>
      </c>
      <c r="K23" t="inlineStr">
        <is>
          <t>int_mask_bb_dim_x_init_roi</t>
        </is>
      </c>
    </row>
    <row r="24" ht="15" customHeight="1" s="10">
      <c r="A24" t="inlineStr">
        <is>
          <t>configuration B</t>
        </is>
      </c>
      <c r="B24" t="inlineStr">
        <is>
          <t>Diagnostics-initial ROI</t>
        </is>
      </c>
      <c r="C24" t="inlineStr">
        <is>
          <t>Int. mask bounding box dimension y</t>
        </is>
      </c>
      <c r="E24" t="inlineStr">
        <is>
          <t>6-9</t>
        </is>
      </c>
      <c r="F24" t="n">
        <v>99</v>
      </c>
      <c r="G24" t="n">
        <v>0</v>
      </c>
      <c r="I24" s="4">
        <f>IFERROR(IF(NOT(H24=""),ABS(ROUNDDOWN(F24-H24, 3 - (1+INT(LOG10(ABS(F24)))))),""),IF(AND(F24=0,NOT(F24="")),ABS(ROUNDDOWN(F24-H24,0)),""))</f>
        <v/>
      </c>
      <c r="J24" s="4">
        <f>IF(NOT(I24=""),IF(I24&lt;=G24,"match",IF(I24&lt;3*G24,"partial match","no match")),"")</f>
        <v/>
      </c>
      <c r="K24" t="inlineStr">
        <is>
          <t>int_mask_bb_dim_y_init_roi</t>
        </is>
      </c>
    </row>
    <row r="25" ht="15" customHeight="1" s="10">
      <c r="A25" t="inlineStr">
        <is>
          <t>configuration B</t>
        </is>
      </c>
      <c r="B25" t="inlineStr">
        <is>
          <t>Diagnostics-initial ROI</t>
        </is>
      </c>
      <c r="C25" t="inlineStr">
        <is>
          <t>Int. mask bounding box dimension z</t>
        </is>
      </c>
      <c r="E25" t="inlineStr">
        <is>
          <t>6-9</t>
        </is>
      </c>
      <c r="F25" t="n">
        <v>26</v>
      </c>
      <c r="G25" t="n">
        <v>0</v>
      </c>
      <c r="I25" s="4">
        <f>IFERROR(IF(NOT(H25=""),ABS(ROUNDDOWN(F25-H25, 3 - (1+INT(LOG10(ABS(F25)))))),""),IF(AND(F25=0,NOT(F25="")),ABS(ROUNDDOWN(F25-H25,0)),""))</f>
        <v/>
      </c>
      <c r="J25" s="4">
        <f>IF(NOT(I25=""),IF(I25&lt;=G25,"match",IF(I25&lt;3*G25,"partial match","no match")),"")</f>
        <v/>
      </c>
      <c r="K25" t="inlineStr">
        <is>
          <t>int_mask_bb_dim_z_init_roi</t>
        </is>
      </c>
    </row>
    <row r="26" ht="15" customHeight="1" s="10">
      <c r="A26" t="inlineStr">
        <is>
          <t>configuration B</t>
        </is>
      </c>
      <c r="B26" t="inlineStr">
        <is>
          <t>Diagnostics-initial ROI</t>
        </is>
      </c>
      <c r="C26" t="inlineStr">
        <is>
          <t>Morph. mask bounding box dimension x</t>
        </is>
      </c>
      <c r="E26" t="inlineStr">
        <is>
          <t>3-5</t>
        </is>
      </c>
      <c r="F26" t="n">
        <v>100</v>
      </c>
      <c r="G26" t="n">
        <v>0</v>
      </c>
      <c r="I26" s="4">
        <f>IFERROR(IF(NOT(H26=""),ABS(ROUNDDOWN(F26-H26, 3 - (1+INT(LOG10(ABS(F26)))))),""),IF(AND(F26=0,NOT(F26="")),ABS(ROUNDDOWN(F26-H26,0)),""))</f>
        <v/>
      </c>
      <c r="J26" s="4">
        <f>IF(NOT(I26=""),IF(I26&lt;=G26,"match",IF(I26&lt;3*G26,"partial match","no match")),"")</f>
        <v/>
      </c>
      <c r="K26" t="inlineStr">
        <is>
          <t>morph_mask_bb_dim_x_init_roi</t>
        </is>
      </c>
    </row>
    <row r="27" ht="15" customHeight="1" s="10">
      <c r="A27" t="inlineStr">
        <is>
          <t>configuration B</t>
        </is>
      </c>
      <c r="B27" t="inlineStr">
        <is>
          <t>Diagnostics-initial ROI</t>
        </is>
      </c>
      <c r="C27" t="inlineStr">
        <is>
          <t>Morph. mask bounding box dimension y</t>
        </is>
      </c>
      <c r="E27" t="inlineStr">
        <is>
          <t>3-5</t>
        </is>
      </c>
      <c r="F27" t="n">
        <v>99</v>
      </c>
      <c r="G27" t="n">
        <v>0</v>
      </c>
      <c r="I27" s="4">
        <f>IFERROR(IF(NOT(H27=""),ABS(ROUNDDOWN(F27-H27, 3 - (1+INT(LOG10(ABS(F27)))))),""),IF(AND(F27=0,NOT(F27="")),ABS(ROUNDDOWN(F27-H27,0)),""))</f>
        <v/>
      </c>
      <c r="J27" s="4">
        <f>IF(NOT(I27=""),IF(I27&lt;=G27,"match",IF(I27&lt;3*G27,"partial match","no match")),"")</f>
        <v/>
      </c>
      <c r="K27" t="inlineStr">
        <is>
          <t>morph_mask_bb_dim_y_init_roi</t>
        </is>
      </c>
    </row>
    <row r="28" ht="15" customHeight="1" s="10">
      <c r="A28" t="inlineStr">
        <is>
          <t>configuration B</t>
        </is>
      </c>
      <c r="B28" t="inlineStr">
        <is>
          <t>Diagnostics-initial ROI</t>
        </is>
      </c>
      <c r="C28" t="inlineStr">
        <is>
          <t>Morph. mask bounding box dimension z</t>
        </is>
      </c>
      <c r="E28" t="inlineStr">
        <is>
          <t>3-5</t>
        </is>
      </c>
      <c r="F28" t="n">
        <v>26</v>
      </c>
      <c r="G28" t="n">
        <v>0</v>
      </c>
      <c r="I28" s="4">
        <f>IFERROR(IF(NOT(H28=""),ABS(ROUNDDOWN(F28-H28, 3 - (1+INT(LOG10(ABS(F28)))))),""),IF(AND(F28=0,NOT(F28="")),ABS(ROUNDDOWN(F28-H28,0)),""))</f>
        <v/>
      </c>
      <c r="J28" s="4">
        <f>IF(NOT(I28=""),IF(I28&lt;=G28,"match",IF(I28&lt;3*G28,"partial match","no match")),"")</f>
        <v/>
      </c>
      <c r="K28" t="inlineStr">
        <is>
          <t>morph_mask_bb_dim_z_init_roi</t>
        </is>
      </c>
    </row>
    <row r="29" ht="15" customHeight="1" s="10">
      <c r="A29" t="inlineStr">
        <is>
          <t>configuration B</t>
        </is>
      </c>
      <c r="B29" t="inlineStr">
        <is>
          <t>Diagnostics-initial ROI</t>
        </is>
      </c>
      <c r="C29" t="inlineStr">
        <is>
          <t>Int. mask voxel count</t>
        </is>
      </c>
      <c r="E29" t="inlineStr">
        <is>
          <t>6-9</t>
        </is>
      </c>
      <c r="F29" t="n">
        <v>125256</v>
      </c>
      <c r="G29" t="n">
        <v>0</v>
      </c>
      <c r="I29" s="4">
        <f>IFERROR(IF(NOT(H29=""),ABS(ROUNDDOWN(F29-H29, 3 - (1+INT(LOG10(ABS(F29)))))),""),IF(AND(F29=0,NOT(F29="")),ABS(ROUNDDOWN(F29-H29,0)),""))</f>
        <v/>
      </c>
      <c r="J29" s="4">
        <f>IF(NOT(I29=""),IF(I29&lt;=G29,"match",IF(I29&lt;3*G29,"partial match","no match")),"")</f>
        <v/>
      </c>
      <c r="K29" t="inlineStr">
        <is>
          <t>int_mask_vox_count_init_roi</t>
        </is>
      </c>
    </row>
    <row r="30" ht="15" customHeight="1" s="10">
      <c r="A30" t="inlineStr">
        <is>
          <t>configuration B</t>
        </is>
      </c>
      <c r="B30" t="inlineStr">
        <is>
          <t>Diagnostics-initial ROI</t>
        </is>
      </c>
      <c r="C30" t="inlineStr">
        <is>
          <t>Morph. mask voxel count</t>
        </is>
      </c>
      <c r="E30" t="inlineStr">
        <is>
          <t>3-5</t>
        </is>
      </c>
      <c r="F30" t="n">
        <v>125256</v>
      </c>
      <c r="G30" t="n">
        <v>0</v>
      </c>
      <c r="I30" s="4">
        <f>IFERROR(IF(NOT(H30=""),ABS(ROUNDDOWN(F30-H30, 3 - (1+INT(LOG10(ABS(F30)))))),""),IF(AND(F30=0,NOT(F30="")),ABS(ROUNDDOWN(F30-H30,0)),""))</f>
        <v/>
      </c>
      <c r="J30" s="4">
        <f>IF(NOT(I30=""),IF(I30&lt;=G30,"match",IF(I30&lt;3*G30,"partial match","no match")),"")</f>
        <v/>
      </c>
      <c r="K30" t="inlineStr">
        <is>
          <t>morph_mask_vox_count_init_roi</t>
        </is>
      </c>
    </row>
    <row r="31" ht="15" customHeight="1" s="10">
      <c r="A31" t="inlineStr">
        <is>
          <t>configuration B</t>
        </is>
      </c>
      <c r="B31" t="inlineStr">
        <is>
          <t>Diagnostics-initial ROI</t>
        </is>
      </c>
      <c r="C31" t="inlineStr">
        <is>
          <t>Int. mask mean intensity</t>
        </is>
      </c>
      <c r="E31" t="inlineStr">
        <is>
          <t>6-9</t>
        </is>
      </c>
      <c r="F31" t="n">
        <v>-46.9</v>
      </c>
      <c r="G31" t="n">
        <v>0</v>
      </c>
      <c r="I31" s="4">
        <f>IFERROR(IF(NOT(H31=""),ABS(ROUNDDOWN(F31-H31, 3 - (1+INT(LOG10(ABS(F31)))))),""),IF(AND(F31=0,NOT(F31="")),ABS(ROUNDDOWN(F31-H31,0)),""))</f>
        <v/>
      </c>
      <c r="J31" s="4">
        <f>IF(NOT(I31=""),IF(I31&lt;=G31,"match",IF(I31&lt;3*G31,"partial match","no match")),"")</f>
        <v/>
      </c>
      <c r="K31" t="inlineStr">
        <is>
          <t>int_mask_mean_int_init_roi</t>
        </is>
      </c>
    </row>
    <row r="32" ht="15" customHeight="1" s="10">
      <c r="A32" t="inlineStr">
        <is>
          <t>configuration B</t>
        </is>
      </c>
      <c r="B32" t="inlineStr">
        <is>
          <t>Diagnostics-initial ROI</t>
        </is>
      </c>
      <c r="C32" t="inlineStr">
        <is>
          <t>Int. mask minimum intensity</t>
        </is>
      </c>
      <c r="E32" t="inlineStr">
        <is>
          <t>6-9</t>
        </is>
      </c>
      <c r="F32" t="n">
        <v>-1000</v>
      </c>
      <c r="G32" t="n">
        <v>0</v>
      </c>
      <c r="I32" s="4">
        <f>IFERROR(IF(NOT(H32=""),ABS(ROUNDDOWN(F32-H32, 3 - (1+INT(LOG10(ABS(F32)))))),""),IF(AND(F32=0,NOT(F32="")),ABS(ROUNDDOWN(F32-H32,0)),""))</f>
        <v/>
      </c>
      <c r="J32" s="4">
        <f>IF(NOT(I32=""),IF(I32&lt;=G32,"match",IF(I32&lt;3*G32,"partial match","no match")),"")</f>
        <v/>
      </c>
      <c r="K32" t="inlineStr">
        <is>
          <t>int_mask_min_int_init_roi</t>
        </is>
      </c>
    </row>
    <row r="33" ht="15" customHeight="1" s="10">
      <c r="A33" t="inlineStr">
        <is>
          <t>configuration B</t>
        </is>
      </c>
      <c r="B33" t="inlineStr">
        <is>
          <t>Diagnostics-initial ROI</t>
        </is>
      </c>
      <c r="C33" t="inlineStr">
        <is>
          <t>Int. mask maximum intensity</t>
        </is>
      </c>
      <c r="E33" t="inlineStr">
        <is>
          <t>6-9</t>
        </is>
      </c>
      <c r="F33" t="n">
        <v>723</v>
      </c>
      <c r="G33" t="n">
        <v>0</v>
      </c>
      <c r="I33" s="4">
        <f>IFERROR(IF(NOT(H33=""),ABS(ROUNDDOWN(F33-H33, 3 - (1+INT(LOG10(ABS(F33)))))),""),IF(AND(F33=0,NOT(F33="")),ABS(ROUNDDOWN(F33-H33,0)),""))</f>
        <v/>
      </c>
      <c r="J33" s="4">
        <f>IF(NOT(I33=""),IF(I33&lt;=G33,"match",IF(I33&lt;3*G33,"partial match","no match")),"")</f>
        <v/>
      </c>
      <c r="K33" t="inlineStr">
        <is>
          <t>int_mask_max_int_init_roi</t>
        </is>
      </c>
    </row>
    <row r="34" ht="15" customHeight="1" s="10">
      <c r="A34" t="inlineStr">
        <is>
          <t>configuration B</t>
        </is>
      </c>
      <c r="B34" t="inlineStr">
        <is>
          <t>Diagnostics-interpolated ROI</t>
        </is>
      </c>
      <c r="C34" t="inlineStr">
        <is>
          <t>Int. mask dimension x</t>
        </is>
      </c>
      <c r="E34" t="inlineStr">
        <is>
          <t>6-9</t>
        </is>
      </c>
      <c r="F34" t="n">
        <v>100</v>
      </c>
      <c r="G34" t="n">
        <v>1</v>
      </c>
      <c r="I34" s="4">
        <f>IFERROR(IF(NOT(H34=""),ABS(ROUNDDOWN(F34-H34, 3 - (1+INT(LOG10(ABS(F34)))))),""),IF(AND(F34=0,NOT(F34="")),ABS(ROUNDDOWN(F34-H34,0)),""))</f>
        <v/>
      </c>
      <c r="J34" s="4">
        <f>IF(NOT(I34=""),IF(I34&lt;=G34,"match",IF(I34&lt;3*G34,"partial match","no match")),"")</f>
        <v/>
      </c>
      <c r="K34" t="inlineStr">
        <is>
          <t>int_mask_dim_x_interp_roi</t>
        </is>
      </c>
    </row>
    <row r="35" ht="15" customHeight="1" s="10">
      <c r="A35" t="inlineStr">
        <is>
          <t>configuration B</t>
        </is>
      </c>
      <c r="B35" t="inlineStr">
        <is>
          <t>Diagnostics-interpolated ROI</t>
        </is>
      </c>
      <c r="C35" t="inlineStr">
        <is>
          <t>Int. mask dimension y</t>
        </is>
      </c>
      <c r="E35" t="inlineStr">
        <is>
          <t>6-9</t>
        </is>
      </c>
      <c r="F35" t="n">
        <v>99</v>
      </c>
      <c r="G35" t="n">
        <v>0.8</v>
      </c>
      <c r="I35" s="4">
        <f>IFERROR(IF(NOT(H35=""),ABS(ROUNDDOWN(F35-H35, 3 - (1+INT(LOG10(ABS(F35)))))),""),IF(AND(F35=0,NOT(F35="")),ABS(ROUNDDOWN(F35-H35,0)),""))</f>
        <v/>
      </c>
      <c r="J35" s="4">
        <f>IF(NOT(I35=""),IF(I35&lt;=G35,"match",IF(I35&lt;3*G35,"partial match","no match")),"")</f>
        <v/>
      </c>
      <c r="K35" t="inlineStr">
        <is>
          <t>int_mask_dim_y_interp_roi</t>
        </is>
      </c>
    </row>
    <row r="36" ht="15" customHeight="1" s="10">
      <c r="A36" t="inlineStr">
        <is>
          <t>configuration B</t>
        </is>
      </c>
      <c r="B36" t="inlineStr">
        <is>
          <t>Diagnostics-interpolated ROI</t>
        </is>
      </c>
      <c r="C36" t="inlineStr">
        <is>
          <t>Int. mask dimension z</t>
        </is>
      </c>
      <c r="E36" t="inlineStr">
        <is>
          <t>6-9</t>
        </is>
      </c>
      <c r="F36" t="n">
        <v>60</v>
      </c>
      <c r="G36" t="n">
        <v>0</v>
      </c>
      <c r="I36" s="4">
        <f>IFERROR(IF(NOT(H36=""),ABS(ROUNDDOWN(F36-H36, 3 - (1+INT(LOG10(ABS(F36)))))),""),IF(AND(F36=0,NOT(F36="")),ABS(ROUNDDOWN(F36-H36,0)),""))</f>
        <v/>
      </c>
      <c r="J36" s="4">
        <f>IF(NOT(I36=""),IF(I36&lt;=G36,"match",IF(I36&lt;3*G36,"partial match","no match")),"")</f>
        <v/>
      </c>
      <c r="K36" t="inlineStr">
        <is>
          <t>int_mask_dim_z_interp_roi</t>
        </is>
      </c>
    </row>
    <row r="37" ht="15" customHeight="1" s="10">
      <c r="A37" t="inlineStr">
        <is>
          <t>configuration B</t>
        </is>
      </c>
      <c r="B37" t="inlineStr">
        <is>
          <t>Diagnostics-interpolated ROI</t>
        </is>
      </c>
      <c r="C37" t="inlineStr">
        <is>
          <t>Int. mask bounding box dimension x</t>
        </is>
      </c>
      <c r="E37" t="inlineStr">
        <is>
          <t>6-9</t>
        </is>
      </c>
      <c r="F37" t="n">
        <v>49</v>
      </c>
      <c r="G37" t="n">
        <v>0.2</v>
      </c>
      <c r="I37" s="4">
        <f>IFERROR(IF(NOT(H37=""),ABS(ROUNDDOWN(F37-H37, 3 - (1+INT(LOG10(ABS(F37)))))),""),IF(AND(F37=0,NOT(F37="")),ABS(ROUNDDOWN(F37-H37,0)),""))</f>
        <v/>
      </c>
      <c r="J37" s="4">
        <f>IF(NOT(I37=""),IF(I37&lt;=G37,"match",IF(I37&lt;3*G37,"partial match","no match")),"")</f>
        <v/>
      </c>
      <c r="K37" t="inlineStr">
        <is>
          <t>int_mask_bb_dim_x_interp_roi</t>
        </is>
      </c>
    </row>
    <row r="38" ht="15" customHeight="1" s="10">
      <c r="A38" t="inlineStr">
        <is>
          <t>configuration B</t>
        </is>
      </c>
      <c r="B38" t="inlineStr">
        <is>
          <t>Diagnostics-interpolated ROI</t>
        </is>
      </c>
      <c r="C38" t="inlineStr">
        <is>
          <t>Int. mask bounding box dimension y</t>
        </is>
      </c>
      <c r="E38" t="inlineStr">
        <is>
          <t>6-9</t>
        </is>
      </c>
      <c r="F38" t="n">
        <v>49</v>
      </c>
      <c r="G38" t="n">
        <v>0.3</v>
      </c>
      <c r="I38" s="4">
        <f>IFERROR(IF(NOT(H38=""),ABS(ROUNDDOWN(F38-H38, 3 - (1+INT(LOG10(ABS(F38)))))),""),IF(AND(F38=0,NOT(F38="")),ABS(ROUNDDOWN(F38-H38,0)),""))</f>
        <v/>
      </c>
      <c r="J38" s="4">
        <f>IF(NOT(I38=""),IF(I38&lt;=G38,"match",IF(I38&lt;3*G38,"partial match","no match")),"")</f>
        <v/>
      </c>
      <c r="K38" t="inlineStr">
        <is>
          <t>int_mask_bb_dim_y_interp_roi</t>
        </is>
      </c>
    </row>
    <row r="39" ht="15" customHeight="1" s="10">
      <c r="A39" t="inlineStr">
        <is>
          <t>configuration B</t>
        </is>
      </c>
      <c r="B39" t="inlineStr">
        <is>
          <t>Diagnostics-interpolated ROI</t>
        </is>
      </c>
      <c r="C39" t="inlineStr">
        <is>
          <t>Int. mask bounding box dimension z</t>
        </is>
      </c>
      <c r="E39" t="inlineStr">
        <is>
          <t>6-9</t>
        </is>
      </c>
      <c r="F39" t="n">
        <v>26</v>
      </c>
      <c r="G39" t="n">
        <v>0</v>
      </c>
      <c r="I39" s="4">
        <f>IFERROR(IF(NOT(H39=""),ABS(ROUNDDOWN(F39-H39, 3 - (1+INT(LOG10(ABS(F39)))))),""),IF(AND(F39=0,NOT(F39="")),ABS(ROUNDDOWN(F39-H39,0)),""))</f>
        <v/>
      </c>
      <c r="J39" s="4">
        <f>IF(NOT(I39=""),IF(I39&lt;=G39,"match",IF(I39&lt;3*G39,"partial match","no match")),"")</f>
        <v/>
      </c>
      <c r="K39" t="inlineStr">
        <is>
          <t>int_mask_bb_dim_z_interp_roi</t>
        </is>
      </c>
    </row>
    <row r="40" ht="15" customHeight="1" s="10">
      <c r="A40" t="inlineStr">
        <is>
          <t>configuration B</t>
        </is>
      </c>
      <c r="B40" t="inlineStr">
        <is>
          <t>Diagnostics-interpolated ROI</t>
        </is>
      </c>
      <c r="C40" t="inlineStr">
        <is>
          <t>Morph. mask bounding box dimension x</t>
        </is>
      </c>
      <c r="E40" t="inlineStr">
        <is>
          <t>3-5</t>
        </is>
      </c>
      <c r="F40" t="n">
        <v>49</v>
      </c>
      <c r="G40" t="n">
        <v>0.2</v>
      </c>
      <c r="I40" s="4">
        <f>IFERROR(IF(NOT(H40=""),ABS(ROUNDDOWN(F40-H40, 3 - (1+INT(LOG10(ABS(F40)))))),""),IF(AND(F40=0,NOT(F40="")),ABS(ROUNDDOWN(F40-H40,0)),""))</f>
        <v/>
      </c>
      <c r="J40" s="4">
        <f>IF(NOT(I40=""),IF(I40&lt;=G40,"match",IF(I40&lt;3*G40,"partial match","no match")),"")</f>
        <v/>
      </c>
      <c r="K40" t="inlineStr">
        <is>
          <t>morph_mask_bb_dim_x_interp_roi</t>
        </is>
      </c>
    </row>
    <row r="41" ht="15" customHeight="1" s="10">
      <c r="A41" t="inlineStr">
        <is>
          <t>configuration B</t>
        </is>
      </c>
      <c r="B41" t="inlineStr">
        <is>
          <t>Diagnostics-interpolated ROI</t>
        </is>
      </c>
      <c r="C41" t="inlineStr">
        <is>
          <t>Morph. mask bounding box dimension y</t>
        </is>
      </c>
      <c r="E41" t="inlineStr">
        <is>
          <t>3-5</t>
        </is>
      </c>
      <c r="F41" t="n">
        <v>49</v>
      </c>
      <c r="G41" t="n">
        <v>0.3</v>
      </c>
      <c r="I41" s="4">
        <f>IFERROR(IF(NOT(H41=""),ABS(ROUNDDOWN(F41-H41, 3 - (1+INT(LOG10(ABS(F41)))))),""),IF(AND(F41=0,NOT(F41="")),ABS(ROUNDDOWN(F41-H41,0)),""))</f>
        <v/>
      </c>
      <c r="J41" s="4">
        <f>IF(NOT(I41=""),IF(I41&lt;=G41,"match",IF(I41&lt;3*G41,"partial match","no match")),"")</f>
        <v/>
      </c>
      <c r="K41" t="inlineStr">
        <is>
          <t>morph_mask_bb_dim_y_interp_roi</t>
        </is>
      </c>
    </row>
    <row r="42" ht="15" customHeight="1" s="10">
      <c r="A42" t="inlineStr">
        <is>
          <t>configuration B</t>
        </is>
      </c>
      <c r="B42" t="inlineStr">
        <is>
          <t>Diagnostics-interpolated ROI</t>
        </is>
      </c>
      <c r="C42" t="inlineStr">
        <is>
          <t>Morph. mask bounding box dimension z</t>
        </is>
      </c>
      <c r="E42" t="inlineStr">
        <is>
          <t>3-5</t>
        </is>
      </c>
      <c r="F42" t="n">
        <v>26</v>
      </c>
      <c r="G42" t="n">
        <v>0</v>
      </c>
      <c r="I42" s="4">
        <f>IFERROR(IF(NOT(H42=""),ABS(ROUNDDOWN(F42-H42, 3 - (1+INT(LOG10(ABS(F42)))))),""),IF(AND(F42=0,NOT(F42="")),ABS(ROUNDDOWN(F42-H42,0)),""))</f>
        <v/>
      </c>
      <c r="J42" s="4">
        <f>IF(NOT(I42=""),IF(I42&lt;=G42,"match",IF(I42&lt;3*G42,"partial match","no match")),"")</f>
        <v/>
      </c>
      <c r="K42" t="inlineStr">
        <is>
          <t>morph_mask_bb_dim_z_interp_roi</t>
        </is>
      </c>
    </row>
    <row r="43" ht="15" customHeight="1" s="10">
      <c r="A43" t="inlineStr">
        <is>
          <t>configuration B</t>
        </is>
      </c>
      <c r="B43" t="inlineStr">
        <is>
          <t>Diagnostics-interpolated ROI</t>
        </is>
      </c>
      <c r="C43" t="inlineStr">
        <is>
          <t>Int. mask voxel count</t>
        </is>
      </c>
      <c r="E43" t="inlineStr">
        <is>
          <t>6-9</t>
        </is>
      </c>
      <c r="F43" t="n">
        <v>29842</v>
      </c>
      <c r="G43" t="n">
        <v>100</v>
      </c>
      <c r="I43" s="4">
        <f>IFERROR(IF(NOT(H43=""),ABS(ROUNDDOWN(F43-H43, 3 - (1+INT(LOG10(ABS(F43)))))),""),IF(AND(F43=0,NOT(F43="")),ABS(ROUNDDOWN(F43-H43,0)),""))</f>
        <v/>
      </c>
      <c r="J43" s="4">
        <f>IF(NOT(I43=""),IF(I43&lt;=G43,"match",IF(I43&lt;3*G43,"partial match","no match")),"")</f>
        <v/>
      </c>
      <c r="K43" t="inlineStr">
        <is>
          <t>int_mask_vox_count_interp_roi</t>
        </is>
      </c>
    </row>
    <row r="44" ht="15" customHeight="1" s="10">
      <c r="A44" t="inlineStr">
        <is>
          <t>configuration B</t>
        </is>
      </c>
      <c r="B44" t="inlineStr">
        <is>
          <t>Diagnostics-interpolated ROI</t>
        </is>
      </c>
      <c r="C44" t="inlineStr">
        <is>
          <t>Morph. mask voxel count</t>
        </is>
      </c>
      <c r="E44" t="inlineStr">
        <is>
          <t>6-9</t>
        </is>
      </c>
      <c r="F44" t="n">
        <v>29842</v>
      </c>
      <c r="G44" t="n">
        <v>100</v>
      </c>
      <c r="I44" s="4">
        <f>IFERROR(IF(NOT(H44=""),ABS(ROUNDDOWN(F44-H44, 3 - (1+INT(LOG10(ABS(F44)))))),""),IF(AND(F44=0,NOT(F44="")),ABS(ROUNDDOWN(F44-H44,0)),""))</f>
        <v/>
      </c>
      <c r="J44" s="4">
        <f>IF(NOT(I44=""),IF(I44&lt;=G44,"match",IF(I44&lt;3*G44,"partial match","no match")),"")</f>
        <v/>
      </c>
      <c r="K44" t="inlineStr">
        <is>
          <t>morph_mask_vox_count_interp_roi</t>
        </is>
      </c>
    </row>
    <row r="45" ht="15" customHeight="1" s="10">
      <c r="A45" t="inlineStr">
        <is>
          <t>configuration B</t>
        </is>
      </c>
      <c r="B45" t="inlineStr">
        <is>
          <t>Diagnostics-interpolated ROI</t>
        </is>
      </c>
      <c r="C45" t="inlineStr">
        <is>
          <t>Int. mask mean intensity</t>
        </is>
      </c>
      <c r="E45" t="inlineStr">
        <is>
          <t>6-9</t>
        </is>
      </c>
      <c r="F45" t="n">
        <v>-47</v>
      </c>
      <c r="G45" t="n">
        <v>0.1</v>
      </c>
      <c r="I45" s="4">
        <f>IFERROR(IF(NOT(H45=""),ABS(ROUNDDOWN(F45-H45, 3 - (1+INT(LOG10(ABS(F45)))))),""),IF(AND(F45=0,NOT(F45="")),ABS(ROUNDDOWN(F45-H45,0)),""))</f>
        <v/>
      </c>
      <c r="J45" s="4">
        <f>IF(NOT(I45=""),IF(I45&lt;=G45,"match",IF(I45&lt;3*G45,"partial match","no match")),"")</f>
        <v/>
      </c>
      <c r="K45" t="inlineStr">
        <is>
          <t>int_mask_mean_int_interp_roi</t>
        </is>
      </c>
    </row>
    <row r="46" ht="15" customHeight="1" s="10">
      <c r="A46" t="inlineStr">
        <is>
          <t>configuration B</t>
        </is>
      </c>
      <c r="B46" t="inlineStr">
        <is>
          <t>Diagnostics-interpolated ROI</t>
        </is>
      </c>
      <c r="C46" t="inlineStr">
        <is>
          <t>Int. mask minimum intensity</t>
        </is>
      </c>
      <c r="E46" t="inlineStr">
        <is>
          <t>6-9</t>
        </is>
      </c>
      <c r="F46" t="n">
        <v>-956</v>
      </c>
      <c r="G46" t="n">
        <v>1</v>
      </c>
      <c r="I46" s="4">
        <f>IFERROR(IF(NOT(H46=""),ABS(ROUNDDOWN(F46-H46, 3 - (1+INT(LOG10(ABS(F46)))))),""),IF(AND(F46=0,NOT(F46="")),ABS(ROUNDDOWN(F46-H46,0)),""))</f>
        <v/>
      </c>
      <c r="J46" s="4">
        <f>IF(NOT(I46=""),IF(I46&lt;=G46,"match",IF(I46&lt;3*G46,"partial match","no match")),"")</f>
        <v/>
      </c>
      <c r="K46" t="inlineStr">
        <is>
          <t>int_mask_min_int_interp_roi</t>
        </is>
      </c>
    </row>
    <row r="47" ht="15" customHeight="1" s="10">
      <c r="A47" t="inlineStr">
        <is>
          <t>configuration B</t>
        </is>
      </c>
      <c r="B47" t="inlineStr">
        <is>
          <t>Diagnostics-interpolated ROI</t>
        </is>
      </c>
      <c r="C47" t="inlineStr">
        <is>
          <t>Int. mask maximum intensity</t>
        </is>
      </c>
      <c r="E47" t="inlineStr">
        <is>
          <t>6-9</t>
        </is>
      </c>
      <c r="F47" t="n">
        <v>525</v>
      </c>
      <c r="G47" t="n">
        <v>6</v>
      </c>
      <c r="I47" s="4">
        <f>IFERROR(IF(NOT(H47=""),ABS(ROUNDDOWN(F47-H47, 3 - (1+INT(LOG10(ABS(F47)))))),""),IF(AND(F47=0,NOT(F47="")),ABS(ROUNDDOWN(F47-H47,0)),""))</f>
        <v/>
      </c>
      <c r="J47" s="4">
        <f>IF(NOT(I47=""),IF(I47&lt;=G47,"match",IF(I47&lt;3*G47,"partial match","no match")),"")</f>
        <v/>
      </c>
      <c r="K47" t="inlineStr">
        <is>
          <t>int_mask_max_int_interp_roi</t>
        </is>
      </c>
    </row>
    <row r="48" ht="15" customHeight="1" s="10">
      <c r="A48" t="inlineStr">
        <is>
          <t>configuration B</t>
        </is>
      </c>
      <c r="B48" t="inlineStr">
        <is>
          <t>Diagnostics-resegmented ROI</t>
        </is>
      </c>
      <c r="C48" t="inlineStr">
        <is>
          <t>Int. mask dimension x</t>
        </is>
      </c>
      <c r="E48" t="inlineStr">
        <is>
          <t>6-9</t>
        </is>
      </c>
      <c r="F48" t="n">
        <v>100</v>
      </c>
      <c r="G48" t="n">
        <v>1</v>
      </c>
      <c r="I48" s="4">
        <f>IFERROR(IF(NOT(H48=""),ABS(ROUNDDOWN(F48-H48, 3 - (1+INT(LOG10(ABS(F48)))))),""),IF(AND(F48=0,NOT(F48="")),ABS(ROUNDDOWN(F48-H48,0)),""))</f>
        <v/>
      </c>
      <c r="J48" s="4">
        <f>IF(NOT(I48=""),IF(I48&lt;=G48,"match",IF(I48&lt;3*G48,"partial match","no match")),"")</f>
        <v/>
      </c>
      <c r="K48" t="inlineStr">
        <is>
          <t>int_mask_dim_x_reseg_roi</t>
        </is>
      </c>
    </row>
    <row r="49" ht="15" customHeight="1" s="10">
      <c r="A49" t="inlineStr">
        <is>
          <t>configuration B</t>
        </is>
      </c>
      <c r="B49" t="inlineStr">
        <is>
          <t>Diagnostics-resegmented ROI</t>
        </is>
      </c>
      <c r="C49" t="inlineStr">
        <is>
          <t>Int. mask dimension y</t>
        </is>
      </c>
      <c r="E49" t="inlineStr">
        <is>
          <t>6-9</t>
        </is>
      </c>
      <c r="F49" t="n">
        <v>99</v>
      </c>
      <c r="G49" t="n">
        <v>0.8</v>
      </c>
      <c r="I49" s="4">
        <f>IFERROR(IF(NOT(H49=""),ABS(ROUNDDOWN(F49-H49, 3 - (1+INT(LOG10(ABS(F49)))))),""),IF(AND(F49=0,NOT(F49="")),ABS(ROUNDDOWN(F49-H49,0)),""))</f>
        <v/>
      </c>
      <c r="J49" s="4">
        <f>IF(NOT(I49=""),IF(I49&lt;=G49,"match",IF(I49&lt;3*G49,"partial match","no match")),"")</f>
        <v/>
      </c>
      <c r="K49" t="inlineStr">
        <is>
          <t>int_mask_dim_y_reseg_roi</t>
        </is>
      </c>
    </row>
    <row r="50" ht="15" customHeight="1" s="10">
      <c r="A50" t="inlineStr">
        <is>
          <t>configuration B</t>
        </is>
      </c>
      <c r="B50" t="inlineStr">
        <is>
          <t>Diagnostics-resegmented ROI</t>
        </is>
      </c>
      <c r="C50" t="inlineStr">
        <is>
          <t>Int. mask dimension z</t>
        </is>
      </c>
      <c r="E50" t="inlineStr">
        <is>
          <t>6-9</t>
        </is>
      </c>
      <c r="F50" t="n">
        <v>60</v>
      </c>
      <c r="G50" t="n">
        <v>0</v>
      </c>
      <c r="I50" s="4">
        <f>IFERROR(IF(NOT(H50=""),ABS(ROUNDDOWN(F50-H50, 3 - (1+INT(LOG10(ABS(F50)))))),""),IF(AND(F50=0,NOT(F50="")),ABS(ROUNDDOWN(F50-H50,0)),""))</f>
        <v/>
      </c>
      <c r="J50" s="4">
        <f>IF(NOT(I50=""),IF(I50&lt;=G50,"match",IF(I50&lt;3*G50,"partial match","no match")),"")</f>
        <v/>
      </c>
      <c r="K50" t="inlineStr">
        <is>
          <t>int_mask_dim_z_reseg_roi</t>
        </is>
      </c>
    </row>
    <row r="51" ht="15" customHeight="1" s="10">
      <c r="A51" t="inlineStr">
        <is>
          <t>configuration B</t>
        </is>
      </c>
      <c r="B51" t="inlineStr">
        <is>
          <t>Diagnostics-resegmented ROI</t>
        </is>
      </c>
      <c r="C51" t="inlineStr">
        <is>
          <t>Int. mask bounding box dimension x</t>
        </is>
      </c>
      <c r="E51" t="inlineStr">
        <is>
          <t>6-9</t>
        </is>
      </c>
      <c r="F51" t="n">
        <v>49</v>
      </c>
      <c r="G51" t="n">
        <v>0.3</v>
      </c>
      <c r="I51" s="4">
        <f>IFERROR(IF(NOT(H51=""),ABS(ROUNDDOWN(F51-H51, 3 - (1+INT(LOG10(ABS(F51)))))),""),IF(AND(F51=0,NOT(F51="")),ABS(ROUNDDOWN(F51-H51,0)),""))</f>
        <v/>
      </c>
      <c r="J51" s="4">
        <f>IF(NOT(I51=""),IF(I51&lt;=G51,"match",IF(I51&lt;3*G51,"partial match","no match")),"")</f>
        <v/>
      </c>
      <c r="K51" t="inlineStr">
        <is>
          <t>int_mask_bb_dim_x_reseg_roi</t>
        </is>
      </c>
    </row>
    <row r="52" ht="15" customHeight="1" s="10">
      <c r="A52" t="inlineStr">
        <is>
          <t>configuration B</t>
        </is>
      </c>
      <c r="B52" t="inlineStr">
        <is>
          <t>Diagnostics-resegmented ROI</t>
        </is>
      </c>
      <c r="C52" t="inlineStr">
        <is>
          <t>Int. mask bounding box dimension y</t>
        </is>
      </c>
      <c r="E52" t="inlineStr">
        <is>
          <t>6-9</t>
        </is>
      </c>
      <c r="F52" t="n">
        <v>49</v>
      </c>
      <c r="G52" t="n">
        <v>0.3</v>
      </c>
      <c r="I52" s="4">
        <f>IFERROR(IF(NOT(H52=""),ABS(ROUNDDOWN(F52-H52, 3 - (1+INT(LOG10(ABS(F52)))))),""),IF(AND(F52=0,NOT(F52="")),ABS(ROUNDDOWN(F52-H52,0)),""))</f>
        <v/>
      </c>
      <c r="J52" s="4">
        <f>IF(NOT(I52=""),IF(I52&lt;=G52,"match",IF(I52&lt;3*G52,"partial match","no match")),"")</f>
        <v/>
      </c>
      <c r="K52" t="inlineStr">
        <is>
          <t>int_mask_bb_dim_y_reseg_roi</t>
        </is>
      </c>
    </row>
    <row r="53" ht="15" customHeight="1" s="10">
      <c r="A53" t="inlineStr">
        <is>
          <t>configuration B</t>
        </is>
      </c>
      <c r="B53" t="inlineStr">
        <is>
          <t>Diagnostics-resegmented ROI</t>
        </is>
      </c>
      <c r="C53" t="inlineStr">
        <is>
          <t>Int. mask bounding box dimension z</t>
        </is>
      </c>
      <c r="E53" t="inlineStr">
        <is>
          <t>6-9</t>
        </is>
      </c>
      <c r="F53" t="n">
        <v>26</v>
      </c>
      <c r="G53" t="n">
        <v>0</v>
      </c>
      <c r="I53" s="4">
        <f>IFERROR(IF(NOT(H53=""),ABS(ROUNDDOWN(F53-H53, 3 - (1+INT(LOG10(ABS(F53)))))),""),IF(AND(F53=0,NOT(F53="")),ABS(ROUNDDOWN(F53-H53,0)),""))</f>
        <v/>
      </c>
      <c r="J53" s="4">
        <f>IF(NOT(I53=""),IF(I53&lt;=G53,"match",IF(I53&lt;3*G53,"partial match","no match")),"")</f>
        <v/>
      </c>
      <c r="K53" t="inlineStr">
        <is>
          <t>int_mask_bb_dim_z_reseg_roi</t>
        </is>
      </c>
    </row>
    <row r="54" ht="15" customHeight="1" s="10">
      <c r="A54" t="inlineStr">
        <is>
          <t>configuration B</t>
        </is>
      </c>
      <c r="B54" t="inlineStr">
        <is>
          <t>Diagnostics-resegmented ROI</t>
        </is>
      </c>
      <c r="C54" t="inlineStr">
        <is>
          <t>Morph. mask bounding box dimension x</t>
        </is>
      </c>
      <c r="E54" t="inlineStr">
        <is>
          <t>3-5</t>
        </is>
      </c>
      <c r="F54" t="n">
        <v>49</v>
      </c>
      <c r="G54" t="n">
        <v>0.3</v>
      </c>
      <c r="I54" s="4">
        <f>IFERROR(IF(NOT(H54=""),ABS(ROUNDDOWN(F54-H54, 3 - (1+INT(LOG10(ABS(F54)))))),""),IF(AND(F54=0,NOT(F54="")),ABS(ROUNDDOWN(F54-H54,0)),""))</f>
        <v/>
      </c>
      <c r="J54" s="4">
        <f>IF(NOT(I54=""),IF(I54&lt;=G54,"match",IF(I54&lt;3*G54,"partial match","no match")),"")</f>
        <v/>
      </c>
      <c r="K54" t="inlineStr">
        <is>
          <t>morph_mask_bb_dim_x_reseg_roi</t>
        </is>
      </c>
    </row>
    <row r="55" ht="15" customHeight="1" s="10">
      <c r="A55" t="inlineStr">
        <is>
          <t>configuration B</t>
        </is>
      </c>
      <c r="B55" t="inlineStr">
        <is>
          <t>Diagnostics-resegmented ROI</t>
        </is>
      </c>
      <c r="C55" t="inlineStr">
        <is>
          <t>Morph. mask bounding box dimension y</t>
        </is>
      </c>
      <c r="E55" t="inlineStr">
        <is>
          <t>3-5</t>
        </is>
      </c>
      <c r="F55" t="n">
        <v>49</v>
      </c>
      <c r="G55" t="n">
        <v>0.3</v>
      </c>
      <c r="I55" s="4">
        <f>IFERROR(IF(NOT(H55=""),ABS(ROUNDDOWN(F55-H55, 3 - (1+INT(LOG10(ABS(F55)))))),""),IF(AND(F55=0,NOT(F55="")),ABS(ROUNDDOWN(F55-H55,0)),""))</f>
        <v/>
      </c>
      <c r="J55" s="4">
        <f>IF(NOT(I55=""),IF(I55&lt;=G55,"match",IF(I55&lt;3*G55,"partial match","no match")),"")</f>
        <v/>
      </c>
      <c r="K55" t="inlineStr">
        <is>
          <t>morph_mask_bb_dim_y_reseg_roi</t>
        </is>
      </c>
    </row>
    <row r="56" ht="15" customHeight="1" s="10">
      <c r="A56" t="inlineStr">
        <is>
          <t>configuration B</t>
        </is>
      </c>
      <c r="B56" t="inlineStr">
        <is>
          <t>Diagnostics-resegmented ROI</t>
        </is>
      </c>
      <c r="C56" t="inlineStr">
        <is>
          <t>Morph. mask bounding box dimension z</t>
        </is>
      </c>
      <c r="E56" t="inlineStr">
        <is>
          <t>3-5</t>
        </is>
      </c>
      <c r="F56" t="n">
        <v>26</v>
      </c>
      <c r="G56" t="n">
        <v>0</v>
      </c>
      <c r="I56" s="4">
        <f>IFERROR(IF(NOT(H56=""),ABS(ROUNDDOWN(F56-H56, 3 - (1+INT(LOG10(ABS(F56)))))),""),IF(AND(F56=0,NOT(F56="")),ABS(ROUNDDOWN(F56-H56,0)),""))</f>
        <v/>
      </c>
      <c r="J56" s="4">
        <f>IF(NOT(I56=""),IF(I56&lt;=G56,"match",IF(I56&lt;3*G56,"partial match","no match")),"")</f>
        <v/>
      </c>
      <c r="K56" t="inlineStr">
        <is>
          <t>morph_mask_bb_dim_z_reseg_roi</t>
        </is>
      </c>
    </row>
    <row r="57" ht="15" customHeight="1" s="10">
      <c r="A57" t="inlineStr">
        <is>
          <t>configuration B</t>
        </is>
      </c>
      <c r="B57" t="inlineStr">
        <is>
          <t>Diagnostics-resegmented ROI</t>
        </is>
      </c>
      <c r="C57" t="inlineStr">
        <is>
          <t>Int. mask voxel count</t>
        </is>
      </c>
      <c r="E57" t="inlineStr">
        <is>
          <t>6-9</t>
        </is>
      </c>
      <c r="F57" t="n">
        <v>27359</v>
      </c>
      <c r="G57" t="n">
        <v>300</v>
      </c>
      <c r="I57" s="4">
        <f>IFERROR(IF(NOT(H57=""),ABS(ROUNDDOWN(F57-H57, 3 - (1+INT(LOG10(ABS(F57)))))),""),IF(AND(F57=0,NOT(F57="")),ABS(ROUNDDOWN(F57-H57,0)),""))</f>
        <v/>
      </c>
      <c r="J57" s="4">
        <f>IF(NOT(I57=""),IF(I57&lt;=G57,"match",IF(I57&lt;3*G57,"partial match","no match")),"")</f>
        <v/>
      </c>
      <c r="K57" t="inlineStr">
        <is>
          <t>int_mask_vox_count_reseg_roi</t>
        </is>
      </c>
    </row>
    <row r="58" ht="15" customHeight="1" s="10">
      <c r="A58" t="inlineStr">
        <is>
          <t>configuration B</t>
        </is>
      </c>
      <c r="B58" t="inlineStr">
        <is>
          <t>Diagnostics-resegmented ROI</t>
        </is>
      </c>
      <c r="C58" t="inlineStr">
        <is>
          <t>Morph. mask voxel count</t>
        </is>
      </c>
      <c r="E58" t="inlineStr">
        <is>
          <t>6-9</t>
        </is>
      </c>
      <c r="F58" t="n">
        <v>29842</v>
      </c>
      <c r="G58" t="n">
        <v>400</v>
      </c>
      <c r="I58" s="4">
        <f>IFERROR(IF(NOT(H58=""),ABS(ROUNDDOWN(F58-H58, 3 - (1+INT(LOG10(ABS(F58)))))),""),IF(AND(F58=0,NOT(F58="")),ABS(ROUNDDOWN(F58-H58,0)),""))</f>
        <v/>
      </c>
      <c r="J58" s="4">
        <f>IF(NOT(I58=""),IF(I58&lt;=G58,"match",IF(I58&lt;3*G58,"partial match","no match")),"")</f>
        <v/>
      </c>
      <c r="K58" t="inlineStr">
        <is>
          <t>morph_mask_vox_count_reseg_roi</t>
        </is>
      </c>
    </row>
    <row r="59" ht="15" customHeight="1" s="10">
      <c r="A59" t="inlineStr">
        <is>
          <t>configuration B</t>
        </is>
      </c>
      <c r="B59" t="inlineStr">
        <is>
          <t>Diagnostics-resegmented ROI</t>
        </is>
      </c>
      <c r="C59" t="inlineStr">
        <is>
          <t>Int. mask mean intensity</t>
        </is>
      </c>
      <c r="E59" t="inlineStr">
        <is>
          <t>6-9</t>
        </is>
      </c>
      <c r="F59" t="n">
        <v>11.6</v>
      </c>
      <c r="G59" t="n">
        <v>1.1</v>
      </c>
      <c r="I59" s="4">
        <f>IFERROR(IF(NOT(H59=""),ABS(ROUNDDOWN(F59-H59, 3 - (1+INT(LOG10(ABS(F59)))))),""),IF(AND(F59=0,NOT(F59="")),ABS(ROUNDDOWN(F59-H59,0)),""))</f>
        <v/>
      </c>
      <c r="J59" s="4">
        <f>IF(NOT(I59=""),IF(I59&lt;=G59,"match",IF(I59&lt;3*G59,"partial match","no match")),"")</f>
        <v/>
      </c>
      <c r="K59" t="inlineStr">
        <is>
          <t>int_mask_mean_int_reseg_roi</t>
        </is>
      </c>
    </row>
    <row r="60" ht="15" customHeight="1" s="10">
      <c r="A60" t="inlineStr">
        <is>
          <t>configuration B</t>
        </is>
      </c>
      <c r="B60" t="inlineStr">
        <is>
          <t>Diagnostics-resegmented ROI</t>
        </is>
      </c>
      <c r="C60" t="inlineStr">
        <is>
          <t>Int. mask minimum intensity</t>
        </is>
      </c>
      <c r="E60" t="inlineStr">
        <is>
          <t>6-9</t>
        </is>
      </c>
      <c r="F60" t="n">
        <v>-500</v>
      </c>
      <c r="G60" t="n">
        <v>0</v>
      </c>
      <c r="I60" s="4">
        <f>IFERROR(IF(NOT(H60=""),ABS(ROUNDDOWN(F60-H60, 3 - (1+INT(LOG10(ABS(F60)))))),""),IF(AND(F60=0,NOT(F60="")),ABS(ROUNDDOWN(F60-H60,0)),""))</f>
        <v/>
      </c>
      <c r="J60" s="4">
        <f>IF(NOT(I60=""),IF(I60&lt;=G60,"match",IF(I60&lt;3*G60,"partial match","no match")),"")</f>
        <v/>
      </c>
      <c r="K60" t="inlineStr">
        <is>
          <t>int_mask_min_int_reseg_roi</t>
        </is>
      </c>
    </row>
    <row r="61" ht="15" customHeight="1" s="10">
      <c r="A61" t="inlineStr">
        <is>
          <t>configuration B</t>
        </is>
      </c>
      <c r="B61" t="inlineStr">
        <is>
          <t>Diagnostics-resegmented ROI</t>
        </is>
      </c>
      <c r="C61" t="inlineStr">
        <is>
          <t>Int. mask maximum intensity</t>
        </is>
      </c>
      <c r="E61" t="inlineStr">
        <is>
          <t>6-9</t>
        </is>
      </c>
      <c r="F61" t="n">
        <v>391</v>
      </c>
      <c r="G61" t="n">
        <v>9</v>
      </c>
      <c r="I61" s="4">
        <f>IFERROR(IF(NOT(H61=""),ABS(ROUNDDOWN(F61-H61, 3 - (1+INT(LOG10(ABS(F61)))))),""),IF(AND(F61=0,NOT(F61="")),ABS(ROUNDDOWN(F61-H61,0)),""))</f>
        <v/>
      </c>
      <c r="J61" s="4">
        <f>IF(NOT(I61=""),IF(I61&lt;=G61,"match",IF(I61&lt;3*G61,"partial match","no match")),"")</f>
        <v/>
      </c>
      <c r="K61" t="inlineStr">
        <is>
          <t>int_mask_max_int_reseg_roi</t>
        </is>
      </c>
    </row>
    <row r="62" ht="15" customHeight="1" s="10">
      <c r="A62" t="inlineStr">
        <is>
          <t>configuration B</t>
        </is>
      </c>
      <c r="B62" t="inlineStr">
        <is>
          <t>Morphology</t>
        </is>
      </c>
      <c r="C62" t="inlineStr">
        <is>
          <t>Volume (mesh-based)</t>
        </is>
      </c>
      <c r="E62" t="inlineStr">
        <is>
          <t>6-9</t>
        </is>
      </c>
      <c r="F62" t="n">
        <v>358000</v>
      </c>
      <c r="G62" t="n">
        <v>5000</v>
      </c>
      <c r="H62" s="4" t="n"/>
      <c r="I62" s="4">
        <f>IFERROR(IF(NOT(H62=""),ABS(ROUNDDOWN(F62-H62, 3 - (1+INT(LOG10(ABS(F62)))))),""),IF(AND(F62=0,NOT(F62="")),ABS(ROUNDDOWN(F62-H62,0)),""))</f>
        <v/>
      </c>
      <c r="J62" s="4">
        <f>IF(NOT(I62=""),IF(I62&lt;=G62,"match",IF(I62&lt;3*G62,"partial match","no match")),"")</f>
        <v/>
      </c>
      <c r="K62" t="inlineStr">
        <is>
          <t>morph_volume</t>
        </is>
      </c>
    </row>
    <row r="63" ht="15" customHeight="1" s="10">
      <c r="A63" t="inlineStr">
        <is>
          <t>configuration B</t>
        </is>
      </c>
      <c r="B63" t="inlineStr">
        <is>
          <t>Morphology</t>
        </is>
      </c>
      <c r="C63" t="inlineStr">
        <is>
          <t>Volume (counting)</t>
        </is>
      </c>
      <c r="E63" t="inlineStr">
        <is>
          <t>6-9</t>
        </is>
      </c>
      <c r="F63" t="n">
        <v>358000</v>
      </c>
      <c r="G63" t="n">
        <v>5000</v>
      </c>
      <c r="H63" s="4" t="n"/>
      <c r="I63" s="4">
        <f>IFERROR(IF(NOT(H63=""),ABS(ROUNDDOWN(F63-H63, 3 - (1+INT(LOG10(ABS(F63)))))),""),IF(AND(F63=0,NOT(F63="")),ABS(ROUNDDOWN(F63-H63,0)),""))</f>
        <v/>
      </c>
      <c r="J63" s="4">
        <f>IF(NOT(I63=""),IF(I63&lt;=G63,"match",IF(I63&lt;3*G63,"partial match","no match")),"")</f>
        <v/>
      </c>
      <c r="K63" t="inlineStr">
        <is>
          <t>morph_vol_approx</t>
        </is>
      </c>
    </row>
    <row r="64" ht="15" customHeight="1" s="10">
      <c r="A64" t="inlineStr">
        <is>
          <t>configuration B</t>
        </is>
      </c>
      <c r="B64" t="inlineStr">
        <is>
          <t>Morphology</t>
        </is>
      </c>
      <c r="C64" t="inlineStr">
        <is>
          <t>Surface area</t>
        </is>
      </c>
      <c r="E64" t="inlineStr">
        <is>
          <t>6-9</t>
        </is>
      </c>
      <c r="F64" t="n">
        <v>33700</v>
      </c>
      <c r="G64" t="n">
        <v>300</v>
      </c>
      <c r="H64" s="4" t="n"/>
      <c r="I64" s="4">
        <f>IFERROR(IF(NOT(H64=""),ABS(ROUNDDOWN(F64-H64, 3 - (1+INT(LOG10(ABS(F64)))))),""),IF(AND(F64=0,NOT(F64="")),ABS(ROUNDDOWN(F64-H64,0)),""))</f>
        <v/>
      </c>
      <c r="J64" s="4">
        <f>IF(NOT(I64=""),IF(I64&lt;=G64,"match",IF(I64&lt;3*G64,"partial match","no match")),"")</f>
        <v/>
      </c>
      <c r="K64" t="inlineStr">
        <is>
          <t>morph_area_mesh</t>
        </is>
      </c>
    </row>
    <row r="65" ht="15" customHeight="1" s="10">
      <c r="A65" t="inlineStr">
        <is>
          <t>configuration B</t>
        </is>
      </c>
      <c r="B65" t="inlineStr">
        <is>
          <t>Morphology</t>
        </is>
      </c>
      <c r="C65" t="inlineStr">
        <is>
          <t>Surface to volume ratio</t>
        </is>
      </c>
      <c r="E65" t="inlineStr">
        <is>
          <t>6-9</t>
        </is>
      </c>
      <c r="F65" t="n">
        <v>0.0944</v>
      </c>
      <c r="G65" t="n">
        <v>0.0005</v>
      </c>
      <c r="H65" s="4" t="n"/>
      <c r="I65" s="4">
        <f>IFERROR(IF(NOT(H65=""),ABS(ROUNDDOWN(F65-H65, 3 - (1+INT(LOG10(ABS(F65)))))),""),IF(AND(F65=0,NOT(F65="")),ABS(ROUNDDOWN(F65-H65,0)),""))</f>
        <v/>
      </c>
      <c r="J65" s="4">
        <f>IF(NOT(I65=""),IF(I65&lt;=G65,"match",IF(I65&lt;3*G65,"partial match","no match")),"")</f>
        <v/>
      </c>
      <c r="K65" t="inlineStr">
        <is>
          <t>morph_av</t>
        </is>
      </c>
    </row>
    <row r="66" ht="15" customHeight="1" s="10">
      <c r="A66" t="inlineStr">
        <is>
          <t>configuration B</t>
        </is>
      </c>
      <c r="B66" t="inlineStr">
        <is>
          <t>Morphology</t>
        </is>
      </c>
      <c r="C66" t="inlineStr">
        <is>
          <t>Compactness 1</t>
        </is>
      </c>
      <c r="E66" t="inlineStr">
        <is>
          <t>6-9</t>
        </is>
      </c>
      <c r="F66" t="n">
        <v>0.0326</v>
      </c>
      <c r="G66" t="n">
        <v>0.0001</v>
      </c>
      <c r="H66" s="5" t="n"/>
      <c r="I66" s="4">
        <f>IFERROR(IF(NOT(H66=""),ABS(ROUNDDOWN(F66-H66, 3 - (1+INT(LOG10(ABS(F66)))))),""),IF(AND(F66=0,NOT(F66="")),ABS(ROUNDDOWN(F66-H66,0)),""))</f>
        <v/>
      </c>
      <c r="J66" s="4">
        <f>IF(NOT(I66=""),IF(I66&lt;=G66,"match",IF(I66&lt;3*G66,"partial match","no match")),"")</f>
        <v/>
      </c>
      <c r="K66" t="inlineStr">
        <is>
          <t>morph_comp_1</t>
        </is>
      </c>
    </row>
    <row r="67" ht="15" customHeight="1" s="10">
      <c r="A67" t="inlineStr">
        <is>
          <t>configuration B</t>
        </is>
      </c>
      <c r="B67" t="inlineStr">
        <is>
          <t>Morphology</t>
        </is>
      </c>
      <c r="C67" t="inlineStr">
        <is>
          <t>Compactness 2</t>
        </is>
      </c>
      <c r="E67" t="inlineStr">
        <is>
          <t>6-9</t>
        </is>
      </c>
      <c r="F67" t="n">
        <v>0.377</v>
      </c>
      <c r="G67" t="n">
        <v>0.001</v>
      </c>
      <c r="H67" s="4" t="n"/>
      <c r="I67" s="4">
        <f>IFERROR(IF(NOT(H67=""),ABS(ROUNDDOWN(F67-H67, 3 - (1+INT(LOG10(ABS(F67)))))),""),IF(AND(F67=0,NOT(F67="")),ABS(ROUNDDOWN(F67-H67,0)),""))</f>
        <v/>
      </c>
      <c r="J67" s="4">
        <f>IF(NOT(I67=""),IF(I67&lt;=G67,"match",IF(I67&lt;3*G67,"partial match","no match")),"")</f>
        <v/>
      </c>
      <c r="K67" t="inlineStr">
        <is>
          <t>morph_comp_2</t>
        </is>
      </c>
    </row>
    <row r="68" ht="15" customHeight="1" s="10">
      <c r="A68" t="inlineStr">
        <is>
          <t>configuration B</t>
        </is>
      </c>
      <c r="B68" t="inlineStr">
        <is>
          <t>Morphology</t>
        </is>
      </c>
      <c r="C68" t="inlineStr">
        <is>
          <t>Spherical disproportion</t>
        </is>
      </c>
      <c r="E68" t="inlineStr">
        <is>
          <t>6-9</t>
        </is>
      </c>
      <c r="F68" t="n">
        <v>1.38</v>
      </c>
      <c r="G68" t="n">
        <v>0.01</v>
      </c>
      <c r="H68" s="4" t="n"/>
      <c r="I68" s="4">
        <f>IFERROR(IF(NOT(H68=""),ABS(ROUNDDOWN(F68-H68, 3 - (1+INT(LOG10(ABS(F68)))))),""),IF(AND(F68=0,NOT(F68="")),ABS(ROUNDDOWN(F68-H68,0)),""))</f>
        <v/>
      </c>
      <c r="J68" s="4">
        <f>IF(NOT(I68=""),IF(I68&lt;=G68,"match",IF(I68&lt;3*G68,"partial match","no match")),"")</f>
        <v/>
      </c>
      <c r="K68" t="inlineStr">
        <is>
          <t>morph_sph_dispr</t>
        </is>
      </c>
    </row>
    <row r="69" ht="15" customHeight="1" s="10">
      <c r="A69" t="inlineStr">
        <is>
          <t>configuration B</t>
        </is>
      </c>
      <c r="B69" t="inlineStr">
        <is>
          <t>Morphology</t>
        </is>
      </c>
      <c r="C69" t="inlineStr">
        <is>
          <t>Sphericity</t>
        </is>
      </c>
      <c r="E69" t="inlineStr">
        <is>
          <t>6-9</t>
        </is>
      </c>
      <c r="F69" t="n">
        <v>0.722</v>
      </c>
      <c r="G69" t="n">
        <v>0.001</v>
      </c>
      <c r="H69" s="4" t="n"/>
      <c r="I69" s="4">
        <f>IFERROR(IF(NOT(H69=""),ABS(ROUNDDOWN(F69-H69, 3 - (1+INT(LOG10(ABS(F69)))))),""),IF(AND(F69=0,NOT(F69="")),ABS(ROUNDDOWN(F69-H69,0)),""))</f>
        <v/>
      </c>
      <c r="J69" s="4">
        <f>IF(NOT(I69=""),IF(I69&lt;=G69,"match",IF(I69&lt;3*G69,"partial match","no match")),"")</f>
        <v/>
      </c>
      <c r="K69" t="inlineStr">
        <is>
          <t>morph_sphericity</t>
        </is>
      </c>
    </row>
    <row r="70" ht="15" customHeight="1" s="10">
      <c r="A70" t="inlineStr">
        <is>
          <t>configuration B</t>
        </is>
      </c>
      <c r="B70" t="inlineStr">
        <is>
          <t>Morphology</t>
        </is>
      </c>
      <c r="C70" t="inlineStr">
        <is>
          <t>Asphericity</t>
        </is>
      </c>
      <c r="E70" t="inlineStr">
        <is>
          <t>3-5</t>
        </is>
      </c>
      <c r="F70" t="n">
        <v>0.385</v>
      </c>
      <c r="G70" t="n">
        <v>0.001</v>
      </c>
      <c r="H70" s="4" t="n"/>
      <c r="I70" s="4">
        <f>IFERROR(IF(NOT(H70=""),ABS(ROUNDDOWN(F70-H70, 3 - (1+INT(LOG10(ABS(F70)))))),""),IF(AND(F70=0,NOT(F70="")),ABS(ROUNDDOWN(F70-H70,0)),""))</f>
        <v/>
      </c>
      <c r="J70" s="4">
        <f>IF(NOT(I70=""),IF(I70&lt;=G70,"match",IF(I70&lt;3*G70,"partial match","no match")),"")</f>
        <v/>
      </c>
      <c r="K70" t="inlineStr">
        <is>
          <t>morph_asphericity</t>
        </is>
      </c>
    </row>
    <row r="71" ht="15" customHeight="1" s="10">
      <c r="A71" t="inlineStr">
        <is>
          <t>configuration B</t>
        </is>
      </c>
      <c r="B71" t="inlineStr">
        <is>
          <t>Morphology</t>
        </is>
      </c>
      <c r="C71" t="inlineStr">
        <is>
          <t>Centre of mass shift</t>
        </is>
      </c>
      <c r="E71" t="inlineStr">
        <is>
          <t>3-5</t>
        </is>
      </c>
      <c r="F71" t="n">
        <v>63.1</v>
      </c>
      <c r="G71" t="n">
        <v>29</v>
      </c>
      <c r="H71" s="4" t="n"/>
      <c r="I71" s="4">
        <f>IFERROR(IF(NOT(H71=""),ABS(ROUNDDOWN(F71-H71, 3 - (1+INT(LOG10(ABS(F71)))))),""),IF(AND(F71=0,NOT(F71="")),ABS(ROUNDDOWN(F71-H71,0)),""))</f>
        <v/>
      </c>
      <c r="J71" s="4">
        <f>IF(NOT(I71=""),IF(I71&lt;=G71,"match",IF(I71&lt;3*G71,"partial match","no match")),"")</f>
        <v/>
      </c>
      <c r="K71" t="inlineStr">
        <is>
          <t>morph_com</t>
        </is>
      </c>
    </row>
    <row r="72" ht="15" customHeight="1" s="10">
      <c r="A72" t="inlineStr">
        <is>
          <t>configuration B</t>
        </is>
      </c>
      <c r="B72" t="inlineStr">
        <is>
          <t>Morphology</t>
        </is>
      </c>
      <c r="C72" t="inlineStr">
        <is>
          <t>Maximum 3D diameter</t>
        </is>
      </c>
      <c r="E72" t="inlineStr">
        <is>
          <t>3-5</t>
        </is>
      </c>
      <c r="F72" t="n">
        <v>125</v>
      </c>
      <c r="G72" t="n">
        <v>1</v>
      </c>
      <c r="H72" s="4" t="n"/>
      <c r="I72" s="4">
        <f>IFERROR(IF(NOT(H72=""),ABS(ROUNDDOWN(F72-H72, 3 - (1+INT(LOG10(ABS(F72)))))),""),IF(AND(F72=0,NOT(F72="")),ABS(ROUNDDOWN(F72-H72,0)),""))</f>
        <v/>
      </c>
      <c r="J72" s="4">
        <f>IF(NOT(I72=""),IF(I72&lt;=G72,"match",IF(I72&lt;3*G72,"partial match","no match")),"")</f>
        <v/>
      </c>
      <c r="K72" t="inlineStr">
        <is>
          <t>morph_diam</t>
        </is>
      </c>
    </row>
    <row r="73" ht="15" customHeight="1" s="10">
      <c r="A73" t="inlineStr">
        <is>
          <t>configuration B</t>
        </is>
      </c>
      <c r="B73" t="inlineStr">
        <is>
          <t>Morphology</t>
        </is>
      </c>
      <c r="C73" t="inlineStr">
        <is>
          <t>Major axis length</t>
        </is>
      </c>
      <c r="E73" t="inlineStr">
        <is>
          <t>6-9</t>
        </is>
      </c>
      <c r="F73" t="n">
        <v>92.59999999999999</v>
      </c>
      <c r="G73" t="n">
        <v>0.4</v>
      </c>
      <c r="H73" s="4" t="n"/>
      <c r="I73" s="4">
        <f>IFERROR(IF(NOT(H73=""),ABS(ROUNDDOWN(F73-H73, 3 - (1+INT(LOG10(ABS(F73)))))),""),IF(AND(F73=0,NOT(F73="")),ABS(ROUNDDOWN(F73-H73,0)),""))</f>
        <v/>
      </c>
      <c r="J73" s="4">
        <f>IF(NOT(I73=""),IF(I73&lt;=G73,"match",IF(I73&lt;3*G73,"partial match","no match")),"")</f>
        <v/>
      </c>
      <c r="K73" t="inlineStr">
        <is>
          <t>morph_pca_maj_axis</t>
        </is>
      </c>
    </row>
    <row r="74" ht="15" customHeight="1" s="10">
      <c r="A74" t="inlineStr">
        <is>
          <t>configuration B</t>
        </is>
      </c>
      <c r="B74" t="inlineStr">
        <is>
          <t>Morphology</t>
        </is>
      </c>
      <c r="C74" t="inlineStr">
        <is>
          <t>Minor axis length</t>
        </is>
      </c>
      <c r="E74" t="inlineStr">
        <is>
          <t>6-9</t>
        </is>
      </c>
      <c r="F74" t="n">
        <v>81.3</v>
      </c>
      <c r="G74" t="n">
        <v>0.4</v>
      </c>
      <c r="H74" s="4" t="n"/>
      <c r="I74" s="4">
        <f>IFERROR(IF(NOT(H74=""),ABS(ROUNDDOWN(F74-H74, 3 - (1+INT(LOG10(ABS(F74)))))),""),IF(AND(F74=0,NOT(F74="")),ABS(ROUNDDOWN(F74-H74,0)),""))</f>
        <v/>
      </c>
      <c r="J74" s="4">
        <f>IF(NOT(I74=""),IF(I74&lt;=G74,"match",IF(I74&lt;3*G74,"partial match","no match")),"")</f>
        <v/>
      </c>
      <c r="K74" t="inlineStr">
        <is>
          <t>morph_pca_min_axis</t>
        </is>
      </c>
    </row>
    <row r="75" ht="15" customHeight="1" s="10">
      <c r="A75" t="inlineStr">
        <is>
          <t>configuration B</t>
        </is>
      </c>
      <c r="B75" t="inlineStr">
        <is>
          <t>Morphology</t>
        </is>
      </c>
      <c r="C75" t="inlineStr">
        <is>
          <t>Least axis length</t>
        </is>
      </c>
      <c r="E75" t="inlineStr">
        <is>
          <t>6-9</t>
        </is>
      </c>
      <c r="F75" t="n">
        <v>70.2</v>
      </c>
      <c r="G75" t="n">
        <v>0.3</v>
      </c>
      <c r="H75" s="4" t="n"/>
      <c r="I75" s="4">
        <f>IFERROR(IF(NOT(H75=""),ABS(ROUNDDOWN(F75-H75, 3 - (1+INT(LOG10(ABS(F75)))))),""),IF(AND(F75=0,NOT(F75="")),ABS(ROUNDDOWN(F75-H75,0)),""))</f>
        <v/>
      </c>
      <c r="J75" s="4">
        <f>IF(NOT(I75=""),IF(I75&lt;=G75,"match",IF(I75&lt;3*G75,"partial match","no match")),"")</f>
        <v/>
      </c>
      <c r="K75" t="inlineStr">
        <is>
          <t>morph_pca_least_axis</t>
        </is>
      </c>
    </row>
    <row r="76" ht="15" customHeight="1" s="10">
      <c r="A76" t="inlineStr">
        <is>
          <t>configuration B</t>
        </is>
      </c>
      <c r="B76" t="inlineStr">
        <is>
          <t>Morphology</t>
        </is>
      </c>
      <c r="C76" t="inlineStr">
        <is>
          <t>Elongation</t>
        </is>
      </c>
      <c r="E76" t="inlineStr">
        <is>
          <t>6-9</t>
        </is>
      </c>
      <c r="F76" t="n">
        <v>0.878</v>
      </c>
      <c r="G76" t="n">
        <v>0.001</v>
      </c>
      <c r="H76" s="4" t="n"/>
      <c r="I76" s="4">
        <f>IFERROR(IF(NOT(H76=""),ABS(ROUNDDOWN(F76-H76, 3 - (1+INT(LOG10(ABS(F76)))))),""),IF(AND(F76=0,NOT(F76="")),ABS(ROUNDDOWN(F76-H76,0)),""))</f>
        <v/>
      </c>
      <c r="J76" s="4">
        <f>IF(NOT(I76=""),IF(I76&lt;=G76,"match",IF(I76&lt;3*G76,"partial match","no match")),"")</f>
        <v/>
      </c>
      <c r="K76" t="inlineStr">
        <is>
          <t>morph_pca_elongation</t>
        </is>
      </c>
    </row>
    <row r="77" ht="15" customHeight="1" s="10">
      <c r="A77" t="inlineStr">
        <is>
          <t>configuration B</t>
        </is>
      </c>
      <c r="B77" t="inlineStr">
        <is>
          <t>Morphology</t>
        </is>
      </c>
      <c r="C77" t="inlineStr">
        <is>
          <t>Flatness</t>
        </is>
      </c>
      <c r="E77" t="inlineStr">
        <is>
          <t>6-9</t>
        </is>
      </c>
      <c r="F77" t="n">
        <v>0.758</v>
      </c>
      <c r="G77" t="n">
        <v>0.001</v>
      </c>
      <c r="H77" s="4" t="n"/>
      <c r="I77" s="4">
        <f>IFERROR(IF(NOT(H77=""),ABS(ROUNDDOWN(F77-H77, 3 - (1+INT(LOG10(ABS(F77)))))),""),IF(AND(F77=0,NOT(F77="")),ABS(ROUNDDOWN(F77-H77,0)),""))</f>
        <v/>
      </c>
      <c r="J77" s="4">
        <f>IF(NOT(I77=""),IF(I77&lt;=G77,"match",IF(I77&lt;3*G77,"partial match","no match")),"")</f>
        <v/>
      </c>
      <c r="K77" t="inlineStr">
        <is>
          <t>morph_pca_flatness</t>
        </is>
      </c>
    </row>
    <row r="78" ht="15" customHeight="1" s="10">
      <c r="A78" t="inlineStr">
        <is>
          <t>configuration B</t>
        </is>
      </c>
      <c r="B78" t="inlineStr">
        <is>
          <t>Morphology</t>
        </is>
      </c>
      <c r="C78" t="inlineStr">
        <is>
          <t>Volume density (AABB)</t>
        </is>
      </c>
      <c r="E78" t="inlineStr">
        <is>
          <t>3-5</t>
        </is>
      </c>
      <c r="F78" t="n">
        <v>0.477</v>
      </c>
      <c r="G78" t="n">
        <v>0.003</v>
      </c>
      <c r="H78" s="4" t="n"/>
      <c r="I78" s="4">
        <f>IFERROR(IF(NOT(H78=""),ABS(ROUNDDOWN(F78-H78, 3 - (1+INT(LOG10(ABS(F78)))))),""),IF(AND(F78=0,NOT(F78="")),ABS(ROUNDDOWN(F78-H78,0)),""))</f>
        <v/>
      </c>
      <c r="J78" s="4">
        <f>IF(NOT(I78=""),IF(I78&lt;=G78,"match",IF(I78&lt;3*G78,"partial match","no match")),"")</f>
        <v/>
      </c>
      <c r="K78" t="inlineStr">
        <is>
          <t>morph_vol_dens_aabb</t>
        </is>
      </c>
    </row>
    <row r="79" ht="15" customHeight="1" s="10">
      <c r="A79" t="inlineStr">
        <is>
          <t>configuration B</t>
        </is>
      </c>
      <c r="B79" t="inlineStr">
        <is>
          <t>Morphology</t>
        </is>
      </c>
      <c r="C79" t="inlineStr">
        <is>
          <t>Area density (AABB)</t>
        </is>
      </c>
      <c r="E79" t="inlineStr">
        <is>
          <t>3-5</t>
        </is>
      </c>
      <c r="F79" t="n">
        <v>0.678</v>
      </c>
      <c r="G79" t="n">
        <v>0.003</v>
      </c>
      <c r="H79" s="4" t="n"/>
      <c r="I79" s="4">
        <f>IFERROR(IF(NOT(H79=""),ABS(ROUNDDOWN(F79-H79, 3 - (1+INT(LOG10(ABS(F79)))))),""),IF(AND(F79=0,NOT(F79="")),ABS(ROUNDDOWN(F79-H79,0)),""))</f>
        <v/>
      </c>
      <c r="J79" s="4">
        <f>IF(NOT(I79=""),IF(I79&lt;=G79,"match",IF(I79&lt;3*G79,"partial match","no match")),"")</f>
        <v/>
      </c>
      <c r="K79" t="inlineStr">
        <is>
          <t>morph_area_dens_aabb</t>
        </is>
      </c>
    </row>
    <row r="80" ht="15" customHeight="1" s="10">
      <c r="A80" t="inlineStr">
        <is>
          <t>configuration B</t>
        </is>
      </c>
      <c r="B80" t="inlineStr">
        <is>
          <t>Morphology</t>
        </is>
      </c>
      <c r="C80" t="inlineStr">
        <is>
          <t>Volume density (OMBB)</t>
        </is>
      </c>
      <c r="E80" t="inlineStr">
        <is>
          <t>&lt; 3</t>
        </is>
      </c>
      <c r="H80" s="4" t="n"/>
      <c r="I80" s="4">
        <f>IFERROR(IF(NOT(H80=""),ABS(ROUNDDOWN(F80-H80, 3 - (1+INT(LOG10(ABS(F80)))))),""),IF(AND(F80=0,NOT(F80="")),ABS(ROUNDDOWN(F80-H80,0)),""))</f>
        <v/>
      </c>
      <c r="J80" s="4">
        <f>IF(NOT(I80=""),IF(I80&lt;=G80,"match",IF(I80&lt;3*G80,"partial match","no match")),"")</f>
        <v/>
      </c>
      <c r="K80" t="inlineStr">
        <is>
          <t>morph_vol_dens_ombb</t>
        </is>
      </c>
    </row>
    <row r="81" ht="15" customHeight="1" s="10">
      <c r="A81" t="inlineStr">
        <is>
          <t>configuration B</t>
        </is>
      </c>
      <c r="B81" t="inlineStr">
        <is>
          <t>Morphology</t>
        </is>
      </c>
      <c r="C81" t="inlineStr">
        <is>
          <t>Area density (OMBB)</t>
        </is>
      </c>
      <c r="E81" t="inlineStr">
        <is>
          <t>&lt; 3</t>
        </is>
      </c>
      <c r="H81" s="4" t="n"/>
      <c r="I81" s="4">
        <f>IFERROR(IF(NOT(H81=""),ABS(ROUNDDOWN(F81-H81, 3 - (1+INT(LOG10(ABS(F81)))))),""),IF(AND(F81=0,NOT(F81="")),ABS(ROUNDDOWN(F81-H81,0)),""))</f>
        <v/>
      </c>
      <c r="J81" s="4">
        <f>IF(NOT(I81=""),IF(I81&lt;=G81,"match",IF(I81&lt;3*G81,"partial match","no match")),"")</f>
        <v/>
      </c>
      <c r="K81" t="inlineStr">
        <is>
          <t>morph_area_dens_ombb</t>
        </is>
      </c>
    </row>
    <row r="82" ht="15" customHeight="1" s="10">
      <c r="A82" t="inlineStr">
        <is>
          <t>configuration B</t>
        </is>
      </c>
      <c r="B82" t="inlineStr">
        <is>
          <t>Morphology</t>
        </is>
      </c>
      <c r="C82" t="inlineStr">
        <is>
          <t>Volume density (AEE)</t>
        </is>
      </c>
      <c r="E82" t="inlineStr">
        <is>
          <t>3-5</t>
        </is>
      </c>
      <c r="F82" t="n">
        <v>1.29</v>
      </c>
      <c r="G82" t="n">
        <v>0.01</v>
      </c>
      <c r="H82" s="4" t="n"/>
      <c r="I82" s="4">
        <f>IFERROR(IF(NOT(H82=""),ABS(ROUNDDOWN(F82-H82, 3 - (1+INT(LOG10(ABS(F82)))))),""),IF(AND(F82=0,NOT(F82="")),ABS(ROUNDDOWN(F82-H82,0)),""))</f>
        <v/>
      </c>
      <c r="J82" s="4">
        <f>IF(NOT(I82=""),IF(I82&lt;=G82,"match",IF(I82&lt;3*G82,"partial match","no match")),"")</f>
        <v/>
      </c>
      <c r="K82" t="inlineStr">
        <is>
          <t>morph_vol_dens_aee</t>
        </is>
      </c>
    </row>
    <row r="83" ht="15" customHeight="1" s="10">
      <c r="A83" t="inlineStr">
        <is>
          <t>configuration B</t>
        </is>
      </c>
      <c r="B83" t="inlineStr">
        <is>
          <t>Morphology</t>
        </is>
      </c>
      <c r="C83" t="inlineStr">
        <is>
          <t>Area density (AEE)</t>
        </is>
      </c>
      <c r="E83" t="inlineStr">
        <is>
          <t>3-5</t>
        </is>
      </c>
      <c r="F83" t="n">
        <v>1.62</v>
      </c>
      <c r="G83" t="n">
        <v>0.01</v>
      </c>
      <c r="H83" s="4" t="n"/>
      <c r="I83" s="4">
        <f>IFERROR(IF(NOT(H83=""),ABS(ROUNDDOWN(F83-H83, 3 - (1+INT(LOG10(ABS(F83)))))),""),IF(AND(F83=0,NOT(F83="")),ABS(ROUNDDOWN(F83-H83,0)),""))</f>
        <v/>
      </c>
      <c r="J83" s="4">
        <f>IF(NOT(I83=""),IF(I83&lt;=G83,"match",IF(I83&lt;3*G83,"partial match","no match")),"")</f>
        <v/>
      </c>
      <c r="K83" t="inlineStr">
        <is>
          <t>morph_area_dens_aee</t>
        </is>
      </c>
    </row>
    <row r="84" ht="15" customHeight="1" s="10">
      <c r="A84" t="inlineStr">
        <is>
          <t>configuration B</t>
        </is>
      </c>
      <c r="B84" t="inlineStr">
        <is>
          <t>Morphology</t>
        </is>
      </c>
      <c r="C84" t="inlineStr">
        <is>
          <t>Volume density (MVEE)</t>
        </is>
      </c>
      <c r="E84" t="inlineStr">
        <is>
          <t>&lt; 3</t>
        </is>
      </c>
      <c r="H84" s="4" t="n"/>
      <c r="I84" s="4">
        <f>IFERROR(IF(NOT(H84=""),ABS(ROUNDDOWN(F84-H84, 3 - (1+INT(LOG10(ABS(F84)))))),""),IF(AND(F84=0,NOT(F84="")),ABS(ROUNDDOWN(F84-H84,0)),""))</f>
        <v/>
      </c>
      <c r="J84" s="4">
        <f>IF(NOT(I84=""),IF(I84&lt;=G84,"match",IF(I84&lt;3*G84,"partial match","no match")),"")</f>
        <v/>
      </c>
      <c r="K84" t="inlineStr">
        <is>
          <t>morph_vol_dens_mvee</t>
        </is>
      </c>
    </row>
    <row r="85" ht="15" customHeight="1" s="10">
      <c r="A85" t="inlineStr">
        <is>
          <t>configuration B</t>
        </is>
      </c>
      <c r="B85" t="inlineStr">
        <is>
          <t>Morphology</t>
        </is>
      </c>
      <c r="C85" t="inlineStr">
        <is>
          <t>Area density (MVEE)</t>
        </is>
      </c>
      <c r="E85" t="inlineStr">
        <is>
          <t>&lt; 3</t>
        </is>
      </c>
      <c r="H85" s="4" t="n"/>
      <c r="I85" s="4">
        <f>IFERROR(IF(NOT(H85=""),ABS(ROUNDDOWN(F85-H85, 3 - (1+INT(LOG10(ABS(F85)))))),""),IF(AND(F85=0,NOT(F85="")),ABS(ROUNDDOWN(F85-H85,0)),""))</f>
        <v/>
      </c>
      <c r="J85" s="4">
        <f>IF(NOT(I85=""),IF(I85&lt;=G85,"match",IF(I85&lt;3*G85,"partial match","no match")),"")</f>
        <v/>
      </c>
      <c r="K85" t="inlineStr">
        <is>
          <t>morph_area_dens_mvee</t>
        </is>
      </c>
    </row>
    <row r="86" ht="15" customHeight="1" s="10">
      <c r="A86" t="inlineStr">
        <is>
          <t>configuration B</t>
        </is>
      </c>
      <c r="B86" t="inlineStr">
        <is>
          <t>Morphology</t>
        </is>
      </c>
      <c r="C86" t="inlineStr">
        <is>
          <t>Volume density (convex hull)</t>
        </is>
      </c>
      <c r="E86" t="inlineStr">
        <is>
          <t>3-5</t>
        </is>
      </c>
      <c r="F86" t="n">
        <v>0.829</v>
      </c>
      <c r="G86" t="n">
        <v>0.001</v>
      </c>
      <c r="H86" s="4" t="n"/>
      <c r="I86" s="4">
        <f>IFERROR(IF(NOT(H86=""),ABS(ROUNDDOWN(F86-H86, 3 - (1+INT(LOG10(ABS(F86)))))),""),IF(AND(F86=0,NOT(F86="")),ABS(ROUNDDOWN(F86-H86,0)),""))</f>
        <v/>
      </c>
      <c r="J86" s="4">
        <f>IF(NOT(I86=""),IF(I86&lt;=G86,"match",IF(I86&lt;3*G86,"partial match","no match")),"")</f>
        <v/>
      </c>
      <c r="K86" t="inlineStr">
        <is>
          <t>morph_vol_dens_conv_hull</t>
        </is>
      </c>
    </row>
    <row r="87" ht="15" customHeight="1" s="10">
      <c r="A87" t="inlineStr">
        <is>
          <t>configuration B</t>
        </is>
      </c>
      <c r="B87" t="inlineStr">
        <is>
          <t>Morphology</t>
        </is>
      </c>
      <c r="C87" t="inlineStr">
        <is>
          <t>Area density (convex hull)</t>
        </is>
      </c>
      <c r="E87" t="inlineStr">
        <is>
          <t>3-5</t>
        </is>
      </c>
      <c r="F87" t="n">
        <v>1.12</v>
      </c>
      <c r="G87" t="n">
        <v>0.01</v>
      </c>
      <c r="H87" s="4" t="n"/>
      <c r="I87" s="4">
        <f>IFERROR(IF(NOT(H87=""),ABS(ROUNDDOWN(F87-H87, 3 - (1+INT(LOG10(ABS(F87)))))),""),IF(AND(F87=0,NOT(F87="")),ABS(ROUNDDOWN(F87-H87,0)),""))</f>
        <v/>
      </c>
      <c r="J87" s="4">
        <f>IF(NOT(I87=""),IF(I87&lt;=G87,"match",IF(I87&lt;3*G87,"partial match","no match")),"")</f>
        <v/>
      </c>
      <c r="K87" t="inlineStr">
        <is>
          <t>morph_area_dens_conv_hull</t>
        </is>
      </c>
    </row>
    <row r="88" ht="15" customHeight="1" s="10">
      <c r="A88" t="inlineStr">
        <is>
          <t>configuration B</t>
        </is>
      </c>
      <c r="B88" t="inlineStr">
        <is>
          <t>Morphology</t>
        </is>
      </c>
      <c r="C88" t="inlineStr">
        <is>
          <t>Integrated intensity</t>
        </is>
      </c>
      <c r="E88" t="inlineStr">
        <is>
          <t>3-5</t>
        </is>
      </c>
      <c r="F88" t="n">
        <v>4120000</v>
      </c>
      <c r="G88" t="n">
        <v>320000</v>
      </c>
      <c r="H88" s="4" t="n"/>
      <c r="I88" s="4">
        <f>IFERROR(IF(NOT(H88=""),ABS(ROUNDDOWN(F88-H88, 3 - (1+INT(LOG10(ABS(F88)))))),""),IF(AND(F88=0,NOT(F88="")),ABS(ROUNDDOWN(F88-H88,0)),""))</f>
        <v/>
      </c>
      <c r="J88" s="4">
        <f>IF(NOT(I88=""),IF(I88&lt;=G88,"match",IF(I88&lt;3*G88,"partial match","no match")),"")</f>
        <v/>
      </c>
      <c r="K88" t="inlineStr">
        <is>
          <t>morph_integ_int</t>
        </is>
      </c>
    </row>
    <row r="89" ht="15" customHeight="1" s="10">
      <c r="A89" t="inlineStr">
        <is>
          <t>configuration B</t>
        </is>
      </c>
      <c r="B89" t="inlineStr">
        <is>
          <t>Morphology</t>
        </is>
      </c>
      <c r="C89" t="inlineStr">
        <is>
          <t>Moran's I index</t>
        </is>
      </c>
      <c r="E89" t="inlineStr">
        <is>
          <t>&lt; 3</t>
        </is>
      </c>
      <c r="H89" s="4" t="n"/>
      <c r="I89" s="4">
        <f>IFERROR(IF(NOT(H89=""),ABS(ROUNDDOWN(F89-H89, 3 - (1+INT(LOG10(ABS(F89)))))),""),IF(AND(F89=0,NOT(F89="")),ABS(ROUNDDOWN(F89-H89,0)),""))</f>
        <v/>
      </c>
      <c r="J89" s="4">
        <f>IF(NOT(I89=""),IF(I89&lt;=G89,"match",IF(I89&lt;3*G89,"partial match","no match")),"")</f>
        <v/>
      </c>
      <c r="K89" t="inlineStr">
        <is>
          <t>morph_moran_i</t>
        </is>
      </c>
    </row>
    <row r="90" ht="15" customHeight="1" s="10">
      <c r="A90" t="inlineStr">
        <is>
          <t>configuration B</t>
        </is>
      </c>
      <c r="B90" t="inlineStr">
        <is>
          <t>Morphology</t>
        </is>
      </c>
      <c r="C90" t="inlineStr">
        <is>
          <t>Geary's C measure</t>
        </is>
      </c>
      <c r="E90" t="inlineStr">
        <is>
          <t>&lt; 3</t>
        </is>
      </c>
      <c r="H90" s="4" t="n"/>
      <c r="I90" s="4">
        <f>IFERROR(IF(NOT(H90=""),ABS(ROUNDDOWN(F90-H90, 3 - (1+INT(LOG10(ABS(F90)))))),""),IF(AND(F90=0,NOT(F90="")),ABS(ROUNDDOWN(F90-H90,0)),""))</f>
        <v/>
      </c>
      <c r="J90" s="4">
        <f>IF(NOT(I90=""),IF(I90&lt;=G90,"match",IF(I90&lt;3*G90,"partial match","no match")),"")</f>
        <v/>
      </c>
      <c r="K90" t="inlineStr">
        <is>
          <t>morph_geary_c</t>
        </is>
      </c>
    </row>
    <row r="91" ht="15" customHeight="1" s="10">
      <c r="A91" t="inlineStr">
        <is>
          <t>configuration B</t>
        </is>
      </c>
      <c r="B91" t="inlineStr">
        <is>
          <t>Local intensity</t>
        </is>
      </c>
      <c r="C91" t="inlineStr">
        <is>
          <t>Local intensity peak</t>
        </is>
      </c>
      <c r="E91" t="inlineStr">
        <is>
          <t>&lt; 3</t>
        </is>
      </c>
      <c r="H91" s="4" t="n"/>
      <c r="I91" s="4">
        <f>IFERROR(IF(NOT(H91=""),ABS(ROUNDDOWN(F91-H91, 3 - (1+INT(LOG10(ABS(F91)))))),""),IF(AND(F91=0,NOT(F91="")),ABS(ROUNDDOWN(F91-H91,0)),""))</f>
        <v/>
      </c>
      <c r="J91" s="4">
        <f>IF(NOT(I91=""),IF(I91&lt;=G91,"match",IF(I91&lt;3*G91,"partial match","no match")),"")</f>
        <v/>
      </c>
      <c r="K91" t="inlineStr">
        <is>
          <t>loc_peak_loc</t>
        </is>
      </c>
    </row>
    <row r="92" ht="15" customHeight="1" s="10">
      <c r="A92" t="inlineStr">
        <is>
          <t>configuration B</t>
        </is>
      </c>
      <c r="B92" t="inlineStr">
        <is>
          <t>Local intensity</t>
        </is>
      </c>
      <c r="C92" t="inlineStr">
        <is>
          <t>Global intensity peak</t>
        </is>
      </c>
      <c r="E92" t="inlineStr">
        <is>
          <t>&lt; 3</t>
        </is>
      </c>
      <c r="H92" s="4" t="n"/>
      <c r="I92" s="4">
        <f>IFERROR(IF(NOT(H92=""),ABS(ROUNDDOWN(F92-H92, 3 - (1+INT(LOG10(ABS(F92)))))),""),IF(AND(F92=0,NOT(F92="")),ABS(ROUNDDOWN(F92-H92,0)),""))</f>
        <v/>
      </c>
      <c r="J92" s="4">
        <f>IF(NOT(I92=""),IF(I92&lt;=G92,"match",IF(I92&lt;3*G92,"partial match","no match")),"")</f>
        <v/>
      </c>
      <c r="K92" t="inlineStr">
        <is>
          <t>loc_peak_glob</t>
        </is>
      </c>
    </row>
    <row r="93" ht="15" customHeight="1" s="10">
      <c r="A93" t="inlineStr">
        <is>
          <t>configuration B</t>
        </is>
      </c>
      <c r="B93" t="inlineStr">
        <is>
          <t>Statistics</t>
        </is>
      </c>
      <c r="C93" t="inlineStr">
        <is>
          <t>Mean</t>
        </is>
      </c>
      <c r="E93" t="inlineStr">
        <is>
          <t>6-9</t>
        </is>
      </c>
      <c r="F93" t="n">
        <v>11.6</v>
      </c>
      <c r="G93" t="n">
        <v>1.1</v>
      </c>
      <c r="H93" s="4" t="n"/>
      <c r="I93" s="4">
        <f>IFERROR(IF(NOT(H93=""),ABS(ROUNDDOWN(F93-H93, 3 - (1+INT(LOG10(ABS(F93)))))),""),IF(AND(F93=0,NOT(F93="")),ABS(ROUNDDOWN(F93-H93,0)),""))</f>
        <v/>
      </c>
      <c r="J93" s="4">
        <f>IF(NOT(I93=""),IF(I93&lt;=G93,"match",IF(I93&lt;3*G93,"partial match","no match")),"")</f>
        <v/>
      </c>
      <c r="K93" t="inlineStr">
        <is>
          <t>stat_mean</t>
        </is>
      </c>
    </row>
    <row r="94" ht="15" customHeight="1" s="10">
      <c r="A94" t="inlineStr">
        <is>
          <t>configuration B</t>
        </is>
      </c>
      <c r="B94" t="inlineStr">
        <is>
          <t>Statistics</t>
        </is>
      </c>
      <c r="C94" t="inlineStr">
        <is>
          <t>Variance</t>
        </is>
      </c>
      <c r="E94" t="inlineStr">
        <is>
          <t>6-9</t>
        </is>
      </c>
      <c r="F94" t="n">
        <v>14400</v>
      </c>
      <c r="G94" t="n">
        <v>400</v>
      </c>
      <c r="H94" s="4" t="n"/>
      <c r="I94" s="4">
        <f>IFERROR(IF(NOT(H94=""),ABS(ROUNDDOWN(F94-H94, 3 - (1+INT(LOG10(ABS(F94)))))),""),IF(AND(F94=0,NOT(F94="")),ABS(ROUNDDOWN(F94-H94,0)),""))</f>
        <v/>
      </c>
      <c r="J94" s="4">
        <f>IF(NOT(I94=""),IF(I94&lt;=G94,"match",IF(I94&lt;3*G94,"partial match","no match")),"")</f>
        <v/>
      </c>
      <c r="K94" t="inlineStr">
        <is>
          <t>stat_var</t>
        </is>
      </c>
    </row>
    <row r="95" ht="15" customHeight="1" s="10">
      <c r="A95" t="inlineStr">
        <is>
          <t>configuration B</t>
        </is>
      </c>
      <c r="B95" t="inlineStr">
        <is>
          <t>Statistics</t>
        </is>
      </c>
      <c r="C95" t="inlineStr">
        <is>
          <t>Skewness</t>
        </is>
      </c>
      <c r="E95" t="inlineStr">
        <is>
          <t>6-9</t>
        </is>
      </c>
      <c r="F95" t="n">
        <v>-2.49</v>
      </c>
      <c r="G95" t="n">
        <v>0.05</v>
      </c>
      <c r="H95" s="4" t="n"/>
      <c r="I95" s="4">
        <f>IFERROR(IF(NOT(H95=""),ABS(ROUNDDOWN(F95-H95, 3 - (1+INT(LOG10(ABS(F95)))))),""),IF(AND(F95=0,NOT(F95="")),ABS(ROUNDDOWN(F95-H95,0)),""))</f>
        <v/>
      </c>
      <c r="J95" s="4">
        <f>IF(NOT(I95=""),IF(I95&lt;=G95,"match",IF(I95&lt;3*G95,"partial match","no match")),"")</f>
        <v/>
      </c>
      <c r="K95" t="inlineStr">
        <is>
          <t>stat_skew</t>
        </is>
      </c>
    </row>
    <row r="96" ht="15" customHeight="1" s="10">
      <c r="A96" t="inlineStr">
        <is>
          <t>configuration B</t>
        </is>
      </c>
      <c r="B96" t="inlineStr">
        <is>
          <t>Statistics</t>
        </is>
      </c>
      <c r="C96" t="inlineStr">
        <is>
          <t>(Excess) kurtosis</t>
        </is>
      </c>
      <c r="E96" t="inlineStr">
        <is>
          <t>6-9</t>
        </is>
      </c>
      <c r="F96" t="n">
        <v>5.93</v>
      </c>
      <c r="G96" t="n">
        <v>0.24</v>
      </c>
      <c r="H96" s="4" t="n"/>
      <c r="I96" s="4">
        <f>IFERROR(IF(NOT(H96=""),ABS(ROUNDDOWN(F96-H96, 3 - (1+INT(LOG10(ABS(F96)))))),""),IF(AND(F96=0,NOT(F96="")),ABS(ROUNDDOWN(F96-H96,0)),""))</f>
        <v/>
      </c>
      <c r="J96" s="4">
        <f>IF(NOT(I96=""),IF(I96&lt;=G96,"match",IF(I96&lt;3*G96,"partial match","no match")),"")</f>
        <v/>
      </c>
      <c r="K96" t="inlineStr">
        <is>
          <t>stat_kurt</t>
        </is>
      </c>
    </row>
    <row r="97" ht="15" customHeight="1" s="10">
      <c r="A97" t="inlineStr">
        <is>
          <t>configuration B</t>
        </is>
      </c>
      <c r="B97" t="inlineStr">
        <is>
          <t>Statistics</t>
        </is>
      </c>
      <c r="C97" t="inlineStr">
        <is>
          <t>Median</t>
        </is>
      </c>
      <c r="E97" t="inlineStr">
        <is>
          <t>6-9</t>
        </is>
      </c>
      <c r="F97" t="n">
        <v>45</v>
      </c>
      <c r="G97" t="n">
        <v>0.3</v>
      </c>
      <c r="H97" s="4" t="n"/>
      <c r="I97" s="4">
        <f>IFERROR(IF(NOT(H97=""),ABS(ROUNDDOWN(F97-H97, 3 - (1+INT(LOG10(ABS(F97)))))),""),IF(AND(F97=0,NOT(F97="")),ABS(ROUNDDOWN(F97-H97,0)),""))</f>
        <v/>
      </c>
      <c r="J97" s="4">
        <f>IF(NOT(I97=""),IF(I97&lt;=G97,"match",IF(I97&lt;3*G97,"partial match","no match")),"")</f>
        <v/>
      </c>
      <c r="K97" t="inlineStr">
        <is>
          <t>stat_median</t>
        </is>
      </c>
    </row>
    <row r="98" ht="15" customHeight="1" s="10">
      <c r="A98" t="inlineStr">
        <is>
          <t>configuration B</t>
        </is>
      </c>
      <c r="B98" t="inlineStr">
        <is>
          <t>Statistics</t>
        </is>
      </c>
      <c r="C98" t="inlineStr">
        <is>
          <t>Minimum</t>
        </is>
      </c>
      <c r="E98" t="inlineStr">
        <is>
          <t>6-9</t>
        </is>
      </c>
      <c r="F98" t="n">
        <v>-500</v>
      </c>
      <c r="G98" t="n">
        <v>0</v>
      </c>
      <c r="H98" s="4" t="n"/>
      <c r="I98" s="4">
        <f>IFERROR(IF(NOT(H98=""),ABS(ROUNDDOWN(F98-H98, 3 - (1+INT(LOG10(ABS(F98)))))),""),IF(AND(F98=0,NOT(F98="")),ABS(ROUNDDOWN(F98-H98,0)),""))</f>
        <v/>
      </c>
      <c r="J98" s="4">
        <f>IF(NOT(I98=""),IF(I98&lt;=G98,"match",IF(I98&lt;3*G98,"partial match","no match")),"")</f>
        <v/>
      </c>
      <c r="K98" t="inlineStr">
        <is>
          <t>stat_min</t>
        </is>
      </c>
    </row>
    <row r="99" ht="15" customHeight="1" s="10">
      <c r="A99" t="inlineStr">
        <is>
          <t>configuration B</t>
        </is>
      </c>
      <c r="B99" t="inlineStr">
        <is>
          <t>Statistics</t>
        </is>
      </c>
      <c r="C99" t="inlineStr">
        <is>
          <t>10th percentile</t>
        </is>
      </c>
      <c r="E99" t="inlineStr">
        <is>
          <t>6-9</t>
        </is>
      </c>
      <c r="F99" t="n">
        <v>-136</v>
      </c>
      <c r="G99" t="n">
        <v>8</v>
      </c>
      <c r="H99" s="4" t="n"/>
      <c r="I99" s="4">
        <f>IFERROR(IF(NOT(H99=""),ABS(ROUNDDOWN(F99-H99, 3 - (1+INT(LOG10(ABS(F99)))))),""),IF(AND(F99=0,NOT(F99="")),ABS(ROUNDDOWN(F99-H99,0)),""))</f>
        <v/>
      </c>
      <c r="J99" s="4">
        <f>IF(NOT(I99=""),IF(I99&lt;=G99,"match",IF(I99&lt;3*G99,"partial match","no match")),"")</f>
        <v/>
      </c>
      <c r="K99" t="inlineStr">
        <is>
          <t>stat_p10</t>
        </is>
      </c>
    </row>
    <row r="100" ht="15" customHeight="1" s="10">
      <c r="A100" t="inlineStr">
        <is>
          <t>configuration B</t>
        </is>
      </c>
      <c r="B100" t="inlineStr">
        <is>
          <t>Statistics</t>
        </is>
      </c>
      <c r="C100" t="inlineStr">
        <is>
          <t>90th percentile</t>
        </is>
      </c>
      <c r="E100" t="inlineStr">
        <is>
          <t>3-5</t>
        </is>
      </c>
      <c r="F100" t="n">
        <v>91</v>
      </c>
      <c r="G100" t="n">
        <v>0</v>
      </c>
      <c r="H100" s="4" t="n"/>
      <c r="I100" s="4">
        <f>IFERROR(IF(NOT(H100=""),ABS(ROUNDDOWN(F100-H100, 3 - (1+INT(LOG10(ABS(F100)))))),""),IF(AND(F100=0,NOT(F100="")),ABS(ROUNDDOWN(F100-H100,0)),""))</f>
        <v/>
      </c>
      <c r="J100" s="4">
        <f>IF(NOT(I100=""),IF(I100&lt;=G100,"match",IF(I100&lt;3*G100,"partial match","no match")),"")</f>
        <v/>
      </c>
      <c r="K100" t="inlineStr">
        <is>
          <t>stat_p90</t>
        </is>
      </c>
    </row>
    <row r="101" ht="15" customHeight="1" s="10">
      <c r="A101" t="inlineStr">
        <is>
          <t>configuration B</t>
        </is>
      </c>
      <c r="B101" t="inlineStr">
        <is>
          <t>Statistics</t>
        </is>
      </c>
      <c r="C101" t="inlineStr">
        <is>
          <t>Maximum</t>
        </is>
      </c>
      <c r="E101" t="inlineStr">
        <is>
          <t>6-9</t>
        </is>
      </c>
      <c r="F101" t="n">
        <v>391</v>
      </c>
      <c r="G101" t="n">
        <v>9</v>
      </c>
      <c r="H101" s="4" t="n"/>
      <c r="I101" s="4">
        <f>IFERROR(IF(NOT(H101=""),ABS(ROUNDDOWN(F101-H101, 3 - (1+INT(LOG10(ABS(F101)))))),""),IF(AND(F101=0,NOT(F101="")),ABS(ROUNDDOWN(F101-H101,0)),""))</f>
        <v/>
      </c>
      <c r="J101" s="4">
        <f>IF(NOT(I101=""),IF(I101&lt;=G101,"match",IF(I101&lt;3*G101,"partial match","no match")),"")</f>
        <v/>
      </c>
      <c r="K101" t="inlineStr">
        <is>
          <t>stat_max</t>
        </is>
      </c>
    </row>
    <row r="102" ht="15" customHeight="1" s="10">
      <c r="A102" t="inlineStr">
        <is>
          <t>configuration B</t>
        </is>
      </c>
      <c r="B102" t="inlineStr">
        <is>
          <t>Statistics</t>
        </is>
      </c>
      <c r="C102" t="inlineStr">
        <is>
          <t>Interquartile range</t>
        </is>
      </c>
      <c r="E102" t="inlineStr">
        <is>
          <t>3-5</t>
        </is>
      </c>
      <c r="F102" t="n">
        <v>52</v>
      </c>
      <c r="G102" t="n">
        <v>0.4</v>
      </c>
      <c r="H102" s="4" t="n"/>
      <c r="I102" s="4">
        <f>IFERROR(IF(NOT(H102=""),ABS(ROUNDDOWN(F102-H102, 3 - (1+INT(LOG10(ABS(F102)))))),""),IF(AND(F102=0,NOT(F102="")),ABS(ROUNDDOWN(F102-H102,0)),""))</f>
        <v/>
      </c>
      <c r="J102" s="4">
        <f>IF(NOT(I102=""),IF(I102&lt;=G102,"match",IF(I102&lt;3*G102,"partial match","no match")),"")</f>
        <v/>
      </c>
      <c r="K102" t="inlineStr">
        <is>
          <t>stat_iqr</t>
        </is>
      </c>
    </row>
    <row r="103" ht="15" customHeight="1" s="10">
      <c r="A103" t="inlineStr">
        <is>
          <t>configuration B</t>
        </is>
      </c>
      <c r="B103" t="inlineStr">
        <is>
          <t>Statistics</t>
        </is>
      </c>
      <c r="C103" t="inlineStr">
        <is>
          <t>Range</t>
        </is>
      </c>
      <c r="E103" t="inlineStr">
        <is>
          <t>6-9</t>
        </is>
      </c>
      <c r="F103" t="n">
        <v>891</v>
      </c>
      <c r="G103" t="n">
        <v>9</v>
      </c>
      <c r="H103" s="4" t="n"/>
      <c r="I103" s="4">
        <f>IFERROR(IF(NOT(H103=""),ABS(ROUNDDOWN(F103-H103, 3 - (1+INT(LOG10(ABS(F103)))))),""),IF(AND(F103=0,NOT(F103="")),ABS(ROUNDDOWN(F103-H103,0)),""))</f>
        <v/>
      </c>
      <c r="J103" s="4">
        <f>IF(NOT(I103=""),IF(I103&lt;=G103,"match",IF(I103&lt;3*G103,"partial match","no match")),"")</f>
        <v/>
      </c>
      <c r="K103" t="inlineStr">
        <is>
          <t>stat_range</t>
        </is>
      </c>
    </row>
    <row r="104" ht="15" customHeight="1" s="10">
      <c r="A104" t="inlineStr">
        <is>
          <t>configuration B</t>
        </is>
      </c>
      <c r="B104" t="inlineStr">
        <is>
          <t>Statistics</t>
        </is>
      </c>
      <c r="C104" t="inlineStr">
        <is>
          <t>Mean absolute deviation</t>
        </is>
      </c>
      <c r="E104" t="inlineStr">
        <is>
          <t>6-9</t>
        </is>
      </c>
      <c r="F104" t="n">
        <v>74.3</v>
      </c>
      <c r="G104" t="n">
        <v>1.4</v>
      </c>
      <c r="H104" s="4" t="n"/>
      <c r="I104" s="4">
        <f>IFERROR(IF(NOT(H104=""),ABS(ROUNDDOWN(F104-H104, 3 - (1+INT(LOG10(ABS(F104)))))),""),IF(AND(F104=0,NOT(F104="")),ABS(ROUNDDOWN(F104-H104,0)),""))</f>
        <v/>
      </c>
      <c r="J104" s="4">
        <f>IF(NOT(I104=""),IF(I104&lt;=G104,"match",IF(I104&lt;3*G104,"partial match","no match")),"")</f>
        <v/>
      </c>
      <c r="K104" t="inlineStr">
        <is>
          <t>stat_mad</t>
        </is>
      </c>
    </row>
    <row r="105" ht="15" customHeight="1" s="10">
      <c r="A105" t="inlineStr">
        <is>
          <t>configuration B</t>
        </is>
      </c>
      <c r="B105" t="inlineStr">
        <is>
          <t>Statistics</t>
        </is>
      </c>
      <c r="C105" t="inlineStr">
        <is>
          <t>Robust mean absolute deviation</t>
        </is>
      </c>
      <c r="E105" t="inlineStr">
        <is>
          <t>6-9</t>
        </is>
      </c>
      <c r="F105" t="n">
        <v>27.3</v>
      </c>
      <c r="G105" t="n">
        <v>0.8</v>
      </c>
      <c r="H105" s="4" t="n"/>
      <c r="I105" s="4">
        <f>IFERROR(IF(NOT(H105=""),ABS(ROUNDDOWN(F105-H105, 3 - (1+INT(LOG10(ABS(F105)))))),""),IF(AND(F105=0,NOT(F105="")),ABS(ROUNDDOWN(F105-H105,0)),""))</f>
        <v/>
      </c>
      <c r="J105" s="4">
        <f>IF(NOT(I105=""),IF(I105&lt;=G105,"match",IF(I105&lt;3*G105,"partial match","no match")),"")</f>
        <v/>
      </c>
      <c r="K105" t="inlineStr">
        <is>
          <t>stat_rmad</t>
        </is>
      </c>
    </row>
    <row r="106" ht="15" customHeight="1" s="10">
      <c r="A106" t="inlineStr">
        <is>
          <t>configuration B</t>
        </is>
      </c>
      <c r="B106" t="inlineStr">
        <is>
          <t>Statistics</t>
        </is>
      </c>
      <c r="C106" t="inlineStr">
        <is>
          <t>Median absolute deviation</t>
        </is>
      </c>
      <c r="E106" t="inlineStr">
        <is>
          <t>3-5</t>
        </is>
      </c>
      <c r="F106" t="n">
        <v>63.8</v>
      </c>
      <c r="G106" t="n">
        <v>1</v>
      </c>
      <c r="H106" s="4" t="n"/>
      <c r="I106" s="4">
        <f>IFERROR(IF(NOT(H106=""),ABS(ROUNDDOWN(F106-H106, 3 - (1+INT(LOG10(ABS(F106)))))),""),IF(AND(F106=0,NOT(F106="")),ABS(ROUNDDOWN(F106-H106,0)),""))</f>
        <v/>
      </c>
      <c r="J106" s="4">
        <f>IF(NOT(I106=""),IF(I106&lt;=G106,"match",IF(I106&lt;3*G106,"partial match","no match")),"")</f>
        <v/>
      </c>
      <c r="K106" t="inlineStr">
        <is>
          <t>stat_medad</t>
        </is>
      </c>
    </row>
    <row r="107" ht="15" customHeight="1" s="10">
      <c r="A107" t="inlineStr">
        <is>
          <t>configuration B</t>
        </is>
      </c>
      <c r="B107" t="inlineStr">
        <is>
          <t>Statistics</t>
        </is>
      </c>
      <c r="C107" t="inlineStr">
        <is>
          <t>Coefficient of variation</t>
        </is>
      </c>
      <c r="E107" t="inlineStr">
        <is>
          <t>6-9</t>
        </is>
      </c>
      <c r="F107" t="n">
        <v>10.4</v>
      </c>
      <c r="G107" t="n">
        <v>5.1</v>
      </c>
      <c r="H107" s="4" t="n"/>
      <c r="I107" s="4">
        <f>IFERROR(IF(NOT(H107=""),ABS(ROUNDDOWN(F107-H107, 3 - (1+INT(LOG10(ABS(F107)))))),""),IF(AND(F107=0,NOT(F107="")),ABS(ROUNDDOWN(F107-H107,0)),""))</f>
        <v/>
      </c>
      <c r="J107" s="4">
        <f>IF(NOT(I107=""),IF(I107&lt;=G107,"match",IF(I107&lt;3*G107,"partial match","no match")),"")</f>
        <v/>
      </c>
      <c r="K107" t="inlineStr">
        <is>
          <t>stat_cov</t>
        </is>
      </c>
    </row>
    <row r="108" ht="15" customHeight="1" s="10">
      <c r="A108" t="inlineStr">
        <is>
          <t>configuration B</t>
        </is>
      </c>
      <c r="B108" t="inlineStr">
        <is>
          <t>Statistics</t>
        </is>
      </c>
      <c r="C108" t="inlineStr">
        <is>
          <t>Quartile coefficient of dispersion</t>
        </is>
      </c>
      <c r="E108" t="inlineStr">
        <is>
          <t>3-5</t>
        </is>
      </c>
      <c r="F108" t="n">
        <v>0.591</v>
      </c>
      <c r="G108" t="n">
        <v>0.008</v>
      </c>
      <c r="H108" s="4" t="n"/>
      <c r="I108" s="4">
        <f>IFERROR(IF(NOT(H108=""),ABS(ROUNDDOWN(F108-H108, 3 - (1+INT(LOG10(ABS(F108)))))),""),IF(AND(F108=0,NOT(F108="")),ABS(ROUNDDOWN(F108-H108,0)),""))</f>
        <v/>
      </c>
      <c r="J108" s="4">
        <f>IF(NOT(I108=""),IF(I108&lt;=G108,"match",IF(I108&lt;3*G108,"partial match","no match")),"")</f>
        <v/>
      </c>
      <c r="K108" t="inlineStr">
        <is>
          <t>stat_qcod</t>
        </is>
      </c>
    </row>
    <row r="109" ht="15" customHeight="1" s="10">
      <c r="A109" t="inlineStr">
        <is>
          <t>configuration B</t>
        </is>
      </c>
      <c r="B109" t="inlineStr">
        <is>
          <t>Statistics</t>
        </is>
      </c>
      <c r="C109" t="inlineStr">
        <is>
          <t>Energy</t>
        </is>
      </c>
      <c r="E109" t="inlineStr">
        <is>
          <t>6-9</t>
        </is>
      </c>
      <c r="F109" t="n">
        <v>397000000</v>
      </c>
      <c r="G109" t="n">
        <v>11000000</v>
      </c>
      <c r="H109" s="4" t="n"/>
      <c r="I109" s="4">
        <f>IFERROR(IF(NOT(H109=""),ABS(ROUNDDOWN(F109-H109, 3 - (1+INT(LOG10(ABS(F109)))))),""),IF(AND(F109=0,NOT(F109="")),ABS(ROUNDDOWN(F109-H109,0)),""))</f>
        <v/>
      </c>
      <c r="J109" s="4">
        <f>IF(NOT(I109=""),IF(I109&lt;=G109,"match",IF(I109&lt;3*G109,"partial match","no match")),"")</f>
        <v/>
      </c>
      <c r="K109" t="inlineStr">
        <is>
          <t>stat_energy</t>
        </is>
      </c>
    </row>
    <row r="110" ht="15" customHeight="1" s="10">
      <c r="A110" t="inlineStr">
        <is>
          <t>configuration B</t>
        </is>
      </c>
      <c r="B110" t="inlineStr">
        <is>
          <t>Statistics</t>
        </is>
      </c>
      <c r="C110" t="inlineStr">
        <is>
          <t>Root mean square</t>
        </is>
      </c>
      <c r="E110" t="inlineStr">
        <is>
          <t>6-9</t>
        </is>
      </c>
      <c r="F110" t="n">
        <v>121</v>
      </c>
      <c r="G110" t="n">
        <v>2</v>
      </c>
      <c r="H110" s="4" t="n"/>
      <c r="I110" s="4">
        <f>IFERROR(IF(NOT(H110=""),ABS(ROUNDDOWN(F110-H110, 3 - (1+INT(LOG10(ABS(F110)))))),""),IF(AND(F110=0,NOT(F110="")),ABS(ROUNDDOWN(F110-H110,0)),""))</f>
        <v/>
      </c>
      <c r="J110" s="4">
        <f>IF(NOT(I110=""),IF(I110&lt;=G110,"match",IF(I110&lt;3*G110,"partial match","no match")),"")</f>
        <v/>
      </c>
      <c r="K110" t="inlineStr">
        <is>
          <t>stat_rms</t>
        </is>
      </c>
    </row>
    <row r="111" ht="15" customHeight="1" s="10">
      <c r="A111" t="inlineStr">
        <is>
          <t>configuration B</t>
        </is>
      </c>
      <c r="B111" t="inlineStr">
        <is>
          <t>Intensity histogram</t>
        </is>
      </c>
      <c r="C111" t="inlineStr">
        <is>
          <t>Mean</t>
        </is>
      </c>
      <c r="E111" t="inlineStr">
        <is>
          <t>3-5</t>
        </is>
      </c>
      <c r="F111" t="n">
        <v>18.9</v>
      </c>
      <c r="G111" t="n">
        <v>0.3</v>
      </c>
      <c r="H111" s="4" t="n"/>
      <c r="I111" s="4">
        <f>IFERROR(IF(NOT(H111=""),ABS(ROUNDDOWN(F111-H111, 3 - (1+INT(LOG10(ABS(F111)))))),""),IF(AND(F111=0,NOT(F111="")),ABS(ROUNDDOWN(F111-H111,0)),""))</f>
        <v/>
      </c>
      <c r="J111" s="4">
        <f>IF(NOT(I111=""),IF(I111&lt;=G111,"match",IF(I111&lt;3*G111,"partial match","no match")),"")</f>
        <v/>
      </c>
      <c r="K111" t="inlineStr">
        <is>
          <t>ih_mean</t>
        </is>
      </c>
    </row>
    <row r="112" ht="15" customHeight="1" s="10">
      <c r="A112" t="inlineStr">
        <is>
          <t>configuration B</t>
        </is>
      </c>
      <c r="B112" t="inlineStr">
        <is>
          <t>Intensity histogram</t>
        </is>
      </c>
      <c r="C112" t="inlineStr">
        <is>
          <t>Variance</t>
        </is>
      </c>
      <c r="E112" t="inlineStr">
        <is>
          <t>3-5</t>
        </is>
      </c>
      <c r="F112" t="n">
        <v>18.7</v>
      </c>
      <c r="G112" t="n">
        <v>0.1</v>
      </c>
      <c r="H112" s="4" t="n"/>
      <c r="I112" s="4">
        <f>IFERROR(IF(NOT(H112=""),ABS(ROUNDDOWN(F112-H112, 3 - (1+INT(LOG10(ABS(F112)))))),""),IF(AND(F112=0,NOT(F112="")),ABS(ROUNDDOWN(F112-H112,0)),""))</f>
        <v/>
      </c>
      <c r="J112" s="4">
        <f>IF(NOT(I112=""),IF(I112&lt;=G112,"match",IF(I112&lt;3*G112,"partial match","no match")),"")</f>
        <v/>
      </c>
      <c r="K112" t="inlineStr">
        <is>
          <t>ih_var</t>
        </is>
      </c>
    </row>
    <row r="113" ht="15" customHeight="1" s="10">
      <c r="A113" t="inlineStr">
        <is>
          <t>configuration B</t>
        </is>
      </c>
      <c r="B113" t="inlineStr">
        <is>
          <t>Intensity histogram</t>
        </is>
      </c>
      <c r="C113" t="inlineStr">
        <is>
          <t>Skewness</t>
        </is>
      </c>
      <c r="E113" t="inlineStr">
        <is>
          <t>3-5</t>
        </is>
      </c>
      <c r="F113" t="n">
        <v>-2.47</v>
      </c>
      <c r="G113" t="n">
        <v>0.05</v>
      </c>
      <c r="H113" s="4" t="n"/>
      <c r="I113" s="4">
        <f>IFERROR(IF(NOT(H113=""),ABS(ROUNDDOWN(F113-H113, 3 - (1+INT(LOG10(ABS(F113)))))),""),IF(AND(F113=0,NOT(F113="")),ABS(ROUNDDOWN(F113-H113,0)),""))</f>
        <v/>
      </c>
      <c r="J113" s="4">
        <f>IF(NOT(I113=""),IF(I113&lt;=G113,"match",IF(I113&lt;3*G113,"partial match","no match")),"")</f>
        <v/>
      </c>
      <c r="K113" t="inlineStr">
        <is>
          <t>ih_skew</t>
        </is>
      </c>
    </row>
    <row r="114" ht="15" customHeight="1" s="10">
      <c r="A114" t="inlineStr">
        <is>
          <t>configuration B</t>
        </is>
      </c>
      <c r="B114" t="inlineStr">
        <is>
          <t>Intensity histogram</t>
        </is>
      </c>
      <c r="C114" t="inlineStr">
        <is>
          <t>Kurtosis</t>
        </is>
      </c>
      <c r="E114" t="inlineStr">
        <is>
          <t>3-5</t>
        </is>
      </c>
      <c r="F114" t="n">
        <v>5.84</v>
      </c>
      <c r="G114" t="n">
        <v>0.24</v>
      </c>
      <c r="H114" s="4" t="n"/>
      <c r="I114" s="4">
        <f>IFERROR(IF(NOT(H114=""),ABS(ROUNDDOWN(F114-H114, 3 - (1+INT(LOG10(ABS(F114)))))),""),IF(AND(F114=0,NOT(F114="")),ABS(ROUNDDOWN(F114-H114,0)),""))</f>
        <v/>
      </c>
      <c r="J114" s="4">
        <f>IF(NOT(I114=""),IF(I114&lt;=G114,"match",IF(I114&lt;3*G114,"partial match","no match")),"")</f>
        <v/>
      </c>
      <c r="K114" t="inlineStr">
        <is>
          <t>ih_kurt</t>
        </is>
      </c>
    </row>
    <row r="115" ht="15" customHeight="1" s="10">
      <c r="A115" t="inlineStr">
        <is>
          <t>configuration B</t>
        </is>
      </c>
      <c r="B115" t="inlineStr">
        <is>
          <t>Intensity histogram</t>
        </is>
      </c>
      <c r="C115" t="inlineStr">
        <is>
          <t>Median</t>
        </is>
      </c>
      <c r="E115" t="inlineStr">
        <is>
          <t>3-5</t>
        </is>
      </c>
      <c r="F115" t="n">
        <v>20</v>
      </c>
      <c r="G115" t="n">
        <v>0.3</v>
      </c>
      <c r="H115" s="4" t="n"/>
      <c r="I115" s="4">
        <f>IFERROR(IF(NOT(H115=""),ABS(ROUNDDOWN(F115-H115, 3 - (1+INT(LOG10(ABS(F115)))))),""),IF(AND(F115=0,NOT(F115="")),ABS(ROUNDDOWN(F115-H115,0)),""))</f>
        <v/>
      </c>
      <c r="J115" s="4">
        <f>IF(NOT(I115=""),IF(I115&lt;=G115,"match",IF(I115&lt;3*G115,"partial match","no match")),"")</f>
        <v/>
      </c>
      <c r="K115" t="inlineStr">
        <is>
          <t>ih_median</t>
        </is>
      </c>
    </row>
    <row r="116" ht="15" customHeight="1" s="10">
      <c r="A116" t="inlineStr">
        <is>
          <t>configuration B</t>
        </is>
      </c>
      <c r="B116" t="inlineStr">
        <is>
          <t>Intensity histogram</t>
        </is>
      </c>
      <c r="C116" t="inlineStr">
        <is>
          <t>Minimum</t>
        </is>
      </c>
      <c r="E116" t="inlineStr">
        <is>
          <t>3-5</t>
        </is>
      </c>
      <c r="F116" t="n">
        <v>1</v>
      </c>
      <c r="G116" t="n">
        <v>0</v>
      </c>
      <c r="H116" s="4" t="n"/>
      <c r="I116" s="4">
        <f>IFERROR(IF(NOT(H116=""),ABS(ROUNDDOWN(F116-H116, 3 - (1+INT(LOG10(ABS(F116)))))),""),IF(AND(F116=0,NOT(F116="")),ABS(ROUNDDOWN(F116-H116,0)),""))</f>
        <v/>
      </c>
      <c r="J116" s="4">
        <f>IF(NOT(I116=""),IF(I116&lt;=G116,"match",IF(I116&lt;3*G116,"partial match","no match")),"")</f>
        <v/>
      </c>
      <c r="K116" t="inlineStr">
        <is>
          <t>ih_min</t>
        </is>
      </c>
    </row>
    <row r="117" ht="15" customHeight="1" s="10">
      <c r="A117" t="inlineStr">
        <is>
          <t>configuration B</t>
        </is>
      </c>
      <c r="B117" t="inlineStr">
        <is>
          <t>Intensity histogram</t>
        </is>
      </c>
      <c r="C117" t="inlineStr">
        <is>
          <t>10th percentile</t>
        </is>
      </c>
      <c r="E117" t="inlineStr">
        <is>
          <t>3-5</t>
        </is>
      </c>
      <c r="F117" t="n">
        <v>14</v>
      </c>
      <c r="G117" t="n">
        <v>0.5</v>
      </c>
      <c r="H117" s="4" t="n"/>
      <c r="I117" s="4">
        <f>IFERROR(IF(NOT(H117=""),ABS(ROUNDDOWN(F117-H117, 3 - (1+INT(LOG10(ABS(F117)))))),""),IF(AND(F117=0,NOT(F117="")),ABS(ROUNDDOWN(F117-H117,0)),""))</f>
        <v/>
      </c>
      <c r="J117" s="4">
        <f>IF(NOT(I117=""),IF(I117&lt;=G117,"match",IF(I117&lt;3*G117,"partial match","no match")),"")</f>
        <v/>
      </c>
      <c r="K117" t="inlineStr">
        <is>
          <t>ih_p10</t>
        </is>
      </c>
    </row>
    <row r="118" ht="15" customHeight="1" s="10">
      <c r="A118" t="inlineStr">
        <is>
          <t>configuration B</t>
        </is>
      </c>
      <c r="B118" t="inlineStr">
        <is>
          <t>Intensity histogram</t>
        </is>
      </c>
      <c r="C118" t="inlineStr">
        <is>
          <t>90th percentile</t>
        </is>
      </c>
      <c r="E118" t="inlineStr">
        <is>
          <t>3-5</t>
        </is>
      </c>
      <c r="F118" t="n">
        <v>22</v>
      </c>
      <c r="G118" t="n">
        <v>0.3</v>
      </c>
      <c r="H118" s="4" t="n"/>
      <c r="I118" s="4">
        <f>IFERROR(IF(NOT(H118=""),ABS(ROUNDDOWN(F118-H118, 3 - (1+INT(LOG10(ABS(F118)))))),""),IF(AND(F118=0,NOT(F118="")),ABS(ROUNDDOWN(F118-H118,0)),""))</f>
        <v/>
      </c>
      <c r="J118" s="4">
        <f>IF(NOT(I118=""),IF(I118&lt;=G118,"match",IF(I118&lt;3*G118,"partial match","no match")),"")</f>
        <v/>
      </c>
      <c r="K118" t="inlineStr">
        <is>
          <t>ih_p90</t>
        </is>
      </c>
    </row>
    <row r="119" ht="15" customHeight="1" s="10">
      <c r="A119" t="inlineStr">
        <is>
          <t>configuration B</t>
        </is>
      </c>
      <c r="B119" t="inlineStr">
        <is>
          <t>Intensity histogram</t>
        </is>
      </c>
      <c r="C119" t="inlineStr">
        <is>
          <t>Maximum</t>
        </is>
      </c>
      <c r="E119" t="inlineStr">
        <is>
          <t>3-5</t>
        </is>
      </c>
      <c r="F119" t="n">
        <v>32</v>
      </c>
      <c r="G119" t="n">
        <v>0</v>
      </c>
      <c r="H119" s="4" t="n"/>
      <c r="I119" s="4">
        <f>IFERROR(IF(NOT(H119=""),ABS(ROUNDDOWN(F119-H119, 3 - (1+INT(LOG10(ABS(F119)))))),""),IF(AND(F119=0,NOT(F119="")),ABS(ROUNDDOWN(F119-H119,0)),""))</f>
        <v/>
      </c>
      <c r="J119" s="4">
        <f>IF(NOT(I119=""),IF(I119&lt;=G119,"match",IF(I119&lt;3*G119,"partial match","no match")),"")</f>
        <v/>
      </c>
      <c r="K119" t="inlineStr">
        <is>
          <t>ih_max</t>
        </is>
      </c>
    </row>
    <row r="120" ht="15" customHeight="1" s="10">
      <c r="A120" t="inlineStr">
        <is>
          <t>configuration B</t>
        </is>
      </c>
      <c r="B120" t="inlineStr">
        <is>
          <t>Intensity histogram</t>
        </is>
      </c>
      <c r="C120" t="inlineStr">
        <is>
          <t>Mode</t>
        </is>
      </c>
      <c r="E120" t="inlineStr">
        <is>
          <t>3-5</t>
        </is>
      </c>
      <c r="F120" t="n">
        <v>20</v>
      </c>
      <c r="G120" t="n">
        <v>0.3</v>
      </c>
      <c r="H120" s="4" t="n"/>
      <c r="I120" s="4">
        <f>IFERROR(IF(NOT(H120=""),ABS(ROUNDDOWN(F120-H120, 3 - (1+INT(LOG10(ABS(F120)))))),""),IF(AND(F120=0,NOT(F120="")),ABS(ROUNDDOWN(F120-H120,0)),""))</f>
        <v/>
      </c>
      <c r="J120" s="4">
        <f>IF(NOT(I120=""),IF(I120&lt;=G120,"match",IF(I120&lt;3*G120,"partial match","no match")),"")</f>
        <v/>
      </c>
      <c r="K120" t="inlineStr">
        <is>
          <t>ih_mode</t>
        </is>
      </c>
    </row>
    <row r="121" ht="15" customHeight="1" s="10">
      <c r="A121" t="inlineStr">
        <is>
          <t>configuration B</t>
        </is>
      </c>
      <c r="B121" t="inlineStr">
        <is>
          <t>Intensity histogram</t>
        </is>
      </c>
      <c r="C121" t="inlineStr">
        <is>
          <t>Interquartile range</t>
        </is>
      </c>
      <c r="E121" t="inlineStr">
        <is>
          <t>3-5</t>
        </is>
      </c>
      <c r="F121" t="n">
        <v>2</v>
      </c>
      <c r="G121" t="n">
        <v>0</v>
      </c>
      <c r="H121" s="4" t="n"/>
      <c r="I121" s="4">
        <f>IFERROR(IF(NOT(H121=""),ABS(ROUNDDOWN(F121-H121, 3 - (1+INT(LOG10(ABS(F121)))))),""),IF(AND(F121=0,NOT(F121="")),ABS(ROUNDDOWN(F121-H121,0)),""))</f>
        <v/>
      </c>
      <c r="J121" s="4">
        <f>IF(NOT(I121=""),IF(I121&lt;=G121,"match",IF(I121&lt;3*G121,"partial match","no match")),"")</f>
        <v/>
      </c>
      <c r="K121" t="inlineStr">
        <is>
          <t>ih_iqr</t>
        </is>
      </c>
    </row>
    <row r="122" ht="15" customHeight="1" s="10">
      <c r="A122" t="inlineStr">
        <is>
          <t>configuration B</t>
        </is>
      </c>
      <c r="B122" t="inlineStr">
        <is>
          <t>Intensity histogram</t>
        </is>
      </c>
      <c r="C122" t="inlineStr">
        <is>
          <t>Range</t>
        </is>
      </c>
      <c r="E122" t="inlineStr">
        <is>
          <t>3-5</t>
        </is>
      </c>
      <c r="F122" t="n">
        <v>31</v>
      </c>
      <c r="G122" t="n">
        <v>0</v>
      </c>
      <c r="H122" s="4" t="n"/>
      <c r="I122" s="4">
        <f>IFERROR(IF(NOT(H122=""),ABS(ROUNDDOWN(F122-H122, 3 - (1+INT(LOG10(ABS(F122)))))),""),IF(AND(F122=0,NOT(F122="")),ABS(ROUNDDOWN(F122-H122,0)),""))</f>
        <v/>
      </c>
      <c r="J122" s="4">
        <f>IF(NOT(I122=""),IF(I122&lt;=G122,"match",IF(I122&lt;3*G122,"partial match","no match")),"")</f>
        <v/>
      </c>
      <c r="K122" t="inlineStr">
        <is>
          <t>ih_range</t>
        </is>
      </c>
    </row>
    <row r="123" ht="15" customHeight="1" s="10">
      <c r="A123" t="inlineStr">
        <is>
          <t>configuration B</t>
        </is>
      </c>
      <c r="B123" t="inlineStr">
        <is>
          <t>Intensity histogram</t>
        </is>
      </c>
      <c r="C123" t="inlineStr">
        <is>
          <t>Mean absolute deviation</t>
        </is>
      </c>
      <c r="E123" t="inlineStr">
        <is>
          <t>3-5</t>
        </is>
      </c>
      <c r="F123" t="n">
        <v>2.67</v>
      </c>
      <c r="G123" t="n">
        <v>0.03</v>
      </c>
      <c r="H123" s="4" t="n"/>
      <c r="I123" s="4">
        <f>IFERROR(IF(NOT(H123=""),ABS(ROUNDDOWN(F123-H123, 3 - (1+INT(LOG10(ABS(F123)))))),""),IF(AND(F123=0,NOT(F123="")),ABS(ROUNDDOWN(F123-H123,0)),""))</f>
        <v/>
      </c>
      <c r="J123" s="4">
        <f>IF(NOT(I123=""),IF(I123&lt;=G123,"match",IF(I123&lt;3*G123,"partial match","no match")),"")</f>
        <v/>
      </c>
      <c r="K123" t="inlineStr">
        <is>
          <t>ih_mad</t>
        </is>
      </c>
    </row>
    <row r="124" ht="15" customHeight="1" s="10">
      <c r="A124" t="inlineStr">
        <is>
          <t>configuration B</t>
        </is>
      </c>
      <c r="B124" t="inlineStr">
        <is>
          <t>Intensity histogram</t>
        </is>
      </c>
      <c r="C124" t="inlineStr">
        <is>
          <t>Robust mean absolute deviation</t>
        </is>
      </c>
      <c r="E124" t="inlineStr">
        <is>
          <t>3-5</t>
        </is>
      </c>
      <c r="F124" t="n">
        <v>1.03</v>
      </c>
      <c r="G124" t="n">
        <v>0.03</v>
      </c>
      <c r="H124" s="4" t="n"/>
      <c r="I124" s="4">
        <f>IFERROR(IF(NOT(H124=""),ABS(ROUNDDOWN(F124-H124, 3 - (1+INT(LOG10(ABS(F124)))))),""),IF(AND(F124=0,NOT(F124="")),ABS(ROUNDDOWN(F124-H124,0)),""))</f>
        <v/>
      </c>
      <c r="J124" s="4">
        <f>IF(NOT(I124=""),IF(I124&lt;=G124,"match",IF(I124&lt;3*G124,"partial match","no match")),"")</f>
        <v/>
      </c>
      <c r="K124" t="inlineStr">
        <is>
          <t>ih_rmad</t>
        </is>
      </c>
    </row>
    <row r="125" ht="15" customHeight="1" s="10">
      <c r="A125" t="inlineStr">
        <is>
          <t>configuration B</t>
        </is>
      </c>
      <c r="B125" t="inlineStr">
        <is>
          <t>Intensity histogram</t>
        </is>
      </c>
      <c r="C125" t="inlineStr">
        <is>
          <t>Median absolute deviation</t>
        </is>
      </c>
      <c r="E125" t="inlineStr">
        <is>
          <t>3-5</t>
        </is>
      </c>
      <c r="F125" t="n">
        <v>2.28</v>
      </c>
      <c r="G125" t="n">
        <v>0.02</v>
      </c>
      <c r="H125" s="4" t="n"/>
      <c r="I125" s="4">
        <f>IFERROR(IF(NOT(H125=""),ABS(ROUNDDOWN(F125-H125, 3 - (1+INT(LOG10(ABS(F125)))))),""),IF(AND(F125=0,NOT(F125="")),ABS(ROUNDDOWN(F125-H125,0)),""))</f>
        <v/>
      </c>
      <c r="J125" s="4">
        <f>IF(NOT(I125=""),IF(I125&lt;=G125,"match",IF(I125&lt;3*G125,"partial match","no match")),"")</f>
        <v/>
      </c>
      <c r="K125" t="inlineStr">
        <is>
          <t>ih_medad</t>
        </is>
      </c>
    </row>
    <row r="126" ht="15" customHeight="1" s="10">
      <c r="A126" t="inlineStr">
        <is>
          <t>configuration B</t>
        </is>
      </c>
      <c r="B126" t="inlineStr">
        <is>
          <t>Intensity histogram</t>
        </is>
      </c>
      <c r="C126" t="inlineStr">
        <is>
          <t>Coefficient of variation</t>
        </is>
      </c>
      <c r="E126" t="inlineStr">
        <is>
          <t>3-5</t>
        </is>
      </c>
      <c r="F126" t="n">
        <v>0.229</v>
      </c>
      <c r="G126" t="n">
        <v>0.004</v>
      </c>
      <c r="H126" s="4" t="n"/>
      <c r="I126" s="4">
        <f>IFERROR(IF(NOT(H126=""),ABS(ROUNDDOWN(F126-H126, 3 - (1+INT(LOG10(ABS(F126)))))),""),IF(AND(F126=0,NOT(F126="")),ABS(ROUNDDOWN(F126-H126,0)),""))</f>
        <v/>
      </c>
      <c r="J126" s="4">
        <f>IF(NOT(I126=""),IF(I126&lt;=G126,"match",IF(I126&lt;3*G126,"partial match","no match")),"")</f>
        <v/>
      </c>
      <c r="K126" t="inlineStr">
        <is>
          <t>ih_cov</t>
        </is>
      </c>
    </row>
    <row r="127" ht="15" customHeight="1" s="10">
      <c r="A127" t="inlineStr">
        <is>
          <t>configuration B</t>
        </is>
      </c>
      <c r="B127" t="inlineStr">
        <is>
          <t>Intensity histogram</t>
        </is>
      </c>
      <c r="C127" t="inlineStr">
        <is>
          <t>Quartile coefficient of dispersion</t>
        </is>
      </c>
      <c r="E127" t="inlineStr">
        <is>
          <t>3-5</t>
        </is>
      </c>
      <c r="F127" t="n">
        <v>0.05</v>
      </c>
      <c r="G127" t="n">
        <v>0.0005</v>
      </c>
      <c r="H127" s="4" t="n"/>
      <c r="I127" s="4">
        <f>IFERROR(IF(NOT(H127=""),ABS(ROUNDDOWN(F127-H127, 3 - (1+INT(LOG10(ABS(F127)))))),""),IF(AND(F127=0,NOT(F127="")),ABS(ROUNDDOWN(F127-H127,0)),""))</f>
        <v/>
      </c>
      <c r="J127" s="4">
        <f>IF(NOT(I127=""),IF(I127&lt;=G127,"match",IF(I127&lt;3*G127,"partial match","no match")),"")</f>
        <v/>
      </c>
      <c r="K127" t="inlineStr">
        <is>
          <t>ih_qcod</t>
        </is>
      </c>
    </row>
    <row r="128" ht="15" customHeight="1" s="10">
      <c r="A128" t="inlineStr">
        <is>
          <t>configuration B</t>
        </is>
      </c>
      <c r="B128" t="inlineStr">
        <is>
          <t>Intensity histogram</t>
        </is>
      </c>
      <c r="C128" t="inlineStr">
        <is>
          <t>Entropy</t>
        </is>
      </c>
      <c r="E128" t="inlineStr">
        <is>
          <t>3-5</t>
        </is>
      </c>
      <c r="F128" t="n">
        <v>3.16</v>
      </c>
      <c r="G128" t="n">
        <v>0.01</v>
      </c>
      <c r="H128" s="4" t="n"/>
      <c r="I128" s="4">
        <f>IFERROR(IF(NOT(H128=""),ABS(ROUNDDOWN(F128-H128, 3 - (1+INT(LOG10(ABS(F128)))))),""),IF(AND(F128=0,NOT(F128="")),ABS(ROUNDDOWN(F128-H128,0)),""))</f>
        <v/>
      </c>
      <c r="J128" s="4">
        <f>IF(NOT(I128=""),IF(I128&lt;=G128,"match",IF(I128&lt;3*G128,"partial match","no match")),"")</f>
        <v/>
      </c>
      <c r="K128" t="inlineStr">
        <is>
          <t>ih_entropy</t>
        </is>
      </c>
    </row>
    <row r="129" ht="15" customHeight="1" s="10">
      <c r="A129" t="inlineStr">
        <is>
          <t>configuration B</t>
        </is>
      </c>
      <c r="B129" t="inlineStr">
        <is>
          <t>Intensity histogram</t>
        </is>
      </c>
      <c r="C129" t="inlineStr">
        <is>
          <t>Uniformity</t>
        </is>
      </c>
      <c r="E129" t="inlineStr">
        <is>
          <t>3-5</t>
        </is>
      </c>
      <c r="F129" t="n">
        <v>0.174</v>
      </c>
      <c r="G129" t="n">
        <v>0.001</v>
      </c>
      <c r="H129" s="4" t="n"/>
      <c r="I129" s="4">
        <f>IFERROR(IF(NOT(H129=""),ABS(ROUNDDOWN(F129-H129, 3 - (1+INT(LOG10(ABS(F129)))))),""),IF(AND(F129=0,NOT(F129="")),ABS(ROUNDDOWN(F129-H129,0)),""))</f>
        <v/>
      </c>
      <c r="J129" s="4">
        <f>IF(NOT(I129=""),IF(I129&lt;=G129,"match",IF(I129&lt;3*G129,"partial match","no match")),"")</f>
        <v/>
      </c>
      <c r="K129" t="inlineStr">
        <is>
          <t>ih_uniformity</t>
        </is>
      </c>
    </row>
    <row r="130" ht="15" customHeight="1" s="10">
      <c r="A130" t="inlineStr">
        <is>
          <t>configuration B</t>
        </is>
      </c>
      <c r="B130" t="inlineStr">
        <is>
          <t>Intensity histogram</t>
        </is>
      </c>
      <c r="C130" t="inlineStr">
        <is>
          <t>Maximum histogram gradient</t>
        </is>
      </c>
      <c r="E130" t="inlineStr">
        <is>
          <t>3-5</t>
        </is>
      </c>
      <c r="F130" t="n">
        <v>3220</v>
      </c>
      <c r="G130" t="n">
        <v>50</v>
      </c>
      <c r="H130" s="4" t="n"/>
      <c r="I130" s="4">
        <f>IFERROR(IF(NOT(H130=""),ABS(ROUNDDOWN(F130-H130, 3 - (1+INT(LOG10(ABS(F130)))))),""),IF(AND(F130=0,NOT(F130="")),ABS(ROUNDDOWN(F130-H130,0)),""))</f>
        <v/>
      </c>
      <c r="J130" s="4">
        <f>IF(NOT(I130=""),IF(I130&lt;=G130,"match",IF(I130&lt;3*G130,"partial match","no match")),"")</f>
        <v/>
      </c>
      <c r="K130" t="inlineStr">
        <is>
          <t>ih_max_grad</t>
        </is>
      </c>
    </row>
    <row r="131" ht="15" customHeight="1" s="10">
      <c r="A131" t="inlineStr">
        <is>
          <t>configuration B</t>
        </is>
      </c>
      <c r="B131" t="inlineStr">
        <is>
          <t>Intensity histogram</t>
        </is>
      </c>
      <c r="C131" t="inlineStr">
        <is>
          <t>Maximum gradient grey level</t>
        </is>
      </c>
      <c r="E131" t="inlineStr">
        <is>
          <t>3-5</t>
        </is>
      </c>
      <c r="F131" t="n">
        <v>19</v>
      </c>
      <c r="G131" t="n">
        <v>0.3</v>
      </c>
      <c r="H131" s="4" t="n"/>
      <c r="I131" s="4">
        <f>IFERROR(IF(NOT(H131=""),ABS(ROUNDDOWN(F131-H131, 3 - (1+INT(LOG10(ABS(F131)))))),""),IF(AND(F131=0,NOT(F131="")),ABS(ROUNDDOWN(F131-H131,0)),""))</f>
        <v/>
      </c>
      <c r="J131" s="4">
        <f>IF(NOT(I131=""),IF(I131&lt;=G131,"match",IF(I131&lt;3*G131,"partial match","no match")),"")</f>
        <v/>
      </c>
      <c r="K131" t="inlineStr">
        <is>
          <t>ih_max_grad_g</t>
        </is>
      </c>
    </row>
    <row r="132" ht="15" customHeight="1" s="10">
      <c r="A132" t="inlineStr">
        <is>
          <t>configuration B</t>
        </is>
      </c>
      <c r="B132" t="inlineStr">
        <is>
          <t>Intensity histogram</t>
        </is>
      </c>
      <c r="C132" t="inlineStr">
        <is>
          <t>Minimum histogram gradient</t>
        </is>
      </c>
      <c r="E132" t="inlineStr">
        <is>
          <t>3-5</t>
        </is>
      </c>
      <c r="F132" t="n">
        <v>-3020</v>
      </c>
      <c r="G132" t="n">
        <v>50</v>
      </c>
      <c r="H132" s="4" t="n"/>
      <c r="I132" s="4">
        <f>IFERROR(IF(NOT(H132=""),ABS(ROUNDDOWN(F132-H132, 3 - (1+INT(LOG10(ABS(F132)))))),""),IF(AND(F132=0,NOT(F132="")),ABS(ROUNDDOWN(F132-H132,0)),""))</f>
        <v/>
      </c>
      <c r="J132" s="4">
        <f>IF(NOT(I132=""),IF(I132&lt;=G132,"match",IF(I132&lt;3*G132,"partial match","no match")),"")</f>
        <v/>
      </c>
      <c r="K132" t="inlineStr">
        <is>
          <t>ih_min_grad</t>
        </is>
      </c>
    </row>
    <row r="133" ht="15" customHeight="1" s="10">
      <c r="A133" t="inlineStr">
        <is>
          <t>configuration B</t>
        </is>
      </c>
      <c r="B133" t="inlineStr">
        <is>
          <t>Intensity histogram</t>
        </is>
      </c>
      <c r="C133" t="inlineStr">
        <is>
          <t>Minimum gradient grey level</t>
        </is>
      </c>
      <c r="E133" t="inlineStr">
        <is>
          <t>3-5</t>
        </is>
      </c>
      <c r="F133" t="n">
        <v>22</v>
      </c>
      <c r="G133" t="n">
        <v>0.3</v>
      </c>
      <c r="H133" s="4" t="n"/>
      <c r="I133" s="4">
        <f>IFERROR(IF(NOT(H133=""),ABS(ROUNDDOWN(F133-H133, 3 - (1+INT(LOG10(ABS(F133)))))),""),IF(AND(F133=0,NOT(F133="")),ABS(ROUNDDOWN(F133-H133,0)),""))</f>
        <v/>
      </c>
      <c r="J133" s="4">
        <f>IF(NOT(I133=""),IF(I133&lt;=G133,"match",IF(I133&lt;3*G133,"partial match","no match")),"")</f>
        <v/>
      </c>
      <c r="K133" t="inlineStr">
        <is>
          <t>ih_min_grad_g</t>
        </is>
      </c>
    </row>
    <row r="134" ht="15" customHeight="1" s="10">
      <c r="A134" t="inlineStr">
        <is>
          <t>configuration B</t>
        </is>
      </c>
      <c r="B134" t="inlineStr">
        <is>
          <t>Intensity volume histogram</t>
        </is>
      </c>
      <c r="C134" t="inlineStr">
        <is>
          <t>Volume fraction at 10% intensity</t>
        </is>
      </c>
      <c r="E134" t="inlineStr">
        <is>
          <t>3-5</t>
        </is>
      </c>
      <c r="F134" t="n">
        <v>0.977</v>
      </c>
      <c r="G134" t="n">
        <v>0.001</v>
      </c>
      <c r="H134" s="4" t="n"/>
      <c r="I134" s="4">
        <f>IFERROR(IF(NOT(H134=""),ABS(ROUNDDOWN(F134-H134, 3 - (1+INT(LOG10(ABS(F134)))))),""),IF(AND(F134=0,NOT(F134="")),ABS(ROUNDDOWN(F134-H134,0)),""))</f>
        <v/>
      </c>
      <c r="J134" s="4">
        <f>IF(NOT(I134=""),IF(I134&lt;=G134,"match",IF(I134&lt;3*G134,"partial match","no match")),"")</f>
        <v/>
      </c>
      <c r="K134" t="inlineStr">
        <is>
          <t>ivh_v10</t>
        </is>
      </c>
    </row>
    <row r="135" ht="15" customHeight="1" s="10">
      <c r="A135" t="inlineStr">
        <is>
          <t>configuration B</t>
        </is>
      </c>
      <c r="B135" t="inlineStr">
        <is>
          <t>Intensity volume histogram</t>
        </is>
      </c>
      <c r="C135" t="inlineStr">
        <is>
          <t>Volume fraction at 90% intensity</t>
        </is>
      </c>
      <c r="E135" t="inlineStr">
        <is>
          <t>3-5</t>
        </is>
      </c>
      <c r="F135" t="n">
        <v>7.31e-05</v>
      </c>
      <c r="G135" t="n">
        <v>1.03e-05</v>
      </c>
      <c r="H135" s="5" t="n"/>
      <c r="I135" s="4">
        <f>IFERROR(IF(NOT(H135=""),ABS(ROUNDDOWN(F135-H135, 3 - (1+INT(LOG10(ABS(F135)))))),""),IF(AND(F135=0,NOT(F135="")),ABS(ROUNDDOWN(F135-H135,0)),""))</f>
        <v/>
      </c>
      <c r="J135" s="4">
        <f>IF(NOT(I135=""),IF(I135&lt;=G135,"match",IF(I135&lt;3*G135,"partial match","no match")),"")</f>
        <v/>
      </c>
      <c r="K135" t="inlineStr">
        <is>
          <t>ivh_v90</t>
        </is>
      </c>
    </row>
    <row r="136" ht="15" customHeight="1" s="10">
      <c r="A136" t="inlineStr">
        <is>
          <t>configuration B</t>
        </is>
      </c>
      <c r="B136" t="inlineStr">
        <is>
          <t>Intensity volume histogram</t>
        </is>
      </c>
      <c r="C136" t="inlineStr">
        <is>
          <t>Intensity at 10% volume</t>
        </is>
      </c>
      <c r="E136" t="inlineStr">
        <is>
          <t>3-5</t>
        </is>
      </c>
      <c r="F136" t="n">
        <v>92</v>
      </c>
      <c r="G136" t="n">
        <v>0</v>
      </c>
      <c r="H136" s="4" t="n"/>
      <c r="I136" s="4">
        <f>IFERROR(IF(NOT(H136=""),ABS(ROUNDDOWN(F136-H136, 3 - (1+INT(LOG10(ABS(F136)))))),""),IF(AND(F136=0,NOT(F136="")),ABS(ROUNDDOWN(F136-H136,0)),""))</f>
        <v/>
      </c>
      <c r="J136" s="4">
        <f>IF(NOT(I136=""),IF(I136&lt;=G136,"match",IF(I136&lt;3*G136,"partial match","no match")),"")</f>
        <v/>
      </c>
      <c r="K136" t="inlineStr">
        <is>
          <t>ivh_i10</t>
        </is>
      </c>
    </row>
    <row r="137" ht="15" customHeight="1" s="10">
      <c r="A137" t="inlineStr">
        <is>
          <t>configuration B</t>
        </is>
      </c>
      <c r="B137" t="inlineStr">
        <is>
          <t>Intensity volume histogram</t>
        </is>
      </c>
      <c r="C137" t="inlineStr">
        <is>
          <t>Intensity at 90% volume</t>
        </is>
      </c>
      <c r="E137" t="inlineStr">
        <is>
          <t>3-5</t>
        </is>
      </c>
      <c r="F137" t="n">
        <v>-135</v>
      </c>
      <c r="G137" t="n">
        <v>8</v>
      </c>
      <c r="H137" s="4" t="n"/>
      <c r="I137" s="4">
        <f>IFERROR(IF(NOT(H137=""),ABS(ROUNDDOWN(F137-H137, 3 - (1+INT(LOG10(ABS(F137)))))),""),IF(AND(F137=0,NOT(F137="")),ABS(ROUNDDOWN(F137-H137,0)),""))</f>
        <v/>
      </c>
      <c r="J137" s="4">
        <f>IF(NOT(I137=""),IF(I137&lt;=G137,"match",IF(I137&lt;3*G137,"partial match","no match")),"")</f>
        <v/>
      </c>
      <c r="K137" t="inlineStr">
        <is>
          <t>ivh_i90</t>
        </is>
      </c>
    </row>
    <row r="138" ht="15" customHeight="1" s="10">
      <c r="A138" t="inlineStr">
        <is>
          <t>configuration B</t>
        </is>
      </c>
      <c r="B138" t="inlineStr">
        <is>
          <t>Intensity volume histogram</t>
        </is>
      </c>
      <c r="C138" t="inlineStr">
        <is>
          <t>Volume fraction difference between 10% and 90% intensity</t>
        </is>
      </c>
      <c r="E138" t="inlineStr">
        <is>
          <t>3-5</t>
        </is>
      </c>
      <c r="F138" t="n">
        <v>0.977</v>
      </c>
      <c r="G138" t="n">
        <v>0.001</v>
      </c>
      <c r="H138" s="4" t="n"/>
      <c r="I138" s="4">
        <f>IFERROR(IF(NOT(H138=""),ABS(ROUNDDOWN(F138-H138, 3 - (1+INT(LOG10(ABS(F138)))))),""),IF(AND(F138=0,NOT(F138="")),ABS(ROUNDDOWN(F138-H138,0)),""))</f>
        <v/>
      </c>
      <c r="J138" s="4">
        <f>IF(NOT(I138=""),IF(I138&lt;=G138,"match",IF(I138&lt;3*G138,"partial match","no match")),"")</f>
        <v/>
      </c>
      <c r="K138" t="inlineStr">
        <is>
          <t>ivh_diff_v10_v90</t>
        </is>
      </c>
    </row>
    <row r="139" ht="15" customHeight="1" s="10">
      <c r="A139" t="inlineStr">
        <is>
          <t>configuration B</t>
        </is>
      </c>
      <c r="B139" t="inlineStr">
        <is>
          <t>Intensity volume histogram</t>
        </is>
      </c>
      <c r="C139" t="inlineStr">
        <is>
          <t>Intensity difference between 10% and 90% volume</t>
        </is>
      </c>
      <c r="E139" t="inlineStr">
        <is>
          <t>3-5</t>
        </is>
      </c>
      <c r="F139" t="n">
        <v>227</v>
      </c>
      <c r="G139" t="n">
        <v>8</v>
      </c>
      <c r="H139" s="4" t="n"/>
      <c r="I139" s="4">
        <f>IFERROR(IF(NOT(H139=""),ABS(ROUNDDOWN(F139-H139, 3 - (1+INT(LOG10(ABS(F139)))))),""),IF(AND(F139=0,NOT(F139="")),ABS(ROUNDDOWN(F139-H139,0)),""))</f>
        <v/>
      </c>
      <c r="J139" s="4">
        <f>IF(NOT(I139=""),IF(I139&lt;=G139,"match",IF(I139&lt;3*G139,"partial match","no match")),"")</f>
        <v/>
      </c>
      <c r="K139" t="inlineStr">
        <is>
          <t>ivh_diff_i10_i90</t>
        </is>
      </c>
    </row>
    <row r="140" ht="15" customHeight="1" s="10">
      <c r="A140" t="inlineStr">
        <is>
          <t>configuration B</t>
        </is>
      </c>
      <c r="B140" t="inlineStr">
        <is>
          <t>Intensity volume histogram</t>
        </is>
      </c>
      <c r="C140" t="inlineStr">
        <is>
          <t>Area under the IVH curve</t>
        </is>
      </c>
      <c r="E140" t="inlineStr">
        <is>
          <t>&lt; 3</t>
        </is>
      </c>
      <c r="H140" s="4" t="n"/>
      <c r="I140" s="4">
        <f>IFERROR(IF(NOT(H140=""),ABS(ROUNDDOWN(F140-H140, 3 - (1+INT(LOG10(ABS(F140)))))),""),IF(AND(F140=0,NOT(F140="")),ABS(ROUNDDOWN(F140-H140,0)),""))</f>
        <v/>
      </c>
      <c r="J140" s="4">
        <f>IF(NOT(I140=""),IF(I140&lt;=G140,"match",IF(I140&lt;3*G140,"partial match","no match")),"")</f>
        <v/>
      </c>
      <c r="K140" t="inlineStr">
        <is>
          <t>ivh_auc</t>
        </is>
      </c>
    </row>
    <row r="141" ht="15" customHeight="1" s="10">
      <c r="A141" t="inlineStr">
        <is>
          <t>configuration B</t>
        </is>
      </c>
      <c r="B141" t="inlineStr">
        <is>
          <t>Co-occurrence matrix (2D, averaged)</t>
        </is>
      </c>
      <c r="C141" t="inlineStr">
        <is>
          <t>Joint maximum</t>
        </is>
      </c>
      <c r="E141" t="inlineStr">
        <is>
          <t>3-5</t>
        </is>
      </c>
      <c r="F141" t="n">
        <v>0.156</v>
      </c>
      <c r="G141" t="n">
        <v>0.002</v>
      </c>
      <c r="H141" s="4" t="n"/>
      <c r="I141" s="4">
        <f>IFERROR(IF(NOT(H141=""),ABS(ROUNDDOWN(F141-H141, 3 - (1+INT(LOG10(ABS(F141)))))),""),IF(AND(F141=0,NOT(F141="")),ABS(ROUNDDOWN(F141-H141,0)),""))</f>
        <v/>
      </c>
      <c r="J141" s="4">
        <f>IF(NOT(I141=""),IF(I141&lt;=G141,"match",IF(I141&lt;3*G141,"partial match","no match")),"")</f>
        <v/>
      </c>
      <c r="K141" t="inlineStr">
        <is>
          <t>cm_joint_max_2D_avg</t>
        </is>
      </c>
    </row>
    <row r="142" ht="15" customHeight="1" s="10">
      <c r="A142" t="inlineStr">
        <is>
          <t>configuration B</t>
        </is>
      </c>
      <c r="B142" t="inlineStr">
        <is>
          <t>Co-occurrence matrix (2D, averaged)</t>
        </is>
      </c>
      <c r="C142" t="inlineStr">
        <is>
          <t>Joint average</t>
        </is>
      </c>
      <c r="E142" t="inlineStr">
        <is>
          <t>6-9</t>
        </is>
      </c>
      <c r="F142" t="n">
        <v>18.7</v>
      </c>
      <c r="G142" t="n">
        <v>0.3</v>
      </c>
      <c r="H142" s="4" t="n"/>
      <c r="I142" s="4">
        <f>IFERROR(IF(NOT(H142=""),ABS(ROUNDDOWN(F142-H142, 3 - (1+INT(LOG10(ABS(F142)))))),""),IF(AND(F142=0,NOT(F142="")),ABS(ROUNDDOWN(F142-H142,0)),""))</f>
        <v/>
      </c>
      <c r="J142" s="4">
        <f>IF(NOT(I142=""),IF(I142&lt;=G142,"match",IF(I142&lt;3*G142,"partial match","no match")),"")</f>
        <v/>
      </c>
      <c r="K142" t="inlineStr">
        <is>
          <t>cm_joint_avg_2D_avg</t>
        </is>
      </c>
    </row>
    <row r="143" ht="15" customHeight="1" s="10">
      <c r="A143" t="inlineStr">
        <is>
          <t>configuration B</t>
        </is>
      </c>
      <c r="B143" t="inlineStr">
        <is>
          <t>Co-occurrence matrix (2D, averaged)</t>
        </is>
      </c>
      <c r="C143" t="inlineStr">
        <is>
          <t>Joint variance</t>
        </is>
      </c>
      <c r="E143" t="inlineStr">
        <is>
          <t>3-5</t>
        </is>
      </c>
      <c r="F143" t="n">
        <v>21</v>
      </c>
      <c r="G143" t="n">
        <v>0.3</v>
      </c>
      <c r="H143" s="4" t="n"/>
      <c r="I143" s="4">
        <f>IFERROR(IF(NOT(H143=""),ABS(ROUNDDOWN(F143-H143, 3 - (1+INT(LOG10(ABS(F143)))))),""),IF(AND(F143=0,NOT(F143="")),ABS(ROUNDDOWN(F143-H143,0)),""))</f>
        <v/>
      </c>
      <c r="J143" s="4">
        <f>IF(NOT(I143=""),IF(I143&lt;=G143,"match",IF(I143&lt;3*G143,"partial match","no match")),"")</f>
        <v/>
      </c>
      <c r="K143" t="inlineStr">
        <is>
          <t>cm_joint_var_2D_avg</t>
        </is>
      </c>
    </row>
    <row r="144" ht="15" customHeight="1" s="10">
      <c r="A144" t="inlineStr">
        <is>
          <t>configuration B</t>
        </is>
      </c>
      <c r="B144" t="inlineStr">
        <is>
          <t>Co-occurrence matrix (2D, averaged)</t>
        </is>
      </c>
      <c r="C144" t="inlineStr">
        <is>
          <t>Joint entropy</t>
        </is>
      </c>
      <c r="E144" t="inlineStr">
        <is>
          <t>3-5</t>
        </is>
      </c>
      <c r="F144" t="n">
        <v>5.26</v>
      </c>
      <c r="G144" t="n">
        <v>0.01</v>
      </c>
      <c r="H144" s="4" t="n"/>
      <c r="I144" s="4">
        <f>IFERROR(IF(NOT(H144=""),ABS(ROUNDDOWN(F144-H144, 3 - (1+INT(LOG10(ABS(F144)))))),""),IF(AND(F144=0,NOT(F144="")),ABS(ROUNDDOWN(F144-H144,0)),""))</f>
        <v/>
      </c>
      <c r="J144" s="4">
        <f>IF(NOT(I144=""),IF(I144&lt;=G144,"match",IF(I144&lt;3*G144,"partial match","no match")),"")</f>
        <v/>
      </c>
      <c r="K144" t="inlineStr">
        <is>
          <t>cm_joint_entr_2D_avg</t>
        </is>
      </c>
    </row>
    <row r="145" ht="15" customHeight="1" s="10">
      <c r="A145" t="inlineStr">
        <is>
          <t>configuration B</t>
        </is>
      </c>
      <c r="B145" t="inlineStr">
        <is>
          <t>Co-occurrence matrix (2D, averaged)</t>
        </is>
      </c>
      <c r="C145" t="inlineStr">
        <is>
          <t>Difference average</t>
        </is>
      </c>
      <c r="E145" t="inlineStr">
        <is>
          <t>6-9</t>
        </is>
      </c>
      <c r="F145" t="n">
        <v>1.81</v>
      </c>
      <c r="G145" t="n">
        <v>0.01</v>
      </c>
      <c r="H145" s="4" t="n"/>
      <c r="I145" s="4">
        <f>IFERROR(IF(NOT(H145=""),ABS(ROUNDDOWN(F145-H145, 3 - (1+INT(LOG10(ABS(F145)))))),""),IF(AND(F145=0,NOT(F145="")),ABS(ROUNDDOWN(F145-H145,0)),""))</f>
        <v/>
      </c>
      <c r="J145" s="4">
        <f>IF(NOT(I145=""),IF(I145&lt;=G145,"match",IF(I145&lt;3*G145,"partial match","no match")),"")</f>
        <v/>
      </c>
      <c r="K145" t="inlineStr">
        <is>
          <t>cm_diff_avg_2D_avg</t>
        </is>
      </c>
    </row>
    <row r="146" ht="15" customHeight="1" s="10">
      <c r="A146" t="inlineStr">
        <is>
          <t>configuration B</t>
        </is>
      </c>
      <c r="B146" t="inlineStr">
        <is>
          <t>Co-occurrence matrix (2D, averaged)</t>
        </is>
      </c>
      <c r="C146" t="inlineStr">
        <is>
          <t>Difference variance</t>
        </is>
      </c>
      <c r="E146" t="inlineStr">
        <is>
          <t>3-5</t>
        </is>
      </c>
      <c r="F146" t="n">
        <v>7.74</v>
      </c>
      <c r="G146" t="n">
        <v>0.05</v>
      </c>
      <c r="H146" s="4" t="n"/>
      <c r="I146" s="4">
        <f>IFERROR(IF(NOT(H146=""),ABS(ROUNDDOWN(F146-H146, 3 - (1+INT(LOG10(ABS(F146)))))),""),IF(AND(F146=0,NOT(F146="")),ABS(ROUNDDOWN(F146-H146,0)),""))</f>
        <v/>
      </c>
      <c r="J146" s="4">
        <f>IF(NOT(I146=""),IF(I146&lt;=G146,"match",IF(I146&lt;3*G146,"partial match","no match")),"")</f>
        <v/>
      </c>
      <c r="K146" t="inlineStr">
        <is>
          <t>cm_diff_var_2D_avg</t>
        </is>
      </c>
    </row>
    <row r="147" ht="15" customHeight="1" s="10">
      <c r="A147" t="inlineStr">
        <is>
          <t>configuration B</t>
        </is>
      </c>
      <c r="B147" t="inlineStr">
        <is>
          <t>Co-occurrence matrix (2D, averaged)</t>
        </is>
      </c>
      <c r="C147" t="inlineStr">
        <is>
          <t>Difference entropy</t>
        </is>
      </c>
      <c r="E147" t="inlineStr">
        <is>
          <t>6-9</t>
        </is>
      </c>
      <c r="F147" t="n">
        <v>2.35</v>
      </c>
      <c r="G147" t="n">
        <v>0.01</v>
      </c>
      <c r="H147" s="4" t="n"/>
      <c r="I147" s="4">
        <f>IFERROR(IF(NOT(H147=""),ABS(ROUNDDOWN(F147-H147, 3 - (1+INT(LOG10(ABS(F147)))))),""),IF(AND(F147=0,NOT(F147="")),ABS(ROUNDDOWN(F147-H147,0)),""))</f>
        <v/>
      </c>
      <c r="J147" s="4">
        <f>IF(NOT(I147=""),IF(I147&lt;=G147,"match",IF(I147&lt;3*G147,"partial match","no match")),"")</f>
        <v/>
      </c>
      <c r="K147" t="inlineStr">
        <is>
          <t>cm_diff_entr_2D_avg</t>
        </is>
      </c>
    </row>
    <row r="148" ht="15" customHeight="1" s="10">
      <c r="A148" t="inlineStr">
        <is>
          <t>configuration B</t>
        </is>
      </c>
      <c r="B148" t="inlineStr">
        <is>
          <t>Co-occurrence matrix (2D, averaged)</t>
        </is>
      </c>
      <c r="C148" t="inlineStr">
        <is>
          <t>Sum average</t>
        </is>
      </c>
      <c r="E148" t="inlineStr">
        <is>
          <t>3-5</t>
        </is>
      </c>
      <c r="F148" t="n">
        <v>37.4</v>
      </c>
      <c r="G148" t="n">
        <v>0.5</v>
      </c>
      <c r="H148" s="4" t="n"/>
      <c r="I148" s="4">
        <f>IFERROR(IF(NOT(H148=""),ABS(ROUNDDOWN(F148-H148, 3 - (1+INT(LOG10(ABS(F148)))))),""),IF(AND(F148=0,NOT(F148="")),ABS(ROUNDDOWN(F148-H148,0)),""))</f>
        <v/>
      </c>
      <c r="J148" s="4">
        <f>IF(NOT(I148=""),IF(I148&lt;=G148,"match",IF(I148&lt;3*G148,"partial match","no match")),"")</f>
        <v/>
      </c>
      <c r="K148" t="inlineStr">
        <is>
          <t>cm_sum_avg_2D_avg</t>
        </is>
      </c>
    </row>
    <row r="149" ht="15" customHeight="1" s="10">
      <c r="A149" t="inlineStr">
        <is>
          <t>configuration B</t>
        </is>
      </c>
      <c r="B149" t="inlineStr">
        <is>
          <t>Co-occurrence matrix (2D, averaged)</t>
        </is>
      </c>
      <c r="C149" t="inlineStr">
        <is>
          <t>Sum variance</t>
        </is>
      </c>
      <c r="E149" t="inlineStr">
        <is>
          <t>3-5</t>
        </is>
      </c>
      <c r="F149" t="n">
        <v>72.09999999999999</v>
      </c>
      <c r="G149" t="n">
        <v>1</v>
      </c>
      <c r="H149" s="4" t="n"/>
      <c r="I149" s="4">
        <f>IFERROR(IF(NOT(H149=""),ABS(ROUNDDOWN(F149-H149, 3 - (1+INT(LOG10(ABS(F149)))))),""),IF(AND(F149=0,NOT(F149="")),ABS(ROUNDDOWN(F149-H149,0)),""))</f>
        <v/>
      </c>
      <c r="J149" s="4">
        <f>IF(NOT(I149=""),IF(I149&lt;=G149,"match",IF(I149&lt;3*G149,"partial match","no match")),"")</f>
        <v/>
      </c>
      <c r="K149" t="inlineStr">
        <is>
          <t>cm_sum_var_2D_avg</t>
        </is>
      </c>
    </row>
    <row r="150" ht="15" customHeight="1" s="10">
      <c r="A150" t="inlineStr">
        <is>
          <t>configuration B</t>
        </is>
      </c>
      <c r="B150" t="inlineStr">
        <is>
          <t>Co-occurrence matrix (2D, averaged)</t>
        </is>
      </c>
      <c r="C150" t="inlineStr">
        <is>
          <t>Sum entropy</t>
        </is>
      </c>
      <c r="E150" t="inlineStr">
        <is>
          <t>3-5</t>
        </is>
      </c>
      <c r="F150" t="n">
        <v>3.83</v>
      </c>
      <c r="G150" t="n">
        <v>0.01</v>
      </c>
      <c r="H150" s="4" t="n"/>
      <c r="I150" s="4">
        <f>IFERROR(IF(NOT(H150=""),ABS(ROUNDDOWN(F150-H150, 3 - (1+INT(LOG10(ABS(F150)))))),""),IF(AND(F150=0,NOT(F150="")),ABS(ROUNDDOWN(F150-H150,0)),""))</f>
        <v/>
      </c>
      <c r="J150" s="4">
        <f>IF(NOT(I150=""),IF(I150&lt;=G150,"match",IF(I150&lt;3*G150,"partial match","no match")),"")</f>
        <v/>
      </c>
      <c r="K150" t="inlineStr">
        <is>
          <t>cm_sum_entr_2D_avg</t>
        </is>
      </c>
    </row>
    <row r="151" ht="15" customHeight="1" s="10">
      <c r="A151" t="inlineStr">
        <is>
          <t>configuration B</t>
        </is>
      </c>
      <c r="B151" t="inlineStr">
        <is>
          <t>Co-occurrence matrix (2D, averaged)</t>
        </is>
      </c>
      <c r="C151" t="inlineStr">
        <is>
          <t>Angular second moment</t>
        </is>
      </c>
      <c r="E151" t="inlineStr">
        <is>
          <t>3-5</t>
        </is>
      </c>
      <c r="F151" t="n">
        <v>0.0678</v>
      </c>
      <c r="G151" t="n">
        <v>0.0005</v>
      </c>
      <c r="H151" s="4" t="n"/>
      <c r="I151" s="4">
        <f>IFERROR(IF(NOT(H151=""),ABS(ROUNDDOWN(F151-H151, 3 - (1+INT(LOG10(ABS(F151)))))),""),IF(AND(F151=0,NOT(F151="")),ABS(ROUNDDOWN(F151-H151,0)),""))</f>
        <v/>
      </c>
      <c r="J151" s="4">
        <f>IF(NOT(I151=""),IF(I151&lt;=G151,"match",IF(I151&lt;3*G151,"partial match","no match")),"")</f>
        <v/>
      </c>
      <c r="K151" t="inlineStr">
        <is>
          <t>cm_energy_2D_avg</t>
        </is>
      </c>
    </row>
    <row r="152" ht="15" customHeight="1" s="10">
      <c r="A152" t="inlineStr">
        <is>
          <t>configuration B</t>
        </is>
      </c>
      <c r="B152" t="inlineStr">
        <is>
          <t>Co-occurrence matrix (2D, averaged)</t>
        </is>
      </c>
      <c r="C152" t="inlineStr">
        <is>
          <t>Contrast</t>
        </is>
      </c>
      <c r="E152" t="inlineStr">
        <is>
          <t>6-9</t>
        </is>
      </c>
      <c r="F152" t="n">
        <v>11.9</v>
      </c>
      <c r="G152" t="n">
        <v>0.1</v>
      </c>
      <c r="H152" s="4" t="n"/>
      <c r="I152" s="4">
        <f>IFERROR(IF(NOT(H152=""),ABS(ROUNDDOWN(F152-H152, 3 - (1+INT(LOG10(ABS(F152)))))),""),IF(AND(F152=0,NOT(F152="")),ABS(ROUNDDOWN(F152-H152,0)),""))</f>
        <v/>
      </c>
      <c r="J152" s="4">
        <f>IF(NOT(I152=""),IF(I152&lt;=G152,"match",IF(I152&lt;3*G152,"partial match","no match")),"")</f>
        <v/>
      </c>
      <c r="K152" t="inlineStr">
        <is>
          <t>cm_contrast_2D_avg</t>
        </is>
      </c>
    </row>
    <row r="153" ht="15" customHeight="1" s="10">
      <c r="A153" t="inlineStr">
        <is>
          <t>configuration B</t>
        </is>
      </c>
      <c r="B153" t="inlineStr">
        <is>
          <t>Co-occurrence matrix (2D, averaged)</t>
        </is>
      </c>
      <c r="C153" t="inlineStr">
        <is>
          <t>Dissimilarity</t>
        </is>
      </c>
      <c r="E153" t="inlineStr">
        <is>
          <t>6-9</t>
        </is>
      </c>
      <c r="F153" t="n">
        <v>1.81</v>
      </c>
      <c r="G153" t="n">
        <v>0.01</v>
      </c>
      <c r="H153" s="4" t="n"/>
      <c r="I153" s="4">
        <f>IFERROR(IF(NOT(H153=""),ABS(ROUNDDOWN(F153-H153, 3 - (1+INT(LOG10(ABS(F153)))))),""),IF(AND(F153=0,NOT(F153="")),ABS(ROUNDDOWN(F153-H153,0)),""))</f>
        <v/>
      </c>
      <c r="J153" s="4">
        <f>IF(NOT(I153=""),IF(I153&lt;=G153,"match",IF(I153&lt;3*G153,"partial match","no match")),"")</f>
        <v/>
      </c>
      <c r="K153" t="inlineStr">
        <is>
          <t>cm_dissimilarity_2D_avg</t>
        </is>
      </c>
    </row>
    <row r="154" ht="15" customHeight="1" s="10">
      <c r="A154" t="inlineStr">
        <is>
          <t>configuration B</t>
        </is>
      </c>
      <c r="B154" t="inlineStr">
        <is>
          <t>Co-occurrence matrix (2D, averaged)</t>
        </is>
      </c>
      <c r="C154" t="inlineStr">
        <is>
          <t>Inverse difference</t>
        </is>
      </c>
      <c r="E154" t="inlineStr">
        <is>
          <t>3-5</t>
        </is>
      </c>
      <c r="F154" t="n">
        <v>0.592</v>
      </c>
      <c r="G154" t="n">
        <v>0.001</v>
      </c>
      <c r="H154" s="4" t="n"/>
      <c r="I154" s="4">
        <f>IFERROR(IF(NOT(H154=""),ABS(ROUNDDOWN(F154-H154, 3 - (1+INT(LOG10(ABS(F154)))))),""),IF(AND(F154=0,NOT(F154="")),ABS(ROUNDDOWN(F154-H154,0)),""))</f>
        <v/>
      </c>
      <c r="J154" s="4">
        <f>IF(NOT(I154=""),IF(I154&lt;=G154,"match",IF(I154&lt;3*G154,"partial match","no match")),"")</f>
        <v/>
      </c>
      <c r="K154" t="inlineStr">
        <is>
          <t>cm_inv_diff_2D_avg</t>
        </is>
      </c>
    </row>
    <row r="155" ht="15" customHeight="1" s="10">
      <c r="A155" t="inlineStr">
        <is>
          <t>configuration B</t>
        </is>
      </c>
      <c r="B155" t="inlineStr">
        <is>
          <t>Co-occurrence matrix (2D, averaged)</t>
        </is>
      </c>
      <c r="C155" t="inlineStr">
        <is>
          <t>Inverse difference normalised</t>
        </is>
      </c>
      <c r="E155" t="inlineStr">
        <is>
          <t>6-9</t>
        </is>
      </c>
      <c r="F155" t="n">
        <v>0.952</v>
      </c>
      <c r="G155" t="n">
        <v>0.001</v>
      </c>
      <c r="H155" s="4" t="n"/>
      <c r="I155" s="4">
        <f>IFERROR(IF(NOT(H155=""),ABS(ROUNDDOWN(F155-H155, 3 - (1+INT(LOG10(ABS(F155)))))),""),IF(AND(F155=0,NOT(F155="")),ABS(ROUNDDOWN(F155-H155,0)),""))</f>
        <v/>
      </c>
      <c r="J155" s="4">
        <f>IF(NOT(I155=""),IF(I155&lt;=G155,"match",IF(I155&lt;3*G155,"partial match","no match")),"")</f>
        <v/>
      </c>
      <c r="K155" t="inlineStr">
        <is>
          <t>cm_inv_diff_norm_2D_avg</t>
        </is>
      </c>
    </row>
    <row r="156" ht="15" customHeight="1" s="10">
      <c r="A156" t="inlineStr">
        <is>
          <t>configuration B</t>
        </is>
      </c>
      <c r="B156" t="inlineStr">
        <is>
          <t>Co-occurrence matrix (2D, averaged)</t>
        </is>
      </c>
      <c r="C156" t="inlineStr">
        <is>
          <t>Inverse difference moment</t>
        </is>
      </c>
      <c r="E156" t="inlineStr">
        <is>
          <t>6-9</t>
        </is>
      </c>
      <c r="F156" t="n">
        <v>0.5570000000000001</v>
      </c>
      <c r="G156" t="n">
        <v>0.001</v>
      </c>
      <c r="H156" s="4" t="n"/>
      <c r="I156" s="4">
        <f>IFERROR(IF(NOT(H156=""),ABS(ROUNDDOWN(F156-H156, 3 - (1+INT(LOG10(ABS(F156)))))),""),IF(AND(F156=0,NOT(F156="")),ABS(ROUNDDOWN(F156-H156,0)),""))</f>
        <v/>
      </c>
      <c r="J156" s="4">
        <f>IF(NOT(I156=""),IF(I156&lt;=G156,"match",IF(I156&lt;3*G156,"partial match","no match")),"")</f>
        <v/>
      </c>
      <c r="K156" t="inlineStr">
        <is>
          <t>cm_inv_diff_mom_2D_avg</t>
        </is>
      </c>
    </row>
    <row r="157" ht="15" customHeight="1" s="10">
      <c r="A157" t="inlineStr">
        <is>
          <t>configuration B</t>
        </is>
      </c>
      <c r="B157" t="inlineStr">
        <is>
          <t>Co-occurrence matrix (2D, averaged)</t>
        </is>
      </c>
      <c r="C157" t="inlineStr">
        <is>
          <t>Inverse difference moment normalised</t>
        </is>
      </c>
      <c r="E157" t="inlineStr">
        <is>
          <t>6-9</t>
        </is>
      </c>
      <c r="F157" t="n">
        <v>0.99</v>
      </c>
      <c r="G157" t="n">
        <v>0.001</v>
      </c>
      <c r="H157" s="5" t="n"/>
      <c r="I157" s="4">
        <f>IFERROR(IF(NOT(H157=""),ABS(ROUNDDOWN(F157-H157, 3 - (1+INT(LOG10(ABS(F157)))))),""),IF(AND(F157=0,NOT(F157="")),ABS(ROUNDDOWN(F157-H157,0)),""))</f>
        <v/>
      </c>
      <c r="J157" s="4">
        <f>IF(NOT(I157=""),IF(I157&lt;=G157,"match",IF(I157&lt;3*G157,"partial match","no match")),"")</f>
        <v/>
      </c>
      <c r="K157" t="inlineStr">
        <is>
          <t>cm_inv_diff_mom_norm_2D_avg</t>
        </is>
      </c>
    </row>
    <row r="158" ht="15" customHeight="1" s="10">
      <c r="A158" t="inlineStr">
        <is>
          <t>configuration B</t>
        </is>
      </c>
      <c r="B158" t="inlineStr">
        <is>
          <t>Co-occurrence matrix (2D, averaged)</t>
        </is>
      </c>
      <c r="C158" t="inlineStr">
        <is>
          <t>Inverse variance</t>
        </is>
      </c>
      <c r="E158" t="inlineStr">
        <is>
          <t>3-5</t>
        </is>
      </c>
      <c r="F158" t="n">
        <v>0.401</v>
      </c>
      <c r="G158" t="n">
        <v>0.003</v>
      </c>
      <c r="H158" s="4" t="n"/>
      <c r="I158" s="4">
        <f>IFERROR(IF(NOT(H158=""),ABS(ROUNDDOWN(F158-H158, 3 - (1+INT(LOG10(ABS(F158)))))),""),IF(AND(F158=0,NOT(F158="")),ABS(ROUNDDOWN(F158-H158,0)),""))</f>
        <v/>
      </c>
      <c r="J158" s="4">
        <f>IF(NOT(I158=""),IF(I158&lt;=G158,"match",IF(I158&lt;3*G158,"partial match","no match")),"")</f>
        <v/>
      </c>
      <c r="K158" t="inlineStr">
        <is>
          <t>cm_inv_var_2D_avg</t>
        </is>
      </c>
    </row>
    <row r="159" ht="15" customHeight="1" s="10">
      <c r="A159" t="inlineStr">
        <is>
          <t>configuration B</t>
        </is>
      </c>
      <c r="B159" t="inlineStr">
        <is>
          <t>Co-occurrence matrix (2D, averaged)</t>
        </is>
      </c>
      <c r="C159" t="inlineStr">
        <is>
          <t>Correlation</t>
        </is>
      </c>
      <c r="E159" t="inlineStr">
        <is>
          <t>3-5</t>
        </is>
      </c>
      <c r="F159" t="n">
        <v>0.577</v>
      </c>
      <c r="G159" t="n">
        <v>0.002</v>
      </c>
      <c r="H159" s="4" t="n"/>
      <c r="I159" s="4">
        <f>IFERROR(IF(NOT(H159=""),ABS(ROUNDDOWN(F159-H159, 3 - (1+INT(LOG10(ABS(F159)))))),""),IF(AND(F159=0,NOT(F159="")),ABS(ROUNDDOWN(F159-H159,0)),""))</f>
        <v/>
      </c>
      <c r="J159" s="4">
        <f>IF(NOT(I159=""),IF(I159&lt;=G159,"match",IF(I159&lt;3*G159,"partial match","no match")),"")</f>
        <v/>
      </c>
      <c r="K159" t="inlineStr">
        <is>
          <t>cm_corr_2D_avg</t>
        </is>
      </c>
    </row>
    <row r="160" ht="15" customHeight="1" s="10">
      <c r="A160" t="inlineStr">
        <is>
          <t>configuration B</t>
        </is>
      </c>
      <c r="B160" t="inlineStr">
        <is>
          <t>Co-occurrence matrix (2D, averaged)</t>
        </is>
      </c>
      <c r="C160" t="inlineStr">
        <is>
          <t>Autocorrelation</t>
        </is>
      </c>
      <c r="E160" t="inlineStr">
        <is>
          <t>3-5</t>
        </is>
      </c>
      <c r="F160" t="n">
        <v>369</v>
      </c>
      <c r="G160" t="n">
        <v>11</v>
      </c>
      <c r="H160" s="4" t="n"/>
      <c r="I160" s="4">
        <f>IFERROR(IF(NOT(H160=""),ABS(ROUNDDOWN(F160-H160, 3 - (1+INT(LOG10(ABS(F160)))))),""),IF(AND(F160=0,NOT(F160="")),ABS(ROUNDDOWN(F160-H160,0)),""))</f>
        <v/>
      </c>
      <c r="J160" s="4">
        <f>IF(NOT(I160=""),IF(I160&lt;=G160,"match",IF(I160&lt;3*G160,"partial match","no match")),"")</f>
        <v/>
      </c>
      <c r="K160" t="inlineStr">
        <is>
          <t>cm_auto_corr_2D_avg</t>
        </is>
      </c>
    </row>
    <row r="161" ht="15" customHeight="1" s="10">
      <c r="A161" t="inlineStr">
        <is>
          <t>configuration B</t>
        </is>
      </c>
      <c r="B161" t="inlineStr">
        <is>
          <t>Co-occurrence matrix (2D, averaged)</t>
        </is>
      </c>
      <c r="C161" t="inlineStr">
        <is>
          <t>Cluster tendency</t>
        </is>
      </c>
      <c r="E161" t="inlineStr">
        <is>
          <t>3-5</t>
        </is>
      </c>
      <c r="F161" t="n">
        <v>72.09999999999999</v>
      </c>
      <c r="G161" t="n">
        <v>1</v>
      </c>
      <c r="H161" s="4" t="n"/>
      <c r="I161" s="4">
        <f>IFERROR(IF(NOT(H161=""),ABS(ROUNDDOWN(F161-H161, 3 - (1+INT(LOG10(ABS(F161)))))),""),IF(AND(F161=0,NOT(F161="")),ABS(ROUNDDOWN(F161-H161,0)),""))</f>
        <v/>
      </c>
      <c r="J161" s="4">
        <f>IF(NOT(I161=""),IF(I161&lt;=G161,"match",IF(I161&lt;3*G161,"partial match","no match")),"")</f>
        <v/>
      </c>
      <c r="K161" t="inlineStr">
        <is>
          <t>cm_clust_tend_2D_avg</t>
        </is>
      </c>
    </row>
    <row r="162" ht="15" customHeight="1" s="10">
      <c r="A162" t="inlineStr">
        <is>
          <t>configuration B</t>
        </is>
      </c>
      <c r="B162" t="inlineStr">
        <is>
          <t>Co-occurrence matrix (2D, averaged)</t>
        </is>
      </c>
      <c r="C162" t="inlineStr">
        <is>
          <t>Cluster shade</t>
        </is>
      </c>
      <c r="E162" t="inlineStr">
        <is>
          <t>3-5</t>
        </is>
      </c>
      <c r="F162" t="n">
        <v>-668</v>
      </c>
      <c r="G162" t="n">
        <v>17</v>
      </c>
      <c r="H162" s="4" t="n"/>
      <c r="I162" s="4">
        <f>IFERROR(IF(NOT(H162=""),ABS(ROUNDDOWN(F162-H162, 3 - (1+INT(LOG10(ABS(F162)))))),""),IF(AND(F162=0,NOT(F162="")),ABS(ROUNDDOWN(F162-H162,0)),""))</f>
        <v/>
      </c>
      <c r="J162" s="4">
        <f>IF(NOT(I162=""),IF(I162&lt;=G162,"match",IF(I162&lt;3*G162,"partial match","no match")),"")</f>
        <v/>
      </c>
      <c r="K162" t="inlineStr">
        <is>
          <t>cm_clust_shade_2D_avg</t>
        </is>
      </c>
    </row>
    <row r="163" ht="15" customHeight="1" s="10">
      <c r="A163" t="inlineStr">
        <is>
          <t>configuration B</t>
        </is>
      </c>
      <c r="B163" t="inlineStr">
        <is>
          <t>Co-occurrence matrix (2D, averaged)</t>
        </is>
      </c>
      <c r="C163" t="inlineStr">
        <is>
          <t>Cluster prominence</t>
        </is>
      </c>
      <c r="E163" t="inlineStr">
        <is>
          <t>3-5</t>
        </is>
      </c>
      <c r="F163" t="n">
        <v>29400</v>
      </c>
      <c r="G163" t="n">
        <v>1400</v>
      </c>
      <c r="H163" s="4" t="n"/>
      <c r="I163" s="4">
        <f>IFERROR(IF(NOT(H163=""),ABS(ROUNDDOWN(F163-H163, 3 - (1+INT(LOG10(ABS(F163)))))),""),IF(AND(F163=0,NOT(F163="")),ABS(ROUNDDOWN(F163-H163,0)),""))</f>
        <v/>
      </c>
      <c r="J163" s="4">
        <f>IF(NOT(I163=""),IF(I163&lt;=G163,"match",IF(I163&lt;3*G163,"partial match","no match")),"")</f>
        <v/>
      </c>
      <c r="K163" t="inlineStr">
        <is>
          <t>cm_clust_prom_2D_avg</t>
        </is>
      </c>
    </row>
    <row r="164" ht="15" customHeight="1" s="10">
      <c r="A164" t="inlineStr">
        <is>
          <t>configuration B</t>
        </is>
      </c>
      <c r="B164" t="inlineStr">
        <is>
          <t>Co-occurrence matrix (2D, averaged)</t>
        </is>
      </c>
      <c r="C164" t="inlineStr">
        <is>
          <t>Information correlation 1</t>
        </is>
      </c>
      <c r="E164" t="inlineStr">
        <is>
          <t>3-5</t>
        </is>
      </c>
      <c r="F164" t="n">
        <v>-0.239</v>
      </c>
      <c r="G164" t="n">
        <v>0.001</v>
      </c>
      <c r="H164" s="4" t="n"/>
      <c r="I164" s="4">
        <f>IFERROR(IF(NOT(H164=""),ABS(ROUNDDOWN(F164-H164, 3 - (1+INT(LOG10(ABS(F164)))))),""),IF(AND(F164=0,NOT(F164="")),ABS(ROUNDDOWN(F164-H164,0)),""))</f>
        <v/>
      </c>
      <c r="J164" s="4">
        <f>IF(NOT(I164=""),IF(I164&lt;=G164,"match",IF(I164&lt;3*G164,"partial match","no match")),"")</f>
        <v/>
      </c>
      <c r="K164" t="inlineStr">
        <is>
          <t>cm_info_corr1_2D_avg</t>
        </is>
      </c>
    </row>
    <row r="165" ht="15" customHeight="1" s="10">
      <c r="A165" t="inlineStr">
        <is>
          <t>configuration B</t>
        </is>
      </c>
      <c r="B165" t="inlineStr">
        <is>
          <t>Co-occurrence matrix (2D, averaged)</t>
        </is>
      </c>
      <c r="C165" t="inlineStr">
        <is>
          <t>Information correlation 2</t>
        </is>
      </c>
      <c r="E165" t="inlineStr">
        <is>
          <t>3-5</t>
        </is>
      </c>
      <c r="F165" t="n">
        <v>0.837</v>
      </c>
      <c r="G165" t="n">
        <v>0.001</v>
      </c>
      <c r="H165" s="4" t="n"/>
      <c r="I165" s="4">
        <f>IFERROR(IF(NOT(H165=""),ABS(ROUNDDOWN(F165-H165, 3 - (1+INT(LOG10(ABS(F165)))))),""),IF(AND(F165=0,NOT(F165="")),ABS(ROUNDDOWN(F165-H165,0)),""))</f>
        <v/>
      </c>
      <c r="J165" s="4">
        <f>IF(NOT(I165=""),IF(I165&lt;=G165,"match",IF(I165&lt;3*G165,"partial match","no match")),"")</f>
        <v/>
      </c>
      <c r="K165" t="inlineStr">
        <is>
          <t>cm_info_corr2_2D_avg</t>
        </is>
      </c>
    </row>
    <row r="166" ht="15" customHeight="1" s="10">
      <c r="A166" t="inlineStr">
        <is>
          <t>configuration B</t>
        </is>
      </c>
      <c r="B166" t="inlineStr">
        <is>
          <t>Co-occurrence matrix (2D, slice-merged)</t>
        </is>
      </c>
      <c r="C166" t="inlineStr">
        <is>
          <t>Joint maximum</t>
        </is>
      </c>
      <c r="E166" t="inlineStr">
        <is>
          <t>3-5</t>
        </is>
      </c>
      <c r="F166" t="n">
        <v>0.156</v>
      </c>
      <c r="G166" t="n">
        <v>0.002</v>
      </c>
      <c r="H166" s="4" t="n"/>
      <c r="I166" s="4">
        <f>IFERROR(IF(NOT(H166=""),ABS(ROUNDDOWN(F166-H166, 3 - (1+INT(LOG10(ABS(F166)))))),""),IF(AND(F166=0,NOT(F166="")),ABS(ROUNDDOWN(F166-H166,0)),""))</f>
        <v/>
      </c>
      <c r="J166" s="4">
        <f>IF(NOT(I166=""),IF(I166&lt;=G166,"match",IF(I166&lt;3*G166,"partial match","no match")),"")</f>
        <v/>
      </c>
      <c r="K166" t="inlineStr">
        <is>
          <t>cm_joint_max_2D_comb</t>
        </is>
      </c>
    </row>
    <row r="167" ht="15" customHeight="1" s="10">
      <c r="A167" t="inlineStr">
        <is>
          <t>configuration B</t>
        </is>
      </c>
      <c r="B167" t="inlineStr">
        <is>
          <t>Co-occurrence matrix (2D, slice-merged)</t>
        </is>
      </c>
      <c r="C167" t="inlineStr">
        <is>
          <t>Joint average</t>
        </is>
      </c>
      <c r="E167" t="inlineStr">
        <is>
          <t>3-5</t>
        </is>
      </c>
      <c r="F167" t="n">
        <v>18.7</v>
      </c>
      <c r="G167" t="n">
        <v>0.3</v>
      </c>
      <c r="H167" s="4" t="n"/>
      <c r="I167" s="4">
        <f>IFERROR(IF(NOT(H167=""),ABS(ROUNDDOWN(F167-H167, 3 - (1+INT(LOG10(ABS(F167)))))),""),IF(AND(F167=0,NOT(F167="")),ABS(ROUNDDOWN(F167-H167,0)),""))</f>
        <v/>
      </c>
      <c r="J167" s="4">
        <f>IF(NOT(I167=""),IF(I167&lt;=G167,"match",IF(I167&lt;3*G167,"partial match","no match")),"")</f>
        <v/>
      </c>
      <c r="K167" t="inlineStr">
        <is>
          <t>cm_joint_avg_2D_comb</t>
        </is>
      </c>
    </row>
    <row r="168" ht="15" customHeight="1" s="10">
      <c r="A168" t="inlineStr">
        <is>
          <t>configuration B</t>
        </is>
      </c>
      <c r="B168" t="inlineStr">
        <is>
          <t>Co-occurrence matrix (2D, slice-merged)</t>
        </is>
      </c>
      <c r="C168" t="inlineStr">
        <is>
          <t>Joint variance</t>
        </is>
      </c>
      <c r="E168" t="inlineStr">
        <is>
          <t>3-5</t>
        </is>
      </c>
      <c r="F168" t="n">
        <v>21</v>
      </c>
      <c r="G168" t="n">
        <v>0.3</v>
      </c>
      <c r="H168" s="4" t="n"/>
      <c r="I168" s="4">
        <f>IFERROR(IF(NOT(H168=""),ABS(ROUNDDOWN(F168-H168, 3 - (1+INT(LOG10(ABS(F168)))))),""),IF(AND(F168=0,NOT(F168="")),ABS(ROUNDDOWN(F168-H168,0)),""))</f>
        <v/>
      </c>
      <c r="J168" s="4">
        <f>IF(NOT(I168=""),IF(I168&lt;=G168,"match",IF(I168&lt;3*G168,"partial match","no match")),"")</f>
        <v/>
      </c>
      <c r="K168" t="inlineStr">
        <is>
          <t>cm_joint_var_2D_comb</t>
        </is>
      </c>
    </row>
    <row r="169" ht="15" customHeight="1" s="10">
      <c r="A169" t="inlineStr">
        <is>
          <t>configuration B</t>
        </is>
      </c>
      <c r="B169" t="inlineStr">
        <is>
          <t>Co-occurrence matrix (2D, slice-merged)</t>
        </is>
      </c>
      <c r="C169" t="inlineStr">
        <is>
          <t>Joint entropy</t>
        </is>
      </c>
      <c r="E169" t="inlineStr">
        <is>
          <t>3-5</t>
        </is>
      </c>
      <c r="F169" t="n">
        <v>5.45</v>
      </c>
      <c r="G169" t="n">
        <v>0.01</v>
      </c>
      <c r="H169" s="4" t="n"/>
      <c r="I169" s="4">
        <f>IFERROR(IF(NOT(H169=""),ABS(ROUNDDOWN(F169-H169, 3 - (1+INT(LOG10(ABS(F169)))))),""),IF(AND(F169=0,NOT(F169="")),ABS(ROUNDDOWN(F169-H169,0)),""))</f>
        <v/>
      </c>
      <c r="J169" s="4">
        <f>IF(NOT(I169=""),IF(I169&lt;=G169,"match",IF(I169&lt;3*G169,"partial match","no match")),"")</f>
        <v/>
      </c>
      <c r="K169" t="inlineStr">
        <is>
          <t>cm_joint_entr_2D_comb</t>
        </is>
      </c>
    </row>
    <row r="170" ht="15" customHeight="1" s="10">
      <c r="A170" t="inlineStr">
        <is>
          <t>configuration B</t>
        </is>
      </c>
      <c r="B170" t="inlineStr">
        <is>
          <t>Co-occurrence matrix (2D, slice-merged)</t>
        </is>
      </c>
      <c r="C170" t="inlineStr">
        <is>
          <t>Difference average</t>
        </is>
      </c>
      <c r="E170" t="inlineStr">
        <is>
          <t>3-5</t>
        </is>
      </c>
      <c r="F170" t="n">
        <v>1.81</v>
      </c>
      <c r="G170" t="n">
        <v>0.01</v>
      </c>
      <c r="H170" s="4" t="n"/>
      <c r="I170" s="4">
        <f>IFERROR(IF(NOT(H170=""),ABS(ROUNDDOWN(F170-H170, 3 - (1+INT(LOG10(ABS(F170)))))),""),IF(AND(F170=0,NOT(F170="")),ABS(ROUNDDOWN(F170-H170,0)),""))</f>
        <v/>
      </c>
      <c r="J170" s="4">
        <f>IF(NOT(I170=""),IF(I170&lt;=G170,"match",IF(I170&lt;3*G170,"partial match","no match")),"")</f>
        <v/>
      </c>
      <c r="K170" t="inlineStr">
        <is>
          <t>cm_diff_avg_2D_comb</t>
        </is>
      </c>
    </row>
    <row r="171" ht="15" customHeight="1" s="10">
      <c r="A171" t="inlineStr">
        <is>
          <t>configuration B</t>
        </is>
      </c>
      <c r="B171" t="inlineStr">
        <is>
          <t>Co-occurrence matrix (2D, slice-merged)</t>
        </is>
      </c>
      <c r="C171" t="inlineStr">
        <is>
          <t>Difference variance</t>
        </is>
      </c>
      <c r="E171" t="inlineStr">
        <is>
          <t>3-5</t>
        </is>
      </c>
      <c r="F171" t="n">
        <v>7.76</v>
      </c>
      <c r="G171" t="n">
        <v>0.05</v>
      </c>
      <c r="H171" s="4" t="n"/>
      <c r="I171" s="4">
        <f>IFERROR(IF(NOT(H171=""),ABS(ROUNDDOWN(F171-H171, 3 - (1+INT(LOG10(ABS(F171)))))),""),IF(AND(F171=0,NOT(F171="")),ABS(ROUNDDOWN(F171-H171,0)),""))</f>
        <v/>
      </c>
      <c r="J171" s="4">
        <f>IF(NOT(I171=""),IF(I171&lt;=G171,"match",IF(I171&lt;3*G171,"partial match","no match")),"")</f>
        <v/>
      </c>
      <c r="K171" t="inlineStr">
        <is>
          <t>cm_diff_var_2D_comb</t>
        </is>
      </c>
    </row>
    <row r="172" ht="15" customHeight="1" s="10">
      <c r="A172" t="inlineStr">
        <is>
          <t>configuration B</t>
        </is>
      </c>
      <c r="B172" t="inlineStr">
        <is>
          <t>Co-occurrence matrix (2D, slice-merged)</t>
        </is>
      </c>
      <c r="C172" t="inlineStr">
        <is>
          <t>Difference entropy</t>
        </is>
      </c>
      <c r="E172" t="inlineStr">
        <is>
          <t>3-5</t>
        </is>
      </c>
      <c r="F172" t="n">
        <v>2.38</v>
      </c>
      <c r="G172" t="n">
        <v>0.01</v>
      </c>
      <c r="H172" s="4" t="n"/>
      <c r="I172" s="4">
        <f>IFERROR(IF(NOT(H172=""),ABS(ROUNDDOWN(F172-H172, 3 - (1+INT(LOG10(ABS(F172)))))),""),IF(AND(F172=0,NOT(F172="")),ABS(ROUNDDOWN(F172-H172,0)),""))</f>
        <v/>
      </c>
      <c r="J172" s="4">
        <f>IF(NOT(I172=""),IF(I172&lt;=G172,"match",IF(I172&lt;3*G172,"partial match","no match")),"")</f>
        <v/>
      </c>
      <c r="K172" t="inlineStr">
        <is>
          <t>cm_diff_entr_2D_comb</t>
        </is>
      </c>
    </row>
    <row r="173" ht="15" customHeight="1" s="10">
      <c r="A173" t="inlineStr">
        <is>
          <t>configuration B</t>
        </is>
      </c>
      <c r="B173" t="inlineStr">
        <is>
          <t>Co-occurrence matrix (2D, slice-merged)</t>
        </is>
      </c>
      <c r="C173" t="inlineStr">
        <is>
          <t>Sum average</t>
        </is>
      </c>
      <c r="E173" t="inlineStr">
        <is>
          <t>3-5</t>
        </is>
      </c>
      <c r="F173" t="n">
        <v>37.4</v>
      </c>
      <c r="G173" t="n">
        <v>0.5</v>
      </c>
      <c r="H173" s="4" t="n"/>
      <c r="I173" s="4">
        <f>IFERROR(IF(NOT(H173=""),ABS(ROUNDDOWN(F173-H173, 3 - (1+INT(LOG10(ABS(F173)))))),""),IF(AND(F173=0,NOT(F173="")),ABS(ROUNDDOWN(F173-H173,0)),""))</f>
        <v/>
      </c>
      <c r="J173" s="4">
        <f>IF(NOT(I173=""),IF(I173&lt;=G173,"match",IF(I173&lt;3*G173,"partial match","no match")),"")</f>
        <v/>
      </c>
      <c r="K173" t="inlineStr">
        <is>
          <t>cm_sum_avg_2D_comb</t>
        </is>
      </c>
    </row>
    <row r="174" ht="15" customHeight="1" s="10">
      <c r="A174" t="inlineStr">
        <is>
          <t>configuration B</t>
        </is>
      </c>
      <c r="B174" t="inlineStr">
        <is>
          <t>Co-occurrence matrix (2D, slice-merged)</t>
        </is>
      </c>
      <c r="C174" t="inlineStr">
        <is>
          <t>Sum variance</t>
        </is>
      </c>
      <c r="E174" t="inlineStr">
        <is>
          <t>3-5</t>
        </is>
      </c>
      <c r="F174" t="n">
        <v>72.3</v>
      </c>
      <c r="G174" t="n">
        <v>1</v>
      </c>
      <c r="H174" s="4" t="n"/>
      <c r="I174" s="4">
        <f>IFERROR(IF(NOT(H174=""),ABS(ROUNDDOWN(F174-H174, 3 - (1+INT(LOG10(ABS(F174)))))),""),IF(AND(F174=0,NOT(F174="")),ABS(ROUNDDOWN(F174-H174,0)),""))</f>
        <v/>
      </c>
      <c r="J174" s="4">
        <f>IF(NOT(I174=""),IF(I174&lt;=G174,"match",IF(I174&lt;3*G174,"partial match","no match")),"")</f>
        <v/>
      </c>
      <c r="K174" t="inlineStr">
        <is>
          <t>cm_sum_var_2D_comb</t>
        </is>
      </c>
    </row>
    <row r="175" ht="15" customHeight="1" s="10">
      <c r="A175" t="inlineStr">
        <is>
          <t>configuration B</t>
        </is>
      </c>
      <c r="B175" t="inlineStr">
        <is>
          <t>Co-occurrence matrix (2D, slice-merged)</t>
        </is>
      </c>
      <c r="C175" t="inlineStr">
        <is>
          <t>Sum entropy</t>
        </is>
      </c>
      <c r="E175" t="inlineStr">
        <is>
          <t>3-5</t>
        </is>
      </c>
      <c r="F175" t="n">
        <v>3.89</v>
      </c>
      <c r="G175" t="n">
        <v>0.01</v>
      </c>
      <c r="H175" s="4" t="n"/>
      <c r="I175" s="4">
        <f>IFERROR(IF(NOT(H175=""),ABS(ROUNDDOWN(F175-H175, 3 - (1+INT(LOG10(ABS(F175)))))),""),IF(AND(F175=0,NOT(F175="")),ABS(ROUNDDOWN(F175-H175,0)),""))</f>
        <v/>
      </c>
      <c r="J175" s="4">
        <f>IF(NOT(I175=""),IF(I175&lt;=G175,"match",IF(I175&lt;3*G175,"partial match","no match")),"")</f>
        <v/>
      </c>
      <c r="K175" t="inlineStr">
        <is>
          <t>cm_sum_entr_2D_comb</t>
        </is>
      </c>
    </row>
    <row r="176" ht="15" customHeight="1" s="10">
      <c r="A176" t="inlineStr">
        <is>
          <t>configuration B</t>
        </is>
      </c>
      <c r="B176" t="inlineStr">
        <is>
          <t>Co-occurrence matrix (2D, slice-merged)</t>
        </is>
      </c>
      <c r="C176" t="inlineStr">
        <is>
          <t>Angular second moment</t>
        </is>
      </c>
      <c r="E176" t="inlineStr">
        <is>
          <t>3-5</t>
        </is>
      </c>
      <c r="F176" t="n">
        <v>0.0669</v>
      </c>
      <c r="G176" t="n">
        <v>0.0005999999999999999</v>
      </c>
      <c r="H176" s="4" t="n"/>
      <c r="I176" s="4">
        <f>IFERROR(IF(NOT(H176=""),ABS(ROUNDDOWN(F176-H176, 3 - (1+INT(LOG10(ABS(F176)))))),""),IF(AND(F176=0,NOT(F176="")),ABS(ROUNDDOWN(F176-H176,0)),""))</f>
        <v/>
      </c>
      <c r="J176" s="4">
        <f>IF(NOT(I176=""),IF(I176&lt;=G176,"match",IF(I176&lt;3*G176,"partial match","no match")),"")</f>
        <v/>
      </c>
      <c r="K176" t="inlineStr">
        <is>
          <t>cm_energy_2D_comb</t>
        </is>
      </c>
    </row>
    <row r="177" ht="15" customHeight="1" s="10">
      <c r="A177" t="inlineStr">
        <is>
          <t>configuration B</t>
        </is>
      </c>
      <c r="B177" t="inlineStr">
        <is>
          <t>Co-occurrence matrix (2D, slice-merged)</t>
        </is>
      </c>
      <c r="C177" t="inlineStr">
        <is>
          <t>Contrast</t>
        </is>
      </c>
      <c r="E177" t="inlineStr">
        <is>
          <t>3-5</t>
        </is>
      </c>
      <c r="F177" t="n">
        <v>11.8</v>
      </c>
      <c r="G177" t="n">
        <v>0.1</v>
      </c>
      <c r="H177" s="4" t="n"/>
      <c r="I177" s="4">
        <f>IFERROR(IF(NOT(H177=""),ABS(ROUNDDOWN(F177-H177, 3 - (1+INT(LOG10(ABS(F177)))))),""),IF(AND(F177=0,NOT(F177="")),ABS(ROUNDDOWN(F177-H177,0)),""))</f>
        <v/>
      </c>
      <c r="J177" s="4">
        <f>IF(NOT(I177=""),IF(I177&lt;=G177,"match",IF(I177&lt;3*G177,"partial match","no match")),"")</f>
        <v/>
      </c>
      <c r="K177" t="inlineStr">
        <is>
          <t>cm_contrast_2D_comb</t>
        </is>
      </c>
    </row>
    <row r="178" ht="15" customHeight="1" s="10">
      <c r="A178" t="inlineStr">
        <is>
          <t>configuration B</t>
        </is>
      </c>
      <c r="B178" t="inlineStr">
        <is>
          <t>Co-occurrence matrix (2D, slice-merged)</t>
        </is>
      </c>
      <c r="C178" t="inlineStr">
        <is>
          <t>Dissimilarity</t>
        </is>
      </c>
      <c r="E178" t="inlineStr">
        <is>
          <t>3-5</t>
        </is>
      </c>
      <c r="F178" t="n">
        <v>1.81</v>
      </c>
      <c r="G178" t="n">
        <v>0.01</v>
      </c>
      <c r="H178" s="4" t="n"/>
      <c r="I178" s="4">
        <f>IFERROR(IF(NOT(H178=""),ABS(ROUNDDOWN(F178-H178, 3 - (1+INT(LOG10(ABS(F178)))))),""),IF(AND(F178=0,NOT(F178="")),ABS(ROUNDDOWN(F178-H178,0)),""))</f>
        <v/>
      </c>
      <c r="J178" s="4">
        <f>IF(NOT(I178=""),IF(I178&lt;=G178,"match",IF(I178&lt;3*G178,"partial match","no match")),"")</f>
        <v/>
      </c>
      <c r="K178" t="inlineStr">
        <is>
          <t>cm_dissimilarity_2D_comb</t>
        </is>
      </c>
    </row>
    <row r="179" ht="15" customHeight="1" s="10">
      <c r="A179" t="inlineStr">
        <is>
          <t>configuration B</t>
        </is>
      </c>
      <c r="B179" t="inlineStr">
        <is>
          <t>Co-occurrence matrix (2D, slice-merged)</t>
        </is>
      </c>
      <c r="C179" t="inlineStr">
        <is>
          <t>Inverse difference</t>
        </is>
      </c>
      <c r="E179" t="inlineStr">
        <is>
          <t>3-5</t>
        </is>
      </c>
      <c r="F179" t="n">
        <v>0.593</v>
      </c>
      <c r="G179" t="n">
        <v>0.001</v>
      </c>
      <c r="H179" s="4" t="n"/>
      <c r="I179" s="4">
        <f>IFERROR(IF(NOT(H179=""),ABS(ROUNDDOWN(F179-H179, 3 - (1+INT(LOG10(ABS(F179)))))),""),IF(AND(F179=0,NOT(F179="")),ABS(ROUNDDOWN(F179-H179,0)),""))</f>
        <v/>
      </c>
      <c r="J179" s="4">
        <f>IF(NOT(I179=""),IF(I179&lt;=G179,"match",IF(I179&lt;3*G179,"partial match","no match")),"")</f>
        <v/>
      </c>
      <c r="K179" t="inlineStr">
        <is>
          <t>cm_inv_diff_2D_comb</t>
        </is>
      </c>
    </row>
    <row r="180" ht="15" customHeight="1" s="10">
      <c r="A180" t="inlineStr">
        <is>
          <t>configuration B</t>
        </is>
      </c>
      <c r="B180" t="inlineStr">
        <is>
          <t>Co-occurrence matrix (2D, slice-merged)</t>
        </is>
      </c>
      <c r="C180" t="inlineStr">
        <is>
          <t>Inverse difference normalised</t>
        </is>
      </c>
      <c r="E180" t="inlineStr">
        <is>
          <t>3-5</t>
        </is>
      </c>
      <c r="F180" t="n">
        <v>0.952</v>
      </c>
      <c r="G180" t="n">
        <v>0.001</v>
      </c>
      <c r="H180" s="4" t="n"/>
      <c r="I180" s="4">
        <f>IFERROR(IF(NOT(H180=""),ABS(ROUNDDOWN(F180-H180, 3 - (1+INT(LOG10(ABS(F180)))))),""),IF(AND(F180=0,NOT(F180="")),ABS(ROUNDDOWN(F180-H180,0)),""))</f>
        <v/>
      </c>
      <c r="J180" s="4">
        <f>IF(NOT(I180=""),IF(I180&lt;=G180,"match",IF(I180&lt;3*G180,"partial match","no match")),"")</f>
        <v/>
      </c>
      <c r="K180" t="inlineStr">
        <is>
          <t>cm_inv_diff_norm_2D_comb</t>
        </is>
      </c>
    </row>
    <row r="181" ht="15" customHeight="1" s="10">
      <c r="A181" t="inlineStr">
        <is>
          <t>configuration B</t>
        </is>
      </c>
      <c r="B181" t="inlineStr">
        <is>
          <t>Co-occurrence matrix (2D, slice-merged)</t>
        </is>
      </c>
      <c r="C181" t="inlineStr">
        <is>
          <t>Inverse difference moment</t>
        </is>
      </c>
      <c r="E181" t="inlineStr">
        <is>
          <t>3-5</t>
        </is>
      </c>
      <c r="F181" t="n">
        <v>0.5580000000000001</v>
      </c>
      <c r="G181" t="n">
        <v>0.001</v>
      </c>
      <c r="H181" s="4" t="n"/>
      <c r="I181" s="4">
        <f>IFERROR(IF(NOT(H181=""),ABS(ROUNDDOWN(F181-H181, 3 - (1+INT(LOG10(ABS(F181)))))),""),IF(AND(F181=0,NOT(F181="")),ABS(ROUNDDOWN(F181-H181,0)),""))</f>
        <v/>
      </c>
      <c r="J181" s="4">
        <f>IF(NOT(I181=""),IF(I181&lt;=G181,"match",IF(I181&lt;3*G181,"partial match","no match")),"")</f>
        <v/>
      </c>
      <c r="K181" t="inlineStr">
        <is>
          <t>cm_inv_diff_mom_2D_comb</t>
        </is>
      </c>
    </row>
    <row r="182" ht="15" customHeight="1" s="10">
      <c r="A182" t="inlineStr">
        <is>
          <t>configuration B</t>
        </is>
      </c>
      <c r="B182" t="inlineStr">
        <is>
          <t>Co-occurrence matrix (2D, slice-merged)</t>
        </is>
      </c>
      <c r="C182" t="inlineStr">
        <is>
          <t>Inverse difference moment normalised</t>
        </is>
      </c>
      <c r="E182" t="inlineStr">
        <is>
          <t>3-5</t>
        </is>
      </c>
      <c r="F182" t="n">
        <v>0.99</v>
      </c>
      <c r="G182" t="n">
        <v>0.001</v>
      </c>
      <c r="H182" s="5" t="n"/>
      <c r="I182" s="4">
        <f>IFERROR(IF(NOT(H182=""),ABS(ROUNDDOWN(F182-H182, 3 - (1+INT(LOG10(ABS(F182)))))),""),IF(AND(F182=0,NOT(F182="")),ABS(ROUNDDOWN(F182-H182,0)),""))</f>
        <v/>
      </c>
      <c r="J182" s="4">
        <f>IF(NOT(I182=""),IF(I182&lt;=G182,"match",IF(I182&lt;3*G182,"partial match","no match")),"")</f>
        <v/>
      </c>
      <c r="K182" t="inlineStr">
        <is>
          <t>cm_inv_diff_mom_norm_2D_comb</t>
        </is>
      </c>
    </row>
    <row r="183" ht="15" customHeight="1" s="10">
      <c r="A183" t="inlineStr">
        <is>
          <t>configuration B</t>
        </is>
      </c>
      <c r="B183" t="inlineStr">
        <is>
          <t>Co-occurrence matrix (2D, slice-merged)</t>
        </is>
      </c>
      <c r="C183" t="inlineStr">
        <is>
          <t>Inverse variance</t>
        </is>
      </c>
      <c r="E183" t="inlineStr">
        <is>
          <t>3-5</t>
        </is>
      </c>
      <c r="F183" t="n">
        <v>0.401</v>
      </c>
      <c r="G183" t="n">
        <v>0.003</v>
      </c>
      <c r="H183" s="4" t="n"/>
      <c r="I183" s="4">
        <f>IFERROR(IF(NOT(H183=""),ABS(ROUNDDOWN(F183-H183, 3 - (1+INT(LOG10(ABS(F183)))))),""),IF(AND(F183=0,NOT(F183="")),ABS(ROUNDDOWN(F183-H183,0)),""))</f>
        <v/>
      </c>
      <c r="J183" s="4">
        <f>IF(NOT(I183=""),IF(I183&lt;=G183,"match",IF(I183&lt;3*G183,"partial match","no match")),"")</f>
        <v/>
      </c>
      <c r="K183" t="inlineStr">
        <is>
          <t>cm_inv_var_2D_comb</t>
        </is>
      </c>
    </row>
    <row r="184" ht="15" customHeight="1" s="10">
      <c r="A184" t="inlineStr">
        <is>
          <t>configuration B</t>
        </is>
      </c>
      <c r="B184" t="inlineStr">
        <is>
          <t>Co-occurrence matrix (2D, slice-merged)</t>
        </is>
      </c>
      <c r="C184" t="inlineStr">
        <is>
          <t>Correlation</t>
        </is>
      </c>
      <c r="E184" t="inlineStr">
        <is>
          <t>3-5</t>
        </is>
      </c>
      <c r="F184" t="n">
        <v>0.58</v>
      </c>
      <c r="G184" t="n">
        <v>0.002</v>
      </c>
      <c r="H184" s="4" t="n"/>
      <c r="I184" s="4">
        <f>IFERROR(IF(NOT(H184=""),ABS(ROUNDDOWN(F184-H184, 3 - (1+INT(LOG10(ABS(F184)))))),""),IF(AND(F184=0,NOT(F184="")),ABS(ROUNDDOWN(F184-H184,0)),""))</f>
        <v/>
      </c>
      <c r="J184" s="4">
        <f>IF(NOT(I184=""),IF(I184&lt;=G184,"match",IF(I184&lt;3*G184,"partial match","no match")),"")</f>
        <v/>
      </c>
      <c r="K184" t="inlineStr">
        <is>
          <t>cm_corr_2D_comb</t>
        </is>
      </c>
    </row>
    <row r="185" ht="15" customHeight="1" s="10">
      <c r="A185" t="inlineStr">
        <is>
          <t>configuration B</t>
        </is>
      </c>
      <c r="B185" t="inlineStr">
        <is>
          <t>Co-occurrence matrix (2D, slice-merged)</t>
        </is>
      </c>
      <c r="C185" t="inlineStr">
        <is>
          <t>Autocorrelation</t>
        </is>
      </c>
      <c r="E185" t="inlineStr">
        <is>
          <t>3-5</t>
        </is>
      </c>
      <c r="F185" t="n">
        <v>369</v>
      </c>
      <c r="G185" t="n">
        <v>11</v>
      </c>
      <c r="H185" s="4" t="n"/>
      <c r="I185" s="4">
        <f>IFERROR(IF(NOT(H185=""),ABS(ROUNDDOWN(F185-H185, 3 - (1+INT(LOG10(ABS(F185)))))),""),IF(AND(F185=0,NOT(F185="")),ABS(ROUNDDOWN(F185-H185,0)),""))</f>
        <v/>
      </c>
      <c r="J185" s="4">
        <f>IF(NOT(I185=""),IF(I185&lt;=G185,"match",IF(I185&lt;3*G185,"partial match","no match")),"")</f>
        <v/>
      </c>
      <c r="K185" t="inlineStr">
        <is>
          <t>cm_auto_corr_2D_comb</t>
        </is>
      </c>
    </row>
    <row r="186" ht="15" customHeight="1" s="10">
      <c r="A186" t="inlineStr">
        <is>
          <t>configuration B</t>
        </is>
      </c>
      <c r="B186" t="inlineStr">
        <is>
          <t>Co-occurrence matrix (2D, slice-merged)</t>
        </is>
      </c>
      <c r="C186" t="inlineStr">
        <is>
          <t>Cluster tendency</t>
        </is>
      </c>
      <c r="E186" t="inlineStr">
        <is>
          <t>3-5</t>
        </is>
      </c>
      <c r="F186" t="n">
        <v>72.3</v>
      </c>
      <c r="G186" t="n">
        <v>1</v>
      </c>
      <c r="H186" s="4" t="n"/>
      <c r="I186" s="4">
        <f>IFERROR(IF(NOT(H186=""),ABS(ROUNDDOWN(F186-H186, 3 - (1+INT(LOG10(ABS(F186)))))),""),IF(AND(F186=0,NOT(F186="")),ABS(ROUNDDOWN(F186-H186,0)),""))</f>
        <v/>
      </c>
      <c r="J186" s="4">
        <f>IF(NOT(I186=""),IF(I186&lt;=G186,"match",IF(I186&lt;3*G186,"partial match","no match")),"")</f>
        <v/>
      </c>
      <c r="K186" t="inlineStr">
        <is>
          <t>cm_clust_tend_2D_comb</t>
        </is>
      </c>
    </row>
    <row r="187" ht="15" customHeight="1" s="10">
      <c r="A187" t="inlineStr">
        <is>
          <t>configuration B</t>
        </is>
      </c>
      <c r="B187" t="inlineStr">
        <is>
          <t>Co-occurrence matrix (2D, slice-merged)</t>
        </is>
      </c>
      <c r="C187" t="inlineStr">
        <is>
          <t>Cluster shade</t>
        </is>
      </c>
      <c r="E187" t="inlineStr">
        <is>
          <t>3-5</t>
        </is>
      </c>
      <c r="F187" t="n">
        <v>-673</v>
      </c>
      <c r="G187" t="n">
        <v>17</v>
      </c>
      <c r="H187" s="4" t="n"/>
      <c r="I187" s="4">
        <f>IFERROR(IF(NOT(H187=""),ABS(ROUNDDOWN(F187-H187, 3 - (1+INT(LOG10(ABS(F187)))))),""),IF(AND(F187=0,NOT(F187="")),ABS(ROUNDDOWN(F187-H187,0)),""))</f>
        <v/>
      </c>
      <c r="J187" s="4">
        <f>IF(NOT(I187=""),IF(I187&lt;=G187,"match",IF(I187&lt;3*G187,"partial match","no match")),"")</f>
        <v/>
      </c>
      <c r="K187" t="inlineStr">
        <is>
          <t>cm_clust_shade_2D_comb</t>
        </is>
      </c>
    </row>
    <row r="188" ht="15" customHeight="1" s="10">
      <c r="A188" t="inlineStr">
        <is>
          <t>configuration B</t>
        </is>
      </c>
      <c r="B188" t="inlineStr">
        <is>
          <t>Co-occurrence matrix (2D, slice-merged)</t>
        </is>
      </c>
      <c r="C188" t="inlineStr">
        <is>
          <t>Cluster prominence</t>
        </is>
      </c>
      <c r="E188" t="inlineStr">
        <is>
          <t>3-5</t>
        </is>
      </c>
      <c r="F188" t="n">
        <v>29500</v>
      </c>
      <c r="G188" t="n">
        <v>1400</v>
      </c>
      <c r="H188" s="4" t="n"/>
      <c r="I188" s="4">
        <f>IFERROR(IF(NOT(H188=""),ABS(ROUNDDOWN(F188-H188, 3 - (1+INT(LOG10(ABS(F188)))))),""),IF(AND(F188=0,NOT(F188="")),ABS(ROUNDDOWN(F188-H188,0)),""))</f>
        <v/>
      </c>
      <c r="J188" s="4">
        <f>IF(NOT(I188=""),IF(I188&lt;=G188,"match",IF(I188&lt;3*G188,"partial match","no match")),"")</f>
        <v/>
      </c>
      <c r="K188" t="inlineStr">
        <is>
          <t>cm_clust_prom_2D_comb</t>
        </is>
      </c>
    </row>
    <row r="189" ht="15" customHeight="1" s="10">
      <c r="A189" t="inlineStr">
        <is>
          <t>configuration B</t>
        </is>
      </c>
      <c r="B189" t="inlineStr">
        <is>
          <t>Co-occurrence matrix (2D, slice-merged)</t>
        </is>
      </c>
      <c r="C189" t="inlineStr">
        <is>
          <t>Information correlation 1</t>
        </is>
      </c>
      <c r="E189" t="inlineStr">
        <is>
          <t>3-5</t>
        </is>
      </c>
      <c r="F189" t="n">
        <v>-0.181</v>
      </c>
      <c r="G189" t="n">
        <v>0.001</v>
      </c>
      <c r="H189" s="4" t="n"/>
      <c r="I189" s="4">
        <f>IFERROR(IF(NOT(H189=""),ABS(ROUNDDOWN(F189-H189, 3 - (1+INT(LOG10(ABS(F189)))))),""),IF(AND(F189=0,NOT(F189="")),ABS(ROUNDDOWN(F189-H189,0)),""))</f>
        <v/>
      </c>
      <c r="J189" s="4">
        <f>IF(NOT(I189=""),IF(I189&lt;=G189,"match",IF(I189&lt;3*G189,"partial match","no match")),"")</f>
        <v/>
      </c>
      <c r="K189" t="inlineStr">
        <is>
          <t>cm_info_corr1_2D_comb</t>
        </is>
      </c>
    </row>
    <row r="190" ht="15" customHeight="1" s="10">
      <c r="A190" t="inlineStr">
        <is>
          <t>configuration B</t>
        </is>
      </c>
      <c r="B190" t="inlineStr">
        <is>
          <t>Co-occurrence matrix (2D, slice-merged)</t>
        </is>
      </c>
      <c r="C190" t="inlineStr">
        <is>
          <t>Information correlation 2</t>
        </is>
      </c>
      <c r="E190" t="inlineStr">
        <is>
          <t>3-5</t>
        </is>
      </c>
      <c r="F190" t="n">
        <v>0.792</v>
      </c>
      <c r="G190" t="n">
        <v>0.001</v>
      </c>
      <c r="H190" s="4" t="n"/>
      <c r="I190" s="4">
        <f>IFERROR(IF(NOT(H190=""),ABS(ROUNDDOWN(F190-H190, 3 - (1+INT(LOG10(ABS(F190)))))),""),IF(AND(F190=0,NOT(F190="")),ABS(ROUNDDOWN(F190-H190,0)),""))</f>
        <v/>
      </c>
      <c r="J190" s="4">
        <f>IF(NOT(I190=""),IF(I190&lt;=G190,"match",IF(I190&lt;3*G190,"partial match","no match")),"")</f>
        <v/>
      </c>
      <c r="K190" t="inlineStr">
        <is>
          <t>cm_info_corr2_2D_comb</t>
        </is>
      </c>
    </row>
    <row r="191" ht="15" customHeight="1" s="10">
      <c r="A191" t="inlineStr">
        <is>
          <t>configuration B</t>
        </is>
      </c>
      <c r="B191" t="inlineStr">
        <is>
          <t>Co-occurrence matrix (2.5D, direction-merged)</t>
        </is>
      </c>
      <c r="C191" t="inlineStr">
        <is>
          <t>Joint maximum</t>
        </is>
      </c>
      <c r="E191" t="inlineStr">
        <is>
          <t>&lt; 3</t>
        </is>
      </c>
      <c r="H191" s="4" t="n"/>
      <c r="I191" s="4">
        <f>IFERROR(IF(NOT(H191=""),ABS(ROUNDDOWN(F191-H191, 3 - (1+INT(LOG10(ABS(F191)))))),""),IF(AND(F191=0,NOT(F191="")),ABS(ROUNDDOWN(F191-H191,0)),""))</f>
        <v/>
      </c>
      <c r="J191" s="4">
        <f>IF(NOT(I191=""),IF(I191&lt;=G191,"match",IF(I191&lt;3*G191,"partial match","no match")),"")</f>
        <v/>
      </c>
      <c r="K191" t="inlineStr">
        <is>
          <t>cm_joint_max_2_5D_avg</t>
        </is>
      </c>
    </row>
    <row r="192" ht="15" customHeight="1" s="10">
      <c r="A192" t="inlineStr">
        <is>
          <t>configuration B</t>
        </is>
      </c>
      <c r="B192" t="inlineStr">
        <is>
          <t>Co-occurrence matrix (2.5D, direction-merged)</t>
        </is>
      </c>
      <c r="C192" t="inlineStr">
        <is>
          <t>Joint average</t>
        </is>
      </c>
      <c r="E192" t="inlineStr">
        <is>
          <t>&lt; 3</t>
        </is>
      </c>
      <c r="H192" s="4" t="n"/>
      <c r="I192" s="4">
        <f>IFERROR(IF(NOT(H192=""),ABS(ROUNDDOWN(F192-H192, 3 - (1+INT(LOG10(ABS(F192)))))),""),IF(AND(F192=0,NOT(F192="")),ABS(ROUNDDOWN(F192-H192,0)),""))</f>
        <v/>
      </c>
      <c r="J192" s="4">
        <f>IF(NOT(I192=""),IF(I192&lt;=G192,"match",IF(I192&lt;3*G192,"partial match","no match")),"")</f>
        <v/>
      </c>
      <c r="K192" t="inlineStr">
        <is>
          <t>cm_joint_avg_2_5D_avg</t>
        </is>
      </c>
    </row>
    <row r="193" ht="15" customHeight="1" s="10">
      <c r="A193" t="inlineStr">
        <is>
          <t>configuration B</t>
        </is>
      </c>
      <c r="B193" t="inlineStr">
        <is>
          <t>Co-occurrence matrix (2.5D, direction-merged)</t>
        </is>
      </c>
      <c r="C193" t="inlineStr">
        <is>
          <t>Joint variance</t>
        </is>
      </c>
      <c r="E193" t="inlineStr">
        <is>
          <t>&lt; 3</t>
        </is>
      </c>
      <c r="H193" s="4" t="n"/>
      <c r="I193" s="4">
        <f>IFERROR(IF(NOT(H193=""),ABS(ROUNDDOWN(F193-H193, 3 - (1+INT(LOG10(ABS(F193)))))),""),IF(AND(F193=0,NOT(F193="")),ABS(ROUNDDOWN(F193-H193,0)),""))</f>
        <v/>
      </c>
      <c r="J193" s="4">
        <f>IF(NOT(I193=""),IF(I193&lt;=G193,"match",IF(I193&lt;3*G193,"partial match","no match")),"")</f>
        <v/>
      </c>
      <c r="K193" t="inlineStr">
        <is>
          <t>cm_joint_var_2_5D_avg</t>
        </is>
      </c>
    </row>
    <row r="194" ht="15" customHeight="1" s="10">
      <c r="A194" t="inlineStr">
        <is>
          <t>configuration B</t>
        </is>
      </c>
      <c r="B194" t="inlineStr">
        <is>
          <t>Co-occurrence matrix (2.5D, direction-merged)</t>
        </is>
      </c>
      <c r="C194" t="inlineStr">
        <is>
          <t>Joint entropy</t>
        </is>
      </c>
      <c r="E194" t="inlineStr">
        <is>
          <t>&lt; 3</t>
        </is>
      </c>
      <c r="H194" s="4" t="n"/>
      <c r="I194" s="4">
        <f>IFERROR(IF(NOT(H194=""),ABS(ROUNDDOWN(F194-H194, 3 - (1+INT(LOG10(ABS(F194)))))),""),IF(AND(F194=0,NOT(F194="")),ABS(ROUNDDOWN(F194-H194,0)),""))</f>
        <v/>
      </c>
      <c r="J194" s="4">
        <f>IF(NOT(I194=""),IF(I194&lt;=G194,"match",IF(I194&lt;3*G194,"partial match","no match")),"")</f>
        <v/>
      </c>
      <c r="K194" t="inlineStr">
        <is>
          <t>cm_joint_entr_2_5D_avg</t>
        </is>
      </c>
    </row>
    <row r="195" ht="15" customHeight="1" s="10">
      <c r="A195" t="inlineStr">
        <is>
          <t>configuration B</t>
        </is>
      </c>
      <c r="B195" t="inlineStr">
        <is>
          <t>Co-occurrence matrix (2.5D, direction-merged)</t>
        </is>
      </c>
      <c r="C195" t="inlineStr">
        <is>
          <t>Difference average</t>
        </is>
      </c>
      <c r="E195" t="inlineStr">
        <is>
          <t>&lt; 3</t>
        </is>
      </c>
      <c r="H195" s="4" t="n"/>
      <c r="I195" s="4">
        <f>IFERROR(IF(NOT(H195=""),ABS(ROUNDDOWN(F195-H195, 3 - (1+INT(LOG10(ABS(F195)))))),""),IF(AND(F195=0,NOT(F195="")),ABS(ROUNDDOWN(F195-H195,0)),""))</f>
        <v/>
      </c>
      <c r="J195" s="4">
        <f>IF(NOT(I195=""),IF(I195&lt;=G195,"match",IF(I195&lt;3*G195,"partial match","no match")),"")</f>
        <v/>
      </c>
      <c r="K195" t="inlineStr">
        <is>
          <t>cm_diff_avg_2_5D_avg</t>
        </is>
      </c>
    </row>
    <row r="196" ht="15" customHeight="1" s="10">
      <c r="A196" t="inlineStr">
        <is>
          <t>configuration B</t>
        </is>
      </c>
      <c r="B196" t="inlineStr">
        <is>
          <t>Co-occurrence matrix (2.5D, direction-merged)</t>
        </is>
      </c>
      <c r="C196" t="inlineStr">
        <is>
          <t>Difference variance</t>
        </is>
      </c>
      <c r="E196" t="inlineStr">
        <is>
          <t>&lt; 3</t>
        </is>
      </c>
      <c r="H196" s="4" t="n"/>
      <c r="I196" s="4">
        <f>IFERROR(IF(NOT(H196=""),ABS(ROUNDDOWN(F196-H196, 3 - (1+INT(LOG10(ABS(F196)))))),""),IF(AND(F196=0,NOT(F196="")),ABS(ROUNDDOWN(F196-H196,0)),""))</f>
        <v/>
      </c>
      <c r="J196" s="4">
        <f>IF(NOT(I196=""),IF(I196&lt;=G196,"match",IF(I196&lt;3*G196,"partial match","no match")),"")</f>
        <v/>
      </c>
      <c r="K196" t="inlineStr">
        <is>
          <t>cm_diff_var_2_5D_avg</t>
        </is>
      </c>
    </row>
    <row r="197" ht="15" customHeight="1" s="10">
      <c r="A197" t="inlineStr">
        <is>
          <t>configuration B</t>
        </is>
      </c>
      <c r="B197" t="inlineStr">
        <is>
          <t>Co-occurrence matrix (2.5D, direction-merged)</t>
        </is>
      </c>
      <c r="C197" t="inlineStr">
        <is>
          <t>Difference entropy</t>
        </is>
      </c>
      <c r="E197" t="inlineStr">
        <is>
          <t>&lt; 3</t>
        </is>
      </c>
      <c r="H197" s="4" t="n"/>
      <c r="I197" s="4">
        <f>IFERROR(IF(NOT(H197=""),ABS(ROUNDDOWN(F197-H197, 3 - (1+INT(LOG10(ABS(F197)))))),""),IF(AND(F197=0,NOT(F197="")),ABS(ROUNDDOWN(F197-H197,0)),""))</f>
        <v/>
      </c>
      <c r="J197" s="4">
        <f>IF(NOT(I197=""),IF(I197&lt;=G197,"match",IF(I197&lt;3*G197,"partial match","no match")),"")</f>
        <v/>
      </c>
      <c r="K197" t="inlineStr">
        <is>
          <t>cm_diff_entr_2_5D_avg</t>
        </is>
      </c>
    </row>
    <row r="198" ht="15" customHeight="1" s="10">
      <c r="A198" t="inlineStr">
        <is>
          <t>configuration B</t>
        </is>
      </c>
      <c r="B198" t="inlineStr">
        <is>
          <t>Co-occurrence matrix (2.5D, direction-merged)</t>
        </is>
      </c>
      <c r="C198" t="inlineStr">
        <is>
          <t>Sum average</t>
        </is>
      </c>
      <c r="E198" t="inlineStr">
        <is>
          <t>&lt; 3</t>
        </is>
      </c>
      <c r="H198" s="4" t="n"/>
      <c r="I198" s="4">
        <f>IFERROR(IF(NOT(H198=""),ABS(ROUNDDOWN(F198-H198, 3 - (1+INT(LOG10(ABS(F198)))))),""),IF(AND(F198=0,NOT(F198="")),ABS(ROUNDDOWN(F198-H198,0)),""))</f>
        <v/>
      </c>
      <c r="J198" s="4">
        <f>IF(NOT(I198=""),IF(I198&lt;=G198,"match",IF(I198&lt;3*G198,"partial match","no match")),"")</f>
        <v/>
      </c>
      <c r="K198" t="inlineStr">
        <is>
          <t>cm_sum_avg_2_5D_avg</t>
        </is>
      </c>
    </row>
    <row r="199" ht="15" customHeight="1" s="10">
      <c r="A199" t="inlineStr">
        <is>
          <t>configuration B</t>
        </is>
      </c>
      <c r="B199" t="inlineStr">
        <is>
          <t>Co-occurrence matrix (2.5D, direction-merged)</t>
        </is>
      </c>
      <c r="C199" t="inlineStr">
        <is>
          <t>Sum variance</t>
        </is>
      </c>
      <c r="E199" t="inlineStr">
        <is>
          <t>&lt; 3</t>
        </is>
      </c>
      <c r="H199" s="4" t="n"/>
      <c r="I199" s="4">
        <f>IFERROR(IF(NOT(H199=""),ABS(ROUNDDOWN(F199-H199, 3 - (1+INT(LOG10(ABS(F199)))))),""),IF(AND(F199=0,NOT(F199="")),ABS(ROUNDDOWN(F199-H199,0)),""))</f>
        <v/>
      </c>
      <c r="J199" s="4">
        <f>IF(NOT(I199=""),IF(I199&lt;=G199,"match",IF(I199&lt;3*G199,"partial match","no match")),"")</f>
        <v/>
      </c>
      <c r="K199" t="inlineStr">
        <is>
          <t>cm_sum_var_2_5D_avg</t>
        </is>
      </c>
    </row>
    <row r="200" ht="15" customHeight="1" s="10">
      <c r="A200" t="inlineStr">
        <is>
          <t>configuration B</t>
        </is>
      </c>
      <c r="B200" t="inlineStr">
        <is>
          <t>Co-occurrence matrix (2.5D, direction-merged)</t>
        </is>
      </c>
      <c r="C200" t="inlineStr">
        <is>
          <t>Sum entropy</t>
        </is>
      </c>
      <c r="E200" t="inlineStr">
        <is>
          <t>&lt; 3</t>
        </is>
      </c>
      <c r="H200" s="4" t="n"/>
      <c r="I200" s="4">
        <f>IFERROR(IF(NOT(H200=""),ABS(ROUNDDOWN(F200-H200, 3 - (1+INT(LOG10(ABS(F200)))))),""),IF(AND(F200=0,NOT(F200="")),ABS(ROUNDDOWN(F200-H200,0)),""))</f>
        <v/>
      </c>
      <c r="J200" s="4">
        <f>IF(NOT(I200=""),IF(I200&lt;=G200,"match",IF(I200&lt;3*G200,"partial match","no match")),"")</f>
        <v/>
      </c>
      <c r="K200" t="inlineStr">
        <is>
          <t>cm_sum_entr_2_5D_avg</t>
        </is>
      </c>
    </row>
    <row r="201" ht="15" customHeight="1" s="10">
      <c r="A201" t="inlineStr">
        <is>
          <t>configuration B</t>
        </is>
      </c>
      <c r="B201" t="inlineStr">
        <is>
          <t>Co-occurrence matrix (2.5D, direction-merged)</t>
        </is>
      </c>
      <c r="C201" t="inlineStr">
        <is>
          <t>Angular second moment</t>
        </is>
      </c>
      <c r="E201" t="inlineStr">
        <is>
          <t>&lt; 3</t>
        </is>
      </c>
      <c r="H201" s="4" t="n"/>
      <c r="I201" s="4">
        <f>IFERROR(IF(NOT(H201=""),ABS(ROUNDDOWN(F201-H201, 3 - (1+INT(LOG10(ABS(F201)))))),""),IF(AND(F201=0,NOT(F201="")),ABS(ROUNDDOWN(F201-H201,0)),""))</f>
        <v/>
      </c>
      <c r="J201" s="4">
        <f>IF(NOT(I201=""),IF(I201&lt;=G201,"match",IF(I201&lt;3*G201,"partial match","no match")),"")</f>
        <v/>
      </c>
      <c r="K201" t="inlineStr">
        <is>
          <t>cm_energy_2_5D_avg</t>
        </is>
      </c>
    </row>
    <row r="202" ht="15" customHeight="1" s="10">
      <c r="A202" t="inlineStr">
        <is>
          <t>configuration B</t>
        </is>
      </c>
      <c r="B202" t="inlineStr">
        <is>
          <t>Co-occurrence matrix (2.5D, direction-merged)</t>
        </is>
      </c>
      <c r="C202" t="inlineStr">
        <is>
          <t>Contrast</t>
        </is>
      </c>
      <c r="E202" t="inlineStr">
        <is>
          <t>&lt; 3</t>
        </is>
      </c>
      <c r="H202" s="4" t="n"/>
      <c r="I202" s="4">
        <f>IFERROR(IF(NOT(H202=""),ABS(ROUNDDOWN(F202-H202, 3 - (1+INT(LOG10(ABS(F202)))))),""),IF(AND(F202=0,NOT(F202="")),ABS(ROUNDDOWN(F202-H202,0)),""))</f>
        <v/>
      </c>
      <c r="J202" s="4">
        <f>IF(NOT(I202=""),IF(I202&lt;=G202,"match",IF(I202&lt;3*G202,"partial match","no match")),"")</f>
        <v/>
      </c>
      <c r="K202" t="inlineStr">
        <is>
          <t>cm_contrast_2_5D_avg</t>
        </is>
      </c>
    </row>
    <row r="203" ht="15" customHeight="1" s="10">
      <c r="A203" t="inlineStr">
        <is>
          <t>configuration B</t>
        </is>
      </c>
      <c r="B203" t="inlineStr">
        <is>
          <t>Co-occurrence matrix (2.5D, direction-merged)</t>
        </is>
      </c>
      <c r="C203" t="inlineStr">
        <is>
          <t>Dissimilarity</t>
        </is>
      </c>
      <c r="E203" t="inlineStr">
        <is>
          <t>&lt; 3</t>
        </is>
      </c>
      <c r="H203" s="4" t="n"/>
      <c r="I203" s="4">
        <f>IFERROR(IF(NOT(H203=""),ABS(ROUNDDOWN(F203-H203, 3 - (1+INT(LOG10(ABS(F203)))))),""),IF(AND(F203=0,NOT(F203="")),ABS(ROUNDDOWN(F203-H203,0)),""))</f>
        <v/>
      </c>
      <c r="J203" s="4">
        <f>IF(NOT(I203=""),IF(I203&lt;=G203,"match",IF(I203&lt;3*G203,"partial match","no match")),"")</f>
        <v/>
      </c>
      <c r="K203" t="inlineStr">
        <is>
          <t>cm_dissimilarity_2_5D_avg</t>
        </is>
      </c>
    </row>
    <row r="204" ht="15" customHeight="1" s="10">
      <c r="A204" t="inlineStr">
        <is>
          <t>configuration B</t>
        </is>
      </c>
      <c r="B204" t="inlineStr">
        <is>
          <t>Co-occurrence matrix (2.5D, direction-merged)</t>
        </is>
      </c>
      <c r="C204" t="inlineStr">
        <is>
          <t>Inverse difference</t>
        </is>
      </c>
      <c r="E204" t="inlineStr">
        <is>
          <t>&lt; 3</t>
        </is>
      </c>
      <c r="H204" s="4" t="n"/>
      <c r="I204" s="4">
        <f>IFERROR(IF(NOT(H204=""),ABS(ROUNDDOWN(F204-H204, 3 - (1+INT(LOG10(ABS(F204)))))),""),IF(AND(F204=0,NOT(F204="")),ABS(ROUNDDOWN(F204-H204,0)),""))</f>
        <v/>
      </c>
      <c r="J204" s="4">
        <f>IF(NOT(I204=""),IF(I204&lt;=G204,"match",IF(I204&lt;3*G204,"partial match","no match")),"")</f>
        <v/>
      </c>
      <c r="K204" t="inlineStr">
        <is>
          <t>cm_inv_diff_2_5D_avg</t>
        </is>
      </c>
    </row>
    <row r="205" ht="15" customHeight="1" s="10">
      <c r="A205" t="inlineStr">
        <is>
          <t>configuration B</t>
        </is>
      </c>
      <c r="B205" t="inlineStr">
        <is>
          <t>Co-occurrence matrix (2.5D, direction-merged)</t>
        </is>
      </c>
      <c r="C205" t="inlineStr">
        <is>
          <t>Inverse difference normalised</t>
        </is>
      </c>
      <c r="E205" t="inlineStr">
        <is>
          <t>&lt; 3</t>
        </is>
      </c>
      <c r="H205" s="4" t="n"/>
      <c r="I205" s="4">
        <f>IFERROR(IF(NOT(H205=""),ABS(ROUNDDOWN(F205-H205, 3 - (1+INT(LOG10(ABS(F205)))))),""),IF(AND(F205=0,NOT(F205="")),ABS(ROUNDDOWN(F205-H205,0)),""))</f>
        <v/>
      </c>
      <c r="J205" s="4">
        <f>IF(NOT(I205=""),IF(I205&lt;=G205,"match",IF(I205&lt;3*G205,"partial match","no match")),"")</f>
        <v/>
      </c>
      <c r="K205" t="inlineStr">
        <is>
          <t>cm_inv_diff_norm_2_5D_avg</t>
        </is>
      </c>
    </row>
    <row r="206" ht="15" customHeight="1" s="10">
      <c r="A206" t="inlineStr">
        <is>
          <t>configuration B</t>
        </is>
      </c>
      <c r="B206" t="inlineStr">
        <is>
          <t>Co-occurrence matrix (2.5D, direction-merged)</t>
        </is>
      </c>
      <c r="C206" t="inlineStr">
        <is>
          <t>Inverse difference moment</t>
        </is>
      </c>
      <c r="E206" t="inlineStr">
        <is>
          <t>&lt; 3</t>
        </is>
      </c>
      <c r="H206" s="4" t="n"/>
      <c r="I206" s="4">
        <f>IFERROR(IF(NOT(H206=""),ABS(ROUNDDOWN(F206-H206, 3 - (1+INT(LOG10(ABS(F206)))))),""),IF(AND(F206=0,NOT(F206="")),ABS(ROUNDDOWN(F206-H206,0)),""))</f>
        <v/>
      </c>
      <c r="J206" s="4">
        <f>IF(NOT(I206=""),IF(I206&lt;=G206,"match",IF(I206&lt;3*G206,"partial match","no match")),"")</f>
        <v/>
      </c>
      <c r="K206" t="inlineStr">
        <is>
          <t>cm_inv_diff_mom_2_5D_avg</t>
        </is>
      </c>
    </row>
    <row r="207" ht="15" customHeight="1" s="10">
      <c r="A207" t="inlineStr">
        <is>
          <t>configuration B</t>
        </is>
      </c>
      <c r="B207" t="inlineStr">
        <is>
          <t>Co-occurrence matrix (2.5D, direction-merged)</t>
        </is>
      </c>
      <c r="C207" t="inlineStr">
        <is>
          <t>Inverse difference moment normalised</t>
        </is>
      </c>
      <c r="E207" t="inlineStr">
        <is>
          <t>&lt; 3</t>
        </is>
      </c>
      <c r="H207" s="4" t="n"/>
      <c r="I207" s="4">
        <f>IFERROR(IF(NOT(H207=""),ABS(ROUNDDOWN(F207-H207, 3 - (1+INT(LOG10(ABS(F207)))))),""),IF(AND(F207=0,NOT(F207="")),ABS(ROUNDDOWN(F207-H207,0)),""))</f>
        <v/>
      </c>
      <c r="J207" s="4">
        <f>IF(NOT(I207=""),IF(I207&lt;=G207,"match",IF(I207&lt;3*G207,"partial match","no match")),"")</f>
        <v/>
      </c>
      <c r="K207" t="inlineStr">
        <is>
          <t>cm_inv_diff_mom_norm_2_5D_avg</t>
        </is>
      </c>
    </row>
    <row r="208" ht="15" customHeight="1" s="10">
      <c r="A208" t="inlineStr">
        <is>
          <t>configuration B</t>
        </is>
      </c>
      <c r="B208" t="inlineStr">
        <is>
          <t>Co-occurrence matrix (2.5D, direction-merged)</t>
        </is>
      </c>
      <c r="C208" t="inlineStr">
        <is>
          <t>Inverse variance</t>
        </is>
      </c>
      <c r="E208" t="inlineStr">
        <is>
          <t>&lt; 3</t>
        </is>
      </c>
      <c r="H208" s="4" t="n"/>
      <c r="I208" s="4">
        <f>IFERROR(IF(NOT(H208=""),ABS(ROUNDDOWN(F208-H208, 3 - (1+INT(LOG10(ABS(F208)))))),""),IF(AND(F208=0,NOT(F208="")),ABS(ROUNDDOWN(F208-H208,0)),""))</f>
        <v/>
      </c>
      <c r="J208" s="4">
        <f>IF(NOT(I208=""),IF(I208&lt;=G208,"match",IF(I208&lt;3*G208,"partial match","no match")),"")</f>
        <v/>
      </c>
      <c r="K208" t="inlineStr">
        <is>
          <t>cm_inv_var_2_5D_avg</t>
        </is>
      </c>
    </row>
    <row r="209" ht="15" customHeight="1" s="10">
      <c r="A209" t="inlineStr">
        <is>
          <t>configuration B</t>
        </is>
      </c>
      <c r="B209" t="inlineStr">
        <is>
          <t>Co-occurrence matrix (2.5D, direction-merged)</t>
        </is>
      </c>
      <c r="C209" t="inlineStr">
        <is>
          <t>Correlation</t>
        </is>
      </c>
      <c r="E209" t="inlineStr">
        <is>
          <t>&lt; 3</t>
        </is>
      </c>
      <c r="H209" s="4" t="n"/>
      <c r="I209" s="4">
        <f>IFERROR(IF(NOT(H209=""),ABS(ROUNDDOWN(F209-H209, 3 - (1+INT(LOG10(ABS(F209)))))),""),IF(AND(F209=0,NOT(F209="")),ABS(ROUNDDOWN(F209-H209,0)),""))</f>
        <v/>
      </c>
      <c r="J209" s="4">
        <f>IF(NOT(I209=""),IF(I209&lt;=G209,"match",IF(I209&lt;3*G209,"partial match","no match")),"")</f>
        <v/>
      </c>
      <c r="K209" t="inlineStr">
        <is>
          <t>cm_corr_2_5D_avg</t>
        </is>
      </c>
    </row>
    <row r="210" ht="15" customHeight="1" s="10">
      <c r="A210" t="inlineStr">
        <is>
          <t>configuration B</t>
        </is>
      </c>
      <c r="B210" t="inlineStr">
        <is>
          <t>Co-occurrence matrix (2.5D, direction-merged)</t>
        </is>
      </c>
      <c r="C210" t="inlineStr">
        <is>
          <t>Autocorrelation</t>
        </is>
      </c>
      <c r="E210" t="inlineStr">
        <is>
          <t>&lt; 3</t>
        </is>
      </c>
      <c r="H210" s="4" t="n"/>
      <c r="I210" s="4">
        <f>IFERROR(IF(NOT(H210=""),ABS(ROUNDDOWN(F210-H210, 3 - (1+INT(LOG10(ABS(F210)))))),""),IF(AND(F210=0,NOT(F210="")),ABS(ROUNDDOWN(F210-H210,0)),""))</f>
        <v/>
      </c>
      <c r="J210" s="4">
        <f>IF(NOT(I210=""),IF(I210&lt;=G210,"match",IF(I210&lt;3*G210,"partial match","no match")),"")</f>
        <v/>
      </c>
      <c r="K210" t="inlineStr">
        <is>
          <t>cm_auto_corr_2_5D_avg</t>
        </is>
      </c>
    </row>
    <row r="211" ht="15" customHeight="1" s="10">
      <c r="A211" t="inlineStr">
        <is>
          <t>configuration B</t>
        </is>
      </c>
      <c r="B211" t="inlineStr">
        <is>
          <t>Co-occurrence matrix (2.5D, direction-merged)</t>
        </is>
      </c>
      <c r="C211" t="inlineStr">
        <is>
          <t>Cluster tendency</t>
        </is>
      </c>
      <c r="E211" t="inlineStr">
        <is>
          <t>&lt; 3</t>
        </is>
      </c>
      <c r="H211" s="4" t="n"/>
      <c r="I211" s="4">
        <f>IFERROR(IF(NOT(H211=""),ABS(ROUNDDOWN(F211-H211, 3 - (1+INT(LOG10(ABS(F211)))))),""),IF(AND(F211=0,NOT(F211="")),ABS(ROUNDDOWN(F211-H211,0)),""))</f>
        <v/>
      </c>
      <c r="J211" s="4">
        <f>IF(NOT(I211=""),IF(I211&lt;=G211,"match",IF(I211&lt;3*G211,"partial match","no match")),"")</f>
        <v/>
      </c>
      <c r="K211" t="inlineStr">
        <is>
          <t>cm_clust_tend_2_5D_avg</t>
        </is>
      </c>
    </row>
    <row r="212" ht="15" customHeight="1" s="10">
      <c r="A212" t="inlineStr">
        <is>
          <t>configuration B</t>
        </is>
      </c>
      <c r="B212" t="inlineStr">
        <is>
          <t>Co-occurrence matrix (2.5D, direction-merged)</t>
        </is>
      </c>
      <c r="C212" t="inlineStr">
        <is>
          <t>Cluster shade</t>
        </is>
      </c>
      <c r="E212" t="inlineStr">
        <is>
          <t>&lt; 3</t>
        </is>
      </c>
      <c r="H212" s="4" t="n"/>
      <c r="I212" s="4">
        <f>IFERROR(IF(NOT(H212=""),ABS(ROUNDDOWN(F212-H212, 3 - (1+INT(LOG10(ABS(F212)))))),""),IF(AND(F212=0,NOT(F212="")),ABS(ROUNDDOWN(F212-H212,0)),""))</f>
        <v/>
      </c>
      <c r="J212" s="4">
        <f>IF(NOT(I212=""),IF(I212&lt;=G212,"match",IF(I212&lt;3*G212,"partial match","no match")),"")</f>
        <v/>
      </c>
      <c r="K212" t="inlineStr">
        <is>
          <t>cm_clust_shade_2_5D_avg</t>
        </is>
      </c>
    </row>
    <row r="213" ht="15" customHeight="1" s="10">
      <c r="A213" t="inlineStr">
        <is>
          <t>configuration B</t>
        </is>
      </c>
      <c r="B213" t="inlineStr">
        <is>
          <t>Co-occurrence matrix (2.5D, direction-merged)</t>
        </is>
      </c>
      <c r="C213" t="inlineStr">
        <is>
          <t>Cluster prominence</t>
        </is>
      </c>
      <c r="E213" t="inlineStr">
        <is>
          <t>&lt; 3</t>
        </is>
      </c>
      <c r="H213" s="4" t="n"/>
      <c r="I213" s="4">
        <f>IFERROR(IF(NOT(H213=""),ABS(ROUNDDOWN(F213-H213, 3 - (1+INT(LOG10(ABS(F213)))))),""),IF(AND(F213=0,NOT(F213="")),ABS(ROUNDDOWN(F213-H213,0)),""))</f>
        <v/>
      </c>
      <c r="J213" s="4">
        <f>IF(NOT(I213=""),IF(I213&lt;=G213,"match",IF(I213&lt;3*G213,"partial match","no match")),"")</f>
        <v/>
      </c>
      <c r="K213" t="inlineStr">
        <is>
          <t>cm_clust_prom_2_5D_avg</t>
        </is>
      </c>
    </row>
    <row r="214" ht="15" customHeight="1" s="10">
      <c r="A214" t="inlineStr">
        <is>
          <t>configuration B</t>
        </is>
      </c>
      <c r="B214" t="inlineStr">
        <is>
          <t>Co-occurrence matrix (2.5D, direction-merged)</t>
        </is>
      </c>
      <c r="C214" t="inlineStr">
        <is>
          <t>Information correlation 1</t>
        </is>
      </c>
      <c r="E214" t="inlineStr">
        <is>
          <t>&lt; 3</t>
        </is>
      </c>
      <c r="H214" s="4" t="n"/>
      <c r="I214" s="4">
        <f>IFERROR(IF(NOT(H214=""),ABS(ROUNDDOWN(F214-H214, 3 - (1+INT(LOG10(ABS(F214)))))),""),IF(AND(F214=0,NOT(F214="")),ABS(ROUNDDOWN(F214-H214,0)),""))</f>
        <v/>
      </c>
      <c r="J214" s="4">
        <f>IF(NOT(I214=""),IF(I214&lt;=G214,"match",IF(I214&lt;3*G214,"partial match","no match")),"")</f>
        <v/>
      </c>
      <c r="K214" t="inlineStr">
        <is>
          <t>cm_info_corr1_2_5D_avg</t>
        </is>
      </c>
    </row>
    <row r="215" ht="15" customHeight="1" s="10">
      <c r="A215" t="inlineStr">
        <is>
          <t>configuration B</t>
        </is>
      </c>
      <c r="B215" t="inlineStr">
        <is>
          <t>Co-occurrence matrix (2.5D, direction-merged)</t>
        </is>
      </c>
      <c r="C215" t="inlineStr">
        <is>
          <t>Information correlation 2</t>
        </is>
      </c>
      <c r="E215" t="inlineStr">
        <is>
          <t>&lt; 3</t>
        </is>
      </c>
      <c r="H215" s="4" t="n"/>
      <c r="I215" s="4">
        <f>IFERROR(IF(NOT(H215=""),ABS(ROUNDDOWN(F215-H215, 3 - (1+INT(LOG10(ABS(F215)))))),""),IF(AND(F215=0,NOT(F215="")),ABS(ROUNDDOWN(F215-H215,0)),""))</f>
        <v/>
      </c>
      <c r="J215" s="4">
        <f>IF(NOT(I215=""),IF(I215&lt;=G215,"match",IF(I215&lt;3*G215,"partial match","no match")),"")</f>
        <v/>
      </c>
      <c r="K215" t="inlineStr">
        <is>
          <t>cm_info_corr2_2_5D_avg</t>
        </is>
      </c>
    </row>
    <row r="216" ht="15" customHeight="1" s="10">
      <c r="A216" t="inlineStr">
        <is>
          <t>configuration B</t>
        </is>
      </c>
      <c r="B216" t="inlineStr">
        <is>
          <t>Co-occurrence matrix (2.5D, merged)</t>
        </is>
      </c>
      <c r="C216" t="inlineStr">
        <is>
          <t>Joint maximum</t>
        </is>
      </c>
      <c r="E216" t="inlineStr">
        <is>
          <t>&lt; 3</t>
        </is>
      </c>
      <c r="H216" s="4" t="n"/>
      <c r="I216" s="4">
        <f>IFERROR(IF(NOT(H216=""),ABS(ROUNDDOWN(F216-H216, 3 - (1+INT(LOG10(ABS(F216)))))),""),IF(AND(F216=0,NOT(F216="")),ABS(ROUNDDOWN(F216-H216,0)),""))</f>
        <v/>
      </c>
      <c r="J216" s="4">
        <f>IF(NOT(I216=""),IF(I216&lt;=G216,"match",IF(I216&lt;3*G216,"partial match","no match")),"")</f>
        <v/>
      </c>
      <c r="K216" t="inlineStr">
        <is>
          <t>cm_joint_max_2_5D_comb</t>
        </is>
      </c>
    </row>
    <row r="217" ht="15" customHeight="1" s="10">
      <c r="A217" t="inlineStr">
        <is>
          <t>configuration B</t>
        </is>
      </c>
      <c r="B217" t="inlineStr">
        <is>
          <t>Co-occurrence matrix (2.5D, merged)</t>
        </is>
      </c>
      <c r="C217" t="inlineStr">
        <is>
          <t>Joint average</t>
        </is>
      </c>
      <c r="E217" t="inlineStr">
        <is>
          <t>&lt; 3</t>
        </is>
      </c>
      <c r="H217" s="4" t="n"/>
      <c r="I217" s="4">
        <f>IFERROR(IF(NOT(H217=""),ABS(ROUNDDOWN(F217-H217, 3 - (1+INT(LOG10(ABS(F217)))))),""),IF(AND(F217=0,NOT(F217="")),ABS(ROUNDDOWN(F217-H217,0)),""))</f>
        <v/>
      </c>
      <c r="J217" s="4">
        <f>IF(NOT(I217=""),IF(I217&lt;=G217,"match",IF(I217&lt;3*G217,"partial match","no match")),"")</f>
        <v/>
      </c>
      <c r="K217" t="inlineStr">
        <is>
          <t>cm_joint_avg_2_5D_comb</t>
        </is>
      </c>
    </row>
    <row r="218" ht="15" customHeight="1" s="10">
      <c r="A218" t="inlineStr">
        <is>
          <t>configuration B</t>
        </is>
      </c>
      <c r="B218" t="inlineStr">
        <is>
          <t>Co-occurrence matrix (2.5D, merged)</t>
        </is>
      </c>
      <c r="C218" t="inlineStr">
        <is>
          <t>Joint variance</t>
        </is>
      </c>
      <c r="E218" t="inlineStr">
        <is>
          <t>&lt; 3</t>
        </is>
      </c>
      <c r="H218" s="4" t="n"/>
      <c r="I218" s="4">
        <f>IFERROR(IF(NOT(H218=""),ABS(ROUNDDOWN(F218-H218, 3 - (1+INT(LOG10(ABS(F218)))))),""),IF(AND(F218=0,NOT(F218="")),ABS(ROUNDDOWN(F218-H218,0)),""))</f>
        <v/>
      </c>
      <c r="J218" s="4">
        <f>IF(NOT(I218=""),IF(I218&lt;=G218,"match",IF(I218&lt;3*G218,"partial match","no match")),"")</f>
        <v/>
      </c>
      <c r="K218" t="inlineStr">
        <is>
          <t>cm_joint_var_2_5D_comb</t>
        </is>
      </c>
    </row>
    <row r="219" ht="15" customHeight="1" s="10">
      <c r="A219" t="inlineStr">
        <is>
          <t>configuration B</t>
        </is>
      </c>
      <c r="B219" t="inlineStr">
        <is>
          <t>Co-occurrence matrix (2.5D, merged)</t>
        </is>
      </c>
      <c r="C219" t="inlineStr">
        <is>
          <t>Joint entropy</t>
        </is>
      </c>
      <c r="E219" t="inlineStr">
        <is>
          <t>&lt; 3</t>
        </is>
      </c>
      <c r="H219" s="4" t="n"/>
      <c r="I219" s="4">
        <f>IFERROR(IF(NOT(H219=""),ABS(ROUNDDOWN(F219-H219, 3 - (1+INT(LOG10(ABS(F219)))))),""),IF(AND(F219=0,NOT(F219="")),ABS(ROUNDDOWN(F219-H219,0)),""))</f>
        <v/>
      </c>
      <c r="J219" s="4">
        <f>IF(NOT(I219=""),IF(I219&lt;=G219,"match",IF(I219&lt;3*G219,"partial match","no match")),"")</f>
        <v/>
      </c>
      <c r="K219" t="inlineStr">
        <is>
          <t>cm_joint_entr_2_5D_comb</t>
        </is>
      </c>
    </row>
    <row r="220" ht="15" customHeight="1" s="10">
      <c r="A220" t="inlineStr">
        <is>
          <t>configuration B</t>
        </is>
      </c>
      <c r="B220" t="inlineStr">
        <is>
          <t>Co-occurrence matrix (2.5D, merged)</t>
        </is>
      </c>
      <c r="C220" t="inlineStr">
        <is>
          <t>Difference average</t>
        </is>
      </c>
      <c r="E220" t="inlineStr">
        <is>
          <t>&lt; 3</t>
        </is>
      </c>
      <c r="H220" s="4" t="n"/>
      <c r="I220" s="4">
        <f>IFERROR(IF(NOT(H220=""),ABS(ROUNDDOWN(F220-H220, 3 - (1+INT(LOG10(ABS(F220)))))),""),IF(AND(F220=0,NOT(F220="")),ABS(ROUNDDOWN(F220-H220,0)),""))</f>
        <v/>
      </c>
      <c r="J220" s="4">
        <f>IF(NOT(I220=""),IF(I220&lt;=G220,"match",IF(I220&lt;3*G220,"partial match","no match")),"")</f>
        <v/>
      </c>
      <c r="K220" t="inlineStr">
        <is>
          <t>cm_diff_avg_2_5D_comb</t>
        </is>
      </c>
    </row>
    <row r="221" ht="15" customHeight="1" s="10">
      <c r="A221" t="inlineStr">
        <is>
          <t>configuration B</t>
        </is>
      </c>
      <c r="B221" t="inlineStr">
        <is>
          <t>Co-occurrence matrix (2.5D, merged)</t>
        </is>
      </c>
      <c r="C221" t="inlineStr">
        <is>
          <t>Difference variance</t>
        </is>
      </c>
      <c r="E221" t="inlineStr">
        <is>
          <t>&lt; 3</t>
        </is>
      </c>
      <c r="H221" s="4" t="n"/>
      <c r="I221" s="4">
        <f>IFERROR(IF(NOT(H221=""),ABS(ROUNDDOWN(F221-H221, 3 - (1+INT(LOG10(ABS(F221)))))),""),IF(AND(F221=0,NOT(F221="")),ABS(ROUNDDOWN(F221-H221,0)),""))</f>
        <v/>
      </c>
      <c r="J221" s="4">
        <f>IF(NOT(I221=""),IF(I221&lt;=G221,"match",IF(I221&lt;3*G221,"partial match","no match")),"")</f>
        <v/>
      </c>
      <c r="K221" t="inlineStr">
        <is>
          <t>cm_diff_var_2_5D_comb</t>
        </is>
      </c>
    </row>
    <row r="222" ht="15" customHeight="1" s="10">
      <c r="A222" t="inlineStr">
        <is>
          <t>configuration B</t>
        </is>
      </c>
      <c r="B222" t="inlineStr">
        <is>
          <t>Co-occurrence matrix (2.5D, merged)</t>
        </is>
      </c>
      <c r="C222" t="inlineStr">
        <is>
          <t>Difference entropy</t>
        </is>
      </c>
      <c r="E222" t="inlineStr">
        <is>
          <t>&lt; 3</t>
        </is>
      </c>
      <c r="H222" s="4" t="n"/>
      <c r="I222" s="4">
        <f>IFERROR(IF(NOT(H222=""),ABS(ROUNDDOWN(F222-H222, 3 - (1+INT(LOG10(ABS(F222)))))),""),IF(AND(F222=0,NOT(F222="")),ABS(ROUNDDOWN(F222-H222,0)),""))</f>
        <v/>
      </c>
      <c r="J222" s="4">
        <f>IF(NOT(I222=""),IF(I222&lt;=G222,"match",IF(I222&lt;3*G222,"partial match","no match")),"")</f>
        <v/>
      </c>
      <c r="K222" t="inlineStr">
        <is>
          <t>cm_diff_entr_2_5D_comb</t>
        </is>
      </c>
    </row>
    <row r="223" ht="15" customHeight="1" s="10">
      <c r="A223" t="inlineStr">
        <is>
          <t>configuration B</t>
        </is>
      </c>
      <c r="B223" t="inlineStr">
        <is>
          <t>Co-occurrence matrix (2.5D, merged)</t>
        </is>
      </c>
      <c r="C223" t="inlineStr">
        <is>
          <t>Sum average</t>
        </is>
      </c>
      <c r="E223" t="inlineStr">
        <is>
          <t>&lt; 3</t>
        </is>
      </c>
      <c r="H223" s="4" t="n"/>
      <c r="I223" s="4">
        <f>IFERROR(IF(NOT(H223=""),ABS(ROUNDDOWN(F223-H223, 3 - (1+INT(LOG10(ABS(F223)))))),""),IF(AND(F223=0,NOT(F223="")),ABS(ROUNDDOWN(F223-H223,0)),""))</f>
        <v/>
      </c>
      <c r="J223" s="4">
        <f>IF(NOT(I223=""),IF(I223&lt;=G223,"match",IF(I223&lt;3*G223,"partial match","no match")),"")</f>
        <v/>
      </c>
      <c r="K223" t="inlineStr">
        <is>
          <t>cm_sum_avg_2_5D_comb</t>
        </is>
      </c>
    </row>
    <row r="224" ht="15" customHeight="1" s="10">
      <c r="A224" t="inlineStr">
        <is>
          <t>configuration B</t>
        </is>
      </c>
      <c r="B224" t="inlineStr">
        <is>
          <t>Co-occurrence matrix (2.5D, merged)</t>
        </is>
      </c>
      <c r="C224" t="inlineStr">
        <is>
          <t>Sum variance</t>
        </is>
      </c>
      <c r="E224" t="inlineStr">
        <is>
          <t>&lt; 3</t>
        </is>
      </c>
      <c r="H224" s="4" t="n"/>
      <c r="I224" s="4">
        <f>IFERROR(IF(NOT(H224=""),ABS(ROUNDDOWN(F224-H224, 3 - (1+INT(LOG10(ABS(F224)))))),""),IF(AND(F224=0,NOT(F224="")),ABS(ROUNDDOWN(F224-H224,0)),""))</f>
        <v/>
      </c>
      <c r="J224" s="4">
        <f>IF(NOT(I224=""),IF(I224&lt;=G224,"match",IF(I224&lt;3*G224,"partial match","no match")),"")</f>
        <v/>
      </c>
      <c r="K224" t="inlineStr">
        <is>
          <t>cm_sum_var_2_5D_comb</t>
        </is>
      </c>
    </row>
    <row r="225" ht="15" customHeight="1" s="10">
      <c r="A225" t="inlineStr">
        <is>
          <t>configuration B</t>
        </is>
      </c>
      <c r="B225" t="inlineStr">
        <is>
          <t>Co-occurrence matrix (2.5D, merged)</t>
        </is>
      </c>
      <c r="C225" t="inlineStr">
        <is>
          <t>Sum entropy</t>
        </is>
      </c>
      <c r="E225" t="inlineStr">
        <is>
          <t>&lt; 3</t>
        </is>
      </c>
      <c r="H225" s="4" t="n"/>
      <c r="I225" s="4">
        <f>IFERROR(IF(NOT(H225=""),ABS(ROUNDDOWN(F225-H225, 3 - (1+INT(LOG10(ABS(F225)))))),""),IF(AND(F225=0,NOT(F225="")),ABS(ROUNDDOWN(F225-H225,0)),""))</f>
        <v/>
      </c>
      <c r="J225" s="4">
        <f>IF(NOT(I225=""),IF(I225&lt;=G225,"match",IF(I225&lt;3*G225,"partial match","no match")),"")</f>
        <v/>
      </c>
      <c r="K225" t="inlineStr">
        <is>
          <t>cm_sum_entr_2_5D_comb</t>
        </is>
      </c>
    </row>
    <row r="226" ht="15" customHeight="1" s="10">
      <c r="A226" t="inlineStr">
        <is>
          <t>configuration B</t>
        </is>
      </c>
      <c r="B226" t="inlineStr">
        <is>
          <t>Co-occurrence matrix (2.5D, merged)</t>
        </is>
      </c>
      <c r="C226" t="inlineStr">
        <is>
          <t>Angular second moment</t>
        </is>
      </c>
      <c r="E226" t="inlineStr">
        <is>
          <t>&lt; 3</t>
        </is>
      </c>
      <c r="H226" s="4" t="n"/>
      <c r="I226" s="4">
        <f>IFERROR(IF(NOT(H226=""),ABS(ROUNDDOWN(F226-H226, 3 - (1+INT(LOG10(ABS(F226)))))),""),IF(AND(F226=0,NOT(F226="")),ABS(ROUNDDOWN(F226-H226,0)),""))</f>
        <v/>
      </c>
      <c r="J226" s="4">
        <f>IF(NOT(I226=""),IF(I226&lt;=G226,"match",IF(I226&lt;3*G226,"partial match","no match")),"")</f>
        <v/>
      </c>
      <c r="K226" t="inlineStr">
        <is>
          <t>cm_energy_2_5D_comb</t>
        </is>
      </c>
    </row>
    <row r="227" ht="15" customHeight="1" s="10">
      <c r="A227" t="inlineStr">
        <is>
          <t>configuration B</t>
        </is>
      </c>
      <c r="B227" t="inlineStr">
        <is>
          <t>Co-occurrence matrix (2.5D, merged)</t>
        </is>
      </c>
      <c r="C227" t="inlineStr">
        <is>
          <t>Contrast</t>
        </is>
      </c>
      <c r="E227" t="inlineStr">
        <is>
          <t>&lt; 3</t>
        </is>
      </c>
      <c r="H227" s="4" t="n"/>
      <c r="I227" s="4">
        <f>IFERROR(IF(NOT(H227=""),ABS(ROUNDDOWN(F227-H227, 3 - (1+INT(LOG10(ABS(F227)))))),""),IF(AND(F227=0,NOT(F227="")),ABS(ROUNDDOWN(F227-H227,0)),""))</f>
        <v/>
      </c>
      <c r="J227" s="4">
        <f>IF(NOT(I227=""),IF(I227&lt;=G227,"match",IF(I227&lt;3*G227,"partial match","no match")),"")</f>
        <v/>
      </c>
      <c r="K227" t="inlineStr">
        <is>
          <t>cm_contrast_2_5D_comb</t>
        </is>
      </c>
    </row>
    <row r="228" ht="15" customHeight="1" s="10">
      <c r="A228" t="inlineStr">
        <is>
          <t>configuration B</t>
        </is>
      </c>
      <c r="B228" t="inlineStr">
        <is>
          <t>Co-occurrence matrix (2.5D, merged)</t>
        </is>
      </c>
      <c r="C228" t="inlineStr">
        <is>
          <t>Dissimilarity</t>
        </is>
      </c>
      <c r="E228" t="inlineStr">
        <is>
          <t>&lt; 3</t>
        </is>
      </c>
      <c r="H228" s="4" t="n"/>
      <c r="I228" s="4">
        <f>IFERROR(IF(NOT(H228=""),ABS(ROUNDDOWN(F228-H228, 3 - (1+INT(LOG10(ABS(F228)))))),""),IF(AND(F228=0,NOT(F228="")),ABS(ROUNDDOWN(F228-H228,0)),""))</f>
        <v/>
      </c>
      <c r="J228" s="4">
        <f>IF(NOT(I228=""),IF(I228&lt;=G228,"match",IF(I228&lt;3*G228,"partial match","no match")),"")</f>
        <v/>
      </c>
      <c r="K228" t="inlineStr">
        <is>
          <t>cm_dissimilarity_2_5D_comb</t>
        </is>
      </c>
    </row>
    <row r="229" ht="15" customHeight="1" s="10">
      <c r="A229" t="inlineStr">
        <is>
          <t>configuration B</t>
        </is>
      </c>
      <c r="B229" t="inlineStr">
        <is>
          <t>Co-occurrence matrix (2.5D, merged)</t>
        </is>
      </c>
      <c r="C229" t="inlineStr">
        <is>
          <t>Inverse difference</t>
        </is>
      </c>
      <c r="E229" t="inlineStr">
        <is>
          <t>&lt; 3</t>
        </is>
      </c>
      <c r="H229" s="4" t="n"/>
      <c r="I229" s="4">
        <f>IFERROR(IF(NOT(H229=""),ABS(ROUNDDOWN(F229-H229, 3 - (1+INT(LOG10(ABS(F229)))))),""),IF(AND(F229=0,NOT(F229="")),ABS(ROUNDDOWN(F229-H229,0)),""))</f>
        <v/>
      </c>
      <c r="J229" s="4">
        <f>IF(NOT(I229=""),IF(I229&lt;=G229,"match",IF(I229&lt;3*G229,"partial match","no match")),"")</f>
        <v/>
      </c>
      <c r="K229" t="inlineStr">
        <is>
          <t>cm_inv_diff_2_5D_comb</t>
        </is>
      </c>
    </row>
    <row r="230" ht="15" customHeight="1" s="10">
      <c r="A230" t="inlineStr">
        <is>
          <t>configuration B</t>
        </is>
      </c>
      <c r="B230" t="inlineStr">
        <is>
          <t>Co-occurrence matrix (2.5D, merged)</t>
        </is>
      </c>
      <c r="C230" t="inlineStr">
        <is>
          <t>Inverse difference normalised</t>
        </is>
      </c>
      <c r="E230" t="inlineStr">
        <is>
          <t>&lt; 3</t>
        </is>
      </c>
      <c r="H230" s="4" t="n"/>
      <c r="I230" s="4">
        <f>IFERROR(IF(NOT(H230=""),ABS(ROUNDDOWN(F230-H230, 3 - (1+INT(LOG10(ABS(F230)))))),""),IF(AND(F230=0,NOT(F230="")),ABS(ROUNDDOWN(F230-H230,0)),""))</f>
        <v/>
      </c>
      <c r="J230" s="4">
        <f>IF(NOT(I230=""),IF(I230&lt;=G230,"match",IF(I230&lt;3*G230,"partial match","no match")),"")</f>
        <v/>
      </c>
      <c r="K230" t="inlineStr">
        <is>
          <t>cm_inv_diff_norm_2_5D_comb</t>
        </is>
      </c>
    </row>
    <row r="231" ht="15" customHeight="1" s="10">
      <c r="A231" t="inlineStr">
        <is>
          <t>configuration B</t>
        </is>
      </c>
      <c r="B231" t="inlineStr">
        <is>
          <t>Co-occurrence matrix (2.5D, merged)</t>
        </is>
      </c>
      <c r="C231" t="inlineStr">
        <is>
          <t>Inverse difference moment</t>
        </is>
      </c>
      <c r="E231" t="inlineStr">
        <is>
          <t>&lt; 3</t>
        </is>
      </c>
      <c r="H231" s="4" t="n"/>
      <c r="I231" s="4">
        <f>IFERROR(IF(NOT(H231=""),ABS(ROUNDDOWN(F231-H231, 3 - (1+INT(LOG10(ABS(F231)))))),""),IF(AND(F231=0,NOT(F231="")),ABS(ROUNDDOWN(F231-H231,0)),""))</f>
        <v/>
      </c>
      <c r="J231" s="4">
        <f>IF(NOT(I231=""),IF(I231&lt;=G231,"match",IF(I231&lt;3*G231,"partial match","no match")),"")</f>
        <v/>
      </c>
      <c r="K231" t="inlineStr">
        <is>
          <t>cm_inv_diff_mom_2_5D_comb</t>
        </is>
      </c>
    </row>
    <row r="232" ht="15" customHeight="1" s="10">
      <c r="A232" t="inlineStr">
        <is>
          <t>configuration B</t>
        </is>
      </c>
      <c r="B232" t="inlineStr">
        <is>
          <t>Co-occurrence matrix (2.5D, merged)</t>
        </is>
      </c>
      <c r="C232" t="inlineStr">
        <is>
          <t>Inverse difference moment normalised</t>
        </is>
      </c>
      <c r="E232" t="inlineStr">
        <is>
          <t>&lt; 3</t>
        </is>
      </c>
      <c r="H232" s="4" t="n"/>
      <c r="I232" s="4">
        <f>IFERROR(IF(NOT(H232=""),ABS(ROUNDDOWN(F232-H232, 3 - (1+INT(LOG10(ABS(F232)))))),""),IF(AND(F232=0,NOT(F232="")),ABS(ROUNDDOWN(F232-H232,0)),""))</f>
        <v/>
      </c>
      <c r="J232" s="4">
        <f>IF(NOT(I232=""),IF(I232&lt;=G232,"match",IF(I232&lt;3*G232,"partial match","no match")),"")</f>
        <v/>
      </c>
      <c r="K232" t="inlineStr">
        <is>
          <t>cm_inv_diff_mom_norm_2_5D_comb</t>
        </is>
      </c>
    </row>
    <row r="233" ht="15" customHeight="1" s="10">
      <c r="A233" t="inlineStr">
        <is>
          <t>configuration B</t>
        </is>
      </c>
      <c r="B233" t="inlineStr">
        <is>
          <t>Co-occurrence matrix (2.5D, merged)</t>
        </is>
      </c>
      <c r="C233" t="inlineStr">
        <is>
          <t>Inverse variance</t>
        </is>
      </c>
      <c r="E233" t="inlineStr">
        <is>
          <t>&lt; 3</t>
        </is>
      </c>
      <c r="H233" s="4" t="n"/>
      <c r="I233" s="4">
        <f>IFERROR(IF(NOT(H233=""),ABS(ROUNDDOWN(F233-H233, 3 - (1+INT(LOG10(ABS(F233)))))),""),IF(AND(F233=0,NOT(F233="")),ABS(ROUNDDOWN(F233-H233,0)),""))</f>
        <v/>
      </c>
      <c r="J233" s="4">
        <f>IF(NOT(I233=""),IF(I233&lt;=G233,"match",IF(I233&lt;3*G233,"partial match","no match")),"")</f>
        <v/>
      </c>
      <c r="K233" t="inlineStr">
        <is>
          <t>cm_inv_var_2_5D_comb</t>
        </is>
      </c>
    </row>
    <row r="234" ht="15" customHeight="1" s="10">
      <c r="A234" t="inlineStr">
        <is>
          <t>configuration B</t>
        </is>
      </c>
      <c r="B234" t="inlineStr">
        <is>
          <t>Co-occurrence matrix (2.5D, merged)</t>
        </is>
      </c>
      <c r="C234" t="inlineStr">
        <is>
          <t>Correlation</t>
        </is>
      </c>
      <c r="E234" t="inlineStr">
        <is>
          <t>&lt; 3</t>
        </is>
      </c>
      <c r="H234" s="4" t="n"/>
      <c r="I234" s="4">
        <f>IFERROR(IF(NOT(H234=""),ABS(ROUNDDOWN(F234-H234, 3 - (1+INT(LOG10(ABS(F234)))))),""),IF(AND(F234=0,NOT(F234="")),ABS(ROUNDDOWN(F234-H234,0)),""))</f>
        <v/>
      </c>
      <c r="J234" s="4">
        <f>IF(NOT(I234=""),IF(I234&lt;=G234,"match",IF(I234&lt;3*G234,"partial match","no match")),"")</f>
        <v/>
      </c>
      <c r="K234" t="inlineStr">
        <is>
          <t>cm_corr_2_5D_comb</t>
        </is>
      </c>
    </row>
    <row r="235" ht="15" customHeight="1" s="10">
      <c r="A235" t="inlineStr">
        <is>
          <t>configuration B</t>
        </is>
      </c>
      <c r="B235" t="inlineStr">
        <is>
          <t>Co-occurrence matrix (2.5D, merged)</t>
        </is>
      </c>
      <c r="C235" t="inlineStr">
        <is>
          <t>Autocorrelation</t>
        </is>
      </c>
      <c r="E235" t="inlineStr">
        <is>
          <t>&lt; 3</t>
        </is>
      </c>
      <c r="H235" s="4" t="n"/>
      <c r="I235" s="4">
        <f>IFERROR(IF(NOT(H235=""),ABS(ROUNDDOWN(F235-H235, 3 - (1+INT(LOG10(ABS(F235)))))),""),IF(AND(F235=0,NOT(F235="")),ABS(ROUNDDOWN(F235-H235,0)),""))</f>
        <v/>
      </c>
      <c r="J235" s="4">
        <f>IF(NOT(I235=""),IF(I235&lt;=G235,"match",IF(I235&lt;3*G235,"partial match","no match")),"")</f>
        <v/>
      </c>
      <c r="K235" t="inlineStr">
        <is>
          <t>cm_auto_corr_2_5D_comb</t>
        </is>
      </c>
    </row>
    <row r="236" ht="15" customHeight="1" s="10">
      <c r="A236" t="inlineStr">
        <is>
          <t>configuration B</t>
        </is>
      </c>
      <c r="B236" t="inlineStr">
        <is>
          <t>Co-occurrence matrix (2.5D, merged)</t>
        </is>
      </c>
      <c r="C236" t="inlineStr">
        <is>
          <t>Cluster tendency</t>
        </is>
      </c>
      <c r="E236" t="inlineStr">
        <is>
          <t>&lt; 3</t>
        </is>
      </c>
      <c r="H236" s="4" t="n"/>
      <c r="I236" s="4">
        <f>IFERROR(IF(NOT(H236=""),ABS(ROUNDDOWN(F236-H236, 3 - (1+INT(LOG10(ABS(F236)))))),""),IF(AND(F236=0,NOT(F236="")),ABS(ROUNDDOWN(F236-H236,0)),""))</f>
        <v/>
      </c>
      <c r="J236" s="4">
        <f>IF(NOT(I236=""),IF(I236&lt;=G236,"match",IF(I236&lt;3*G236,"partial match","no match")),"")</f>
        <v/>
      </c>
      <c r="K236" t="inlineStr">
        <is>
          <t>cm_clust_tend_2_5D_comb</t>
        </is>
      </c>
    </row>
    <row r="237" ht="15" customHeight="1" s="10">
      <c r="A237" t="inlineStr">
        <is>
          <t>configuration B</t>
        </is>
      </c>
      <c r="B237" t="inlineStr">
        <is>
          <t>Co-occurrence matrix (2.5D, merged)</t>
        </is>
      </c>
      <c r="C237" t="inlineStr">
        <is>
          <t>Cluster shade</t>
        </is>
      </c>
      <c r="E237" t="inlineStr">
        <is>
          <t>&lt; 3</t>
        </is>
      </c>
      <c r="H237" s="4" t="n"/>
      <c r="I237" s="4">
        <f>IFERROR(IF(NOT(H237=""),ABS(ROUNDDOWN(F237-H237, 3 - (1+INT(LOG10(ABS(F237)))))),""),IF(AND(F237=0,NOT(F237="")),ABS(ROUNDDOWN(F237-H237,0)),""))</f>
        <v/>
      </c>
      <c r="J237" s="4">
        <f>IF(NOT(I237=""),IF(I237&lt;=G237,"match",IF(I237&lt;3*G237,"partial match","no match")),"")</f>
        <v/>
      </c>
      <c r="K237" t="inlineStr">
        <is>
          <t>cm_clust_shade_2_5D_comb</t>
        </is>
      </c>
    </row>
    <row r="238" ht="15" customHeight="1" s="10">
      <c r="A238" t="inlineStr">
        <is>
          <t>configuration B</t>
        </is>
      </c>
      <c r="B238" t="inlineStr">
        <is>
          <t>Co-occurrence matrix (2.5D, merged)</t>
        </is>
      </c>
      <c r="C238" t="inlineStr">
        <is>
          <t>Cluster prominence</t>
        </is>
      </c>
      <c r="E238" t="inlineStr">
        <is>
          <t>&lt; 3</t>
        </is>
      </c>
      <c r="H238" s="4" t="n"/>
      <c r="I238" s="4">
        <f>IFERROR(IF(NOT(H238=""),ABS(ROUNDDOWN(F238-H238, 3 - (1+INT(LOG10(ABS(F238)))))),""),IF(AND(F238=0,NOT(F238="")),ABS(ROUNDDOWN(F238-H238,0)),""))</f>
        <v/>
      </c>
      <c r="J238" s="4">
        <f>IF(NOT(I238=""),IF(I238&lt;=G238,"match",IF(I238&lt;3*G238,"partial match","no match")),"")</f>
        <v/>
      </c>
      <c r="K238" t="inlineStr">
        <is>
          <t>cm_clust_prom_2_5D_comb</t>
        </is>
      </c>
    </row>
    <row r="239" ht="15" customHeight="1" s="10">
      <c r="A239" t="inlineStr">
        <is>
          <t>configuration B</t>
        </is>
      </c>
      <c r="B239" t="inlineStr">
        <is>
          <t>Co-occurrence matrix (2.5D, merged)</t>
        </is>
      </c>
      <c r="C239" t="inlineStr">
        <is>
          <t>Information correlation 1</t>
        </is>
      </c>
      <c r="E239" t="inlineStr">
        <is>
          <t>&lt; 3</t>
        </is>
      </c>
      <c r="H239" s="4" t="n"/>
      <c r="I239" s="4">
        <f>IFERROR(IF(NOT(H239=""),ABS(ROUNDDOWN(F239-H239, 3 - (1+INT(LOG10(ABS(F239)))))),""),IF(AND(F239=0,NOT(F239="")),ABS(ROUNDDOWN(F239-H239,0)),""))</f>
        <v/>
      </c>
      <c r="J239" s="4">
        <f>IF(NOT(I239=""),IF(I239&lt;=G239,"match",IF(I239&lt;3*G239,"partial match","no match")),"")</f>
        <v/>
      </c>
      <c r="K239" t="inlineStr">
        <is>
          <t>cm_info_corr1_2_5D_comb</t>
        </is>
      </c>
    </row>
    <row r="240" ht="15" customHeight="1" s="10">
      <c r="A240" t="inlineStr">
        <is>
          <t>configuration B</t>
        </is>
      </c>
      <c r="B240" t="inlineStr">
        <is>
          <t>Co-occurrence matrix (2.5D, merged)</t>
        </is>
      </c>
      <c r="C240" t="inlineStr">
        <is>
          <t>Information correlation 2</t>
        </is>
      </c>
      <c r="E240" t="inlineStr">
        <is>
          <t>&lt; 3</t>
        </is>
      </c>
      <c r="H240" s="4" t="n"/>
      <c r="I240" s="4">
        <f>IFERROR(IF(NOT(H240=""),ABS(ROUNDDOWN(F240-H240, 3 - (1+INT(LOG10(ABS(F240)))))),""),IF(AND(F240=0,NOT(F240="")),ABS(ROUNDDOWN(F240-H240,0)),""))</f>
        <v/>
      </c>
      <c r="J240" s="4">
        <f>IF(NOT(I240=""),IF(I240&lt;=G240,"match",IF(I240&lt;3*G240,"partial match","no match")),"")</f>
        <v/>
      </c>
      <c r="K240" t="inlineStr">
        <is>
          <t>cm_info_corr2_2_5D_comb</t>
        </is>
      </c>
    </row>
    <row r="241" ht="15" customHeight="1" s="10">
      <c r="A241" t="inlineStr">
        <is>
          <t>configuration B</t>
        </is>
      </c>
      <c r="B241" t="inlineStr">
        <is>
          <t>Run length matrix (2D, averaged)</t>
        </is>
      </c>
      <c r="C241" t="inlineStr">
        <is>
          <t>Short runs emphasis</t>
        </is>
      </c>
      <c r="E241" t="inlineStr">
        <is>
          <t>6-9</t>
        </is>
      </c>
      <c r="F241" t="n">
        <v>0.781</v>
      </c>
      <c r="G241" t="n">
        <v>0.001</v>
      </c>
      <c r="H241" s="4" t="n"/>
      <c r="I241" s="4">
        <f>IFERROR(IF(NOT(H241=""),ABS(ROUNDDOWN(F241-H241, 3 - (1+INT(LOG10(ABS(F241)))))),""),IF(AND(F241=0,NOT(F241="")),ABS(ROUNDDOWN(F241-H241,0)),""))</f>
        <v/>
      </c>
      <c r="J241" s="4">
        <f>IF(NOT(I241=""),IF(I241&lt;=G241,"match",IF(I241&lt;3*G241,"partial match","no match")),"")</f>
        <v/>
      </c>
      <c r="K241" t="inlineStr">
        <is>
          <t>rlm_sre_2D_avg</t>
        </is>
      </c>
    </row>
    <row r="242" ht="15" customHeight="1" s="10">
      <c r="A242" t="inlineStr">
        <is>
          <t>configuration B</t>
        </is>
      </c>
      <c r="B242" t="inlineStr">
        <is>
          <t>Run length matrix (2D, averaged)</t>
        </is>
      </c>
      <c r="C242" t="inlineStr">
        <is>
          <t>Long runs emphasis</t>
        </is>
      </c>
      <c r="E242" t="inlineStr">
        <is>
          <t>3-5</t>
        </is>
      </c>
      <c r="F242" t="n">
        <v>3.52</v>
      </c>
      <c r="G242" t="n">
        <v>0.04</v>
      </c>
      <c r="H242" s="4" t="n"/>
      <c r="I242" s="4">
        <f>IFERROR(IF(NOT(H242=""),ABS(ROUNDDOWN(F242-H242, 3 - (1+INT(LOG10(ABS(F242)))))),""),IF(AND(F242=0,NOT(F242="")),ABS(ROUNDDOWN(F242-H242,0)),""))</f>
        <v/>
      </c>
      <c r="J242" s="4">
        <f>IF(NOT(I242=""),IF(I242&lt;=G242,"match",IF(I242&lt;3*G242,"partial match","no match")),"")</f>
        <v/>
      </c>
      <c r="K242" t="inlineStr">
        <is>
          <t>rlm_lre_2D_avg</t>
        </is>
      </c>
    </row>
    <row r="243" ht="15" customHeight="1" s="10">
      <c r="A243" t="inlineStr">
        <is>
          <t>configuration B</t>
        </is>
      </c>
      <c r="B243" t="inlineStr">
        <is>
          <t>Run length matrix (2D, averaged)</t>
        </is>
      </c>
      <c r="C243" t="inlineStr">
        <is>
          <t>Low grey level run emphasis</t>
        </is>
      </c>
      <c r="E243" t="inlineStr">
        <is>
          <t>3-5</t>
        </is>
      </c>
      <c r="F243" t="n">
        <v>0.0331</v>
      </c>
      <c r="G243" t="n">
        <v>0.0005999999999999999</v>
      </c>
      <c r="H243" s="4" t="n"/>
      <c r="I243" s="4">
        <f>IFERROR(IF(NOT(H243=""),ABS(ROUNDDOWN(F243-H243, 3 - (1+INT(LOG10(ABS(F243)))))),""),IF(AND(F243=0,NOT(F243="")),ABS(ROUNDDOWN(F243-H243,0)),""))</f>
        <v/>
      </c>
      <c r="J243" s="4">
        <f>IF(NOT(I243=""),IF(I243&lt;=G243,"match",IF(I243&lt;3*G243,"partial match","no match")),"")</f>
        <v/>
      </c>
      <c r="K243" t="inlineStr">
        <is>
          <t>rlm_lgre_2D_avg</t>
        </is>
      </c>
    </row>
    <row r="244" ht="15" customHeight="1" s="10">
      <c r="A244" t="inlineStr">
        <is>
          <t>configuration B</t>
        </is>
      </c>
      <c r="B244" t="inlineStr">
        <is>
          <t>Run length matrix (2D, averaged)</t>
        </is>
      </c>
      <c r="C244" t="inlineStr">
        <is>
          <t>High grey level run emphasis</t>
        </is>
      </c>
      <c r="E244" t="inlineStr">
        <is>
          <t>6-9</t>
        </is>
      </c>
      <c r="F244" t="n">
        <v>342</v>
      </c>
      <c r="G244" t="n">
        <v>11</v>
      </c>
      <c r="H244" s="4" t="n"/>
      <c r="I244" s="4">
        <f>IFERROR(IF(NOT(H244=""),ABS(ROUNDDOWN(F244-H244, 3 - (1+INT(LOG10(ABS(F244)))))),""),IF(AND(F244=0,NOT(F244="")),ABS(ROUNDDOWN(F244-H244,0)),""))</f>
        <v/>
      </c>
      <c r="J244" s="4">
        <f>IF(NOT(I244=""),IF(I244&lt;=G244,"match",IF(I244&lt;3*G244,"partial match","no match")),"")</f>
        <v/>
      </c>
      <c r="K244" t="inlineStr">
        <is>
          <t>rlm_hgre_2D_avg</t>
        </is>
      </c>
    </row>
    <row r="245" ht="15" customHeight="1" s="10">
      <c r="A245" t="inlineStr">
        <is>
          <t>configuration B</t>
        </is>
      </c>
      <c r="B245" t="inlineStr">
        <is>
          <t>Run length matrix (2D, averaged)</t>
        </is>
      </c>
      <c r="C245" t="inlineStr">
        <is>
          <t>Short run low grey level emphasis</t>
        </is>
      </c>
      <c r="E245" t="inlineStr">
        <is>
          <t>3-5</t>
        </is>
      </c>
      <c r="F245" t="n">
        <v>0.0314</v>
      </c>
      <c r="G245" t="n">
        <v>0.0005999999999999999</v>
      </c>
      <c r="H245" s="4" t="n"/>
      <c r="I245" s="4">
        <f>IFERROR(IF(NOT(H245=""),ABS(ROUNDDOWN(F245-H245, 3 - (1+INT(LOG10(ABS(F245)))))),""),IF(AND(F245=0,NOT(F245="")),ABS(ROUNDDOWN(F245-H245,0)),""))</f>
        <v/>
      </c>
      <c r="J245" s="4">
        <f>IF(NOT(I245=""),IF(I245&lt;=G245,"match",IF(I245&lt;3*G245,"partial match","no match")),"")</f>
        <v/>
      </c>
      <c r="K245" t="inlineStr">
        <is>
          <t>rlm_srlge_2D_avg</t>
        </is>
      </c>
    </row>
    <row r="246" ht="15" customHeight="1" s="10">
      <c r="A246" t="inlineStr">
        <is>
          <t>configuration B</t>
        </is>
      </c>
      <c r="B246" t="inlineStr">
        <is>
          <t>Run length matrix (2D, averaged)</t>
        </is>
      </c>
      <c r="C246" t="inlineStr">
        <is>
          <t>Short run high grey level emphasis</t>
        </is>
      </c>
      <c r="E246" t="inlineStr">
        <is>
          <t>3-5</t>
        </is>
      </c>
      <c r="F246" t="n">
        <v>251</v>
      </c>
      <c r="G246" t="n">
        <v>8</v>
      </c>
      <c r="H246" s="4" t="n"/>
      <c r="I246" s="4">
        <f>IFERROR(IF(NOT(H246=""),ABS(ROUNDDOWN(F246-H246, 3 - (1+INT(LOG10(ABS(F246)))))),""),IF(AND(F246=0,NOT(F246="")),ABS(ROUNDDOWN(F246-H246,0)),""))</f>
        <v/>
      </c>
      <c r="J246" s="4">
        <f>IF(NOT(I246=""),IF(I246&lt;=G246,"match",IF(I246&lt;3*G246,"partial match","no match")),"")</f>
        <v/>
      </c>
      <c r="K246" t="inlineStr">
        <is>
          <t>rlm_srhge_2D_avg</t>
        </is>
      </c>
    </row>
    <row r="247" ht="15" customHeight="1" s="10">
      <c r="A247" t="inlineStr">
        <is>
          <t>configuration B</t>
        </is>
      </c>
      <c r="B247" t="inlineStr">
        <is>
          <t>Run length matrix (2D, averaged)</t>
        </is>
      </c>
      <c r="C247" t="inlineStr">
        <is>
          <t>Long run low grey level emphasis</t>
        </is>
      </c>
      <c r="E247" t="inlineStr">
        <is>
          <t>3-5</t>
        </is>
      </c>
      <c r="F247" t="n">
        <v>0.0443</v>
      </c>
      <c r="G247" t="n">
        <v>0.0009</v>
      </c>
      <c r="H247" s="4" t="n"/>
      <c r="I247" s="4">
        <f>IFERROR(IF(NOT(H247=""),ABS(ROUNDDOWN(F247-H247, 3 - (1+INT(LOG10(ABS(F247)))))),""),IF(AND(F247=0,NOT(F247="")),ABS(ROUNDDOWN(F247-H247,0)),""))</f>
        <v/>
      </c>
      <c r="J247" s="4">
        <f>IF(NOT(I247=""),IF(I247&lt;=G247,"match",IF(I247&lt;3*G247,"partial match","no match")),"")</f>
        <v/>
      </c>
      <c r="K247" t="inlineStr">
        <is>
          <t>rlm_lrlge_2D_avg</t>
        </is>
      </c>
    </row>
    <row r="248" ht="15" customHeight="1" s="10">
      <c r="A248" t="inlineStr">
        <is>
          <t>configuration B</t>
        </is>
      </c>
      <c r="B248" t="inlineStr">
        <is>
          <t>Run length matrix (2D, averaged)</t>
        </is>
      </c>
      <c r="C248" t="inlineStr">
        <is>
          <t>Long run high grey level emphasis</t>
        </is>
      </c>
      <c r="E248" t="inlineStr">
        <is>
          <t>6-9</t>
        </is>
      </c>
      <c r="F248" t="n">
        <v>1390</v>
      </c>
      <c r="G248" t="n">
        <v>30</v>
      </c>
      <c r="H248" s="4" t="n"/>
      <c r="I248" s="4">
        <f>IFERROR(IF(NOT(H248=""),ABS(ROUNDDOWN(F248-H248, 3 - (1+INT(LOG10(ABS(F248)))))),""),IF(AND(F248=0,NOT(F248="")),ABS(ROUNDDOWN(F248-H248,0)),""))</f>
        <v/>
      </c>
      <c r="J248" s="4">
        <f>IF(NOT(I248=""),IF(I248&lt;=G248,"match",IF(I248&lt;3*G248,"partial match","no match")),"")</f>
        <v/>
      </c>
      <c r="K248" t="inlineStr">
        <is>
          <t>rlm_lrhge_2D_avg</t>
        </is>
      </c>
    </row>
    <row r="249" ht="15" customHeight="1" s="10">
      <c r="A249" t="inlineStr">
        <is>
          <t>configuration B</t>
        </is>
      </c>
      <c r="B249" t="inlineStr">
        <is>
          <t>Run length matrix (2D, averaged)</t>
        </is>
      </c>
      <c r="C249" t="inlineStr">
        <is>
          <t>Grey level non-uniformity</t>
        </is>
      </c>
      <c r="E249" t="inlineStr">
        <is>
          <t>3-5</t>
        </is>
      </c>
      <c r="F249" t="n">
        <v>107</v>
      </c>
      <c r="G249" t="n">
        <v>1</v>
      </c>
      <c r="H249" s="4" t="n"/>
      <c r="I249" s="4">
        <f>IFERROR(IF(NOT(H249=""),ABS(ROUNDDOWN(F249-H249, 3 - (1+INT(LOG10(ABS(F249)))))),""),IF(AND(F249=0,NOT(F249="")),ABS(ROUNDDOWN(F249-H249,0)),""))</f>
        <v/>
      </c>
      <c r="J249" s="4">
        <f>IF(NOT(I249=""),IF(I249&lt;=G249,"match",IF(I249&lt;3*G249,"partial match","no match")),"")</f>
        <v/>
      </c>
      <c r="K249" t="inlineStr">
        <is>
          <t>rlm_glnu_2D_avg</t>
        </is>
      </c>
    </row>
    <row r="250" ht="15" customHeight="1" s="10">
      <c r="A250" t="inlineStr">
        <is>
          <t>configuration B</t>
        </is>
      </c>
      <c r="B250" t="inlineStr">
        <is>
          <t>Run length matrix (2D, averaged)</t>
        </is>
      </c>
      <c r="C250" t="inlineStr">
        <is>
          <t>Grey level non-uniformity normalised</t>
        </is>
      </c>
      <c r="E250" t="inlineStr">
        <is>
          <t>6-9</t>
        </is>
      </c>
      <c r="F250" t="n">
        <v>0.145</v>
      </c>
      <c r="G250" t="n">
        <v>0.001</v>
      </c>
      <c r="H250" s="4" t="n"/>
      <c r="I250" s="4">
        <f>IFERROR(IF(NOT(H250=""),ABS(ROUNDDOWN(F250-H250, 3 - (1+INT(LOG10(ABS(F250)))))),""),IF(AND(F250=0,NOT(F250="")),ABS(ROUNDDOWN(F250-H250,0)),""))</f>
        <v/>
      </c>
      <c r="J250" s="4">
        <f>IF(NOT(I250=""),IF(I250&lt;=G250,"match",IF(I250&lt;3*G250,"partial match","no match")),"")</f>
        <v/>
      </c>
      <c r="K250" t="inlineStr">
        <is>
          <t>rlm_glnu_norm_2D_avg</t>
        </is>
      </c>
    </row>
    <row r="251" ht="15" customHeight="1" s="10">
      <c r="A251" t="inlineStr">
        <is>
          <t>configuration B</t>
        </is>
      </c>
      <c r="B251" t="inlineStr">
        <is>
          <t>Run length matrix (2D, averaged)</t>
        </is>
      </c>
      <c r="C251" t="inlineStr">
        <is>
          <t>Run length non-uniformity</t>
        </is>
      </c>
      <c r="E251" t="inlineStr">
        <is>
          <t>3-5</t>
        </is>
      </c>
      <c r="F251" t="n">
        <v>365</v>
      </c>
      <c r="G251" t="n">
        <v>3</v>
      </c>
      <c r="H251" s="4" t="n"/>
      <c r="I251" s="4">
        <f>IFERROR(IF(NOT(H251=""),ABS(ROUNDDOWN(F251-H251, 3 - (1+INT(LOG10(ABS(F251)))))),""),IF(AND(F251=0,NOT(F251="")),ABS(ROUNDDOWN(F251-H251,0)),""))</f>
        <v/>
      </c>
      <c r="J251" s="4">
        <f>IF(NOT(I251=""),IF(I251&lt;=G251,"match",IF(I251&lt;3*G251,"partial match","no match")),"")</f>
        <v/>
      </c>
      <c r="K251" t="inlineStr">
        <is>
          <t>rlm_rlnu_2D_avg</t>
        </is>
      </c>
    </row>
    <row r="252" ht="15" customHeight="1" s="10">
      <c r="A252" t="inlineStr">
        <is>
          <t>configuration B</t>
        </is>
      </c>
      <c r="B252" t="inlineStr">
        <is>
          <t>Run length matrix (2D, averaged)</t>
        </is>
      </c>
      <c r="C252" t="inlineStr">
        <is>
          <t>Run length non-uniformity normalised</t>
        </is>
      </c>
      <c r="E252" t="inlineStr">
        <is>
          <t>6-9</t>
        </is>
      </c>
      <c r="F252" t="n">
        <v>0.578</v>
      </c>
      <c r="G252" t="n">
        <v>0.001</v>
      </c>
      <c r="H252" s="4" t="n"/>
      <c r="I252" s="4">
        <f>IFERROR(IF(NOT(H252=""),ABS(ROUNDDOWN(F252-H252, 3 - (1+INT(LOG10(ABS(F252)))))),""),IF(AND(F252=0,NOT(F252="")),ABS(ROUNDDOWN(F252-H252,0)),""))</f>
        <v/>
      </c>
      <c r="J252" s="4">
        <f>IF(NOT(I252=""),IF(I252&lt;=G252,"match",IF(I252&lt;3*G252,"partial match","no match")),"")</f>
        <v/>
      </c>
      <c r="K252" t="inlineStr">
        <is>
          <t>rlm_rlnu_norm_2D_avg</t>
        </is>
      </c>
    </row>
    <row r="253" ht="15" customHeight="1" s="10">
      <c r="A253" t="inlineStr">
        <is>
          <t>configuration B</t>
        </is>
      </c>
      <c r="B253" t="inlineStr">
        <is>
          <t>Run length matrix (2D, averaged)</t>
        </is>
      </c>
      <c r="C253" t="inlineStr">
        <is>
          <t>Run percentage</t>
        </is>
      </c>
      <c r="E253" t="inlineStr">
        <is>
          <t>3-5</t>
        </is>
      </c>
      <c r="F253" t="n">
        <v>0.681</v>
      </c>
      <c r="G253" t="n">
        <v>0.002</v>
      </c>
      <c r="H253" s="4" t="n"/>
      <c r="I253" s="4">
        <f>IFERROR(IF(NOT(H253=""),ABS(ROUNDDOWN(F253-H253, 3 - (1+INT(LOG10(ABS(F253)))))),""),IF(AND(F253=0,NOT(F253="")),ABS(ROUNDDOWN(F253-H253,0)),""))</f>
        <v/>
      </c>
      <c r="J253" s="4">
        <f>IF(NOT(I253=""),IF(I253&lt;=G253,"match",IF(I253&lt;3*G253,"partial match","no match")),"")</f>
        <v/>
      </c>
      <c r="K253" t="inlineStr">
        <is>
          <t>rlm_r_perc_2D_avg</t>
        </is>
      </c>
    </row>
    <row r="254" ht="15" customHeight="1" s="10">
      <c r="A254" t="inlineStr">
        <is>
          <t>configuration B</t>
        </is>
      </c>
      <c r="B254" t="inlineStr">
        <is>
          <t>Run length matrix (2D, averaged)</t>
        </is>
      </c>
      <c r="C254" t="inlineStr">
        <is>
          <t>Grey level variance</t>
        </is>
      </c>
      <c r="E254" t="inlineStr">
        <is>
          <t>3-5</t>
        </is>
      </c>
      <c r="F254" t="n">
        <v>28.3</v>
      </c>
      <c r="G254" t="n">
        <v>0.3</v>
      </c>
      <c r="H254" s="4" t="n"/>
      <c r="I254" s="4">
        <f>IFERROR(IF(NOT(H254=""),ABS(ROUNDDOWN(F254-H254, 3 - (1+INT(LOG10(ABS(F254)))))),""),IF(AND(F254=0,NOT(F254="")),ABS(ROUNDDOWN(F254-H254,0)),""))</f>
        <v/>
      </c>
      <c r="J254" s="4">
        <f>IF(NOT(I254=""),IF(I254&lt;=G254,"match",IF(I254&lt;3*G254,"partial match","no match")),"")</f>
        <v/>
      </c>
      <c r="K254" t="inlineStr">
        <is>
          <t>rlm_gl_var_2D_avg</t>
        </is>
      </c>
    </row>
    <row r="255" ht="15" customHeight="1" s="10">
      <c r="A255" t="inlineStr">
        <is>
          <t>configuration B</t>
        </is>
      </c>
      <c r="B255" t="inlineStr">
        <is>
          <t>Run length matrix (2D, averaged)</t>
        </is>
      </c>
      <c r="C255" t="inlineStr">
        <is>
          <t>Run length variance</t>
        </is>
      </c>
      <c r="E255" t="inlineStr">
        <is>
          <t>3-5</t>
        </is>
      </c>
      <c r="F255" t="n">
        <v>1.22</v>
      </c>
      <c r="G255" t="n">
        <v>0.03</v>
      </c>
      <c r="H255" s="4" t="n"/>
      <c r="I255" s="4">
        <f>IFERROR(IF(NOT(H255=""),ABS(ROUNDDOWN(F255-H255, 3 - (1+INT(LOG10(ABS(F255)))))),""),IF(AND(F255=0,NOT(F255="")),ABS(ROUNDDOWN(F255-H255,0)),""))</f>
        <v/>
      </c>
      <c r="J255" s="4">
        <f>IF(NOT(I255=""),IF(I255&lt;=G255,"match",IF(I255&lt;3*G255,"partial match","no match")),"")</f>
        <v/>
      </c>
      <c r="K255" t="inlineStr">
        <is>
          <t>rlm_rl_var_2D_avg</t>
        </is>
      </c>
    </row>
    <row r="256" ht="15" customHeight="1" s="10">
      <c r="A256" t="inlineStr">
        <is>
          <t>configuration B</t>
        </is>
      </c>
      <c r="B256" t="inlineStr">
        <is>
          <t>Run length matrix (2D, averaged)</t>
        </is>
      </c>
      <c r="C256" t="inlineStr">
        <is>
          <t>Run entropy</t>
        </is>
      </c>
      <c r="E256" t="inlineStr">
        <is>
          <t>6-9</t>
        </is>
      </c>
      <c r="F256" t="n">
        <v>4.53</v>
      </c>
      <c r="G256" t="n">
        <v>0.02</v>
      </c>
      <c r="H256" s="4" t="n"/>
      <c r="I256" s="4">
        <f>IFERROR(IF(NOT(H256=""),ABS(ROUNDDOWN(F256-H256, 3 - (1+INT(LOG10(ABS(F256)))))),""),IF(AND(F256=0,NOT(F256="")),ABS(ROUNDDOWN(F256-H256,0)),""))</f>
        <v/>
      </c>
      <c r="J256" s="4">
        <f>IF(NOT(I256=""),IF(I256&lt;=G256,"match",IF(I256&lt;3*G256,"partial match","no match")),"")</f>
        <v/>
      </c>
      <c r="K256" t="inlineStr">
        <is>
          <t>rlm_rl_entr_2D_avg</t>
        </is>
      </c>
    </row>
    <row r="257" ht="15" customHeight="1" s="10">
      <c r="A257" t="inlineStr">
        <is>
          <t>configuration B</t>
        </is>
      </c>
      <c r="B257" t="inlineStr">
        <is>
          <t>Run length matrix (2D, slice-merged)</t>
        </is>
      </c>
      <c r="C257" t="inlineStr">
        <is>
          <t>Short runs emphasis</t>
        </is>
      </c>
      <c r="E257" t="inlineStr">
        <is>
          <t>3-5</t>
        </is>
      </c>
      <c r="F257" t="n">
        <v>0.782</v>
      </c>
      <c r="G257" t="n">
        <v>0.001</v>
      </c>
      <c r="H257" s="4" t="n"/>
      <c r="I257" s="4">
        <f>IFERROR(IF(NOT(H257=""),ABS(ROUNDDOWN(F257-H257, 3 - (1+INT(LOG10(ABS(F257)))))),""),IF(AND(F257=0,NOT(F257="")),ABS(ROUNDDOWN(F257-H257,0)),""))</f>
        <v/>
      </c>
      <c r="J257" s="4">
        <f>IF(NOT(I257=""),IF(I257&lt;=G257,"match",IF(I257&lt;3*G257,"partial match","no match")),"")</f>
        <v/>
      </c>
      <c r="K257" t="inlineStr">
        <is>
          <t>rlm_sre_2D_comb</t>
        </is>
      </c>
    </row>
    <row r="258" ht="15" customHeight="1" s="10">
      <c r="A258" t="inlineStr">
        <is>
          <t>configuration B</t>
        </is>
      </c>
      <c r="B258" t="inlineStr">
        <is>
          <t>Run length matrix (2D, slice-merged)</t>
        </is>
      </c>
      <c r="C258" t="inlineStr">
        <is>
          <t>Long runs emphasis</t>
        </is>
      </c>
      <c r="E258" t="inlineStr">
        <is>
          <t>3-5</t>
        </is>
      </c>
      <c r="F258" t="n">
        <v>3.5</v>
      </c>
      <c r="G258" t="n">
        <v>0.04</v>
      </c>
      <c r="H258" s="4" t="n"/>
      <c r="I258" s="4">
        <f>IFERROR(IF(NOT(H258=""),ABS(ROUNDDOWN(F258-H258, 3 - (1+INT(LOG10(ABS(F258)))))),""),IF(AND(F258=0,NOT(F258="")),ABS(ROUNDDOWN(F258-H258,0)),""))</f>
        <v/>
      </c>
      <c r="J258" s="4">
        <f>IF(NOT(I258=""),IF(I258&lt;=G258,"match",IF(I258&lt;3*G258,"partial match","no match")),"")</f>
        <v/>
      </c>
      <c r="K258" t="inlineStr">
        <is>
          <t>rlm_lre_2D_comb</t>
        </is>
      </c>
    </row>
    <row r="259" ht="15" customHeight="1" s="10">
      <c r="A259" t="inlineStr">
        <is>
          <t>configuration B</t>
        </is>
      </c>
      <c r="B259" t="inlineStr">
        <is>
          <t>Run length matrix (2D, slice-merged)</t>
        </is>
      </c>
      <c r="C259" t="inlineStr">
        <is>
          <t>Low grey level run emphasis</t>
        </is>
      </c>
      <c r="E259" t="inlineStr">
        <is>
          <t>3-5</t>
        </is>
      </c>
      <c r="F259" t="n">
        <v>0.033</v>
      </c>
      <c r="G259" t="n">
        <v>0.0005999999999999999</v>
      </c>
      <c r="H259" s="4" t="n"/>
      <c r="I259" s="4">
        <f>IFERROR(IF(NOT(H259=""),ABS(ROUNDDOWN(F259-H259, 3 - (1+INT(LOG10(ABS(F259)))))),""),IF(AND(F259=0,NOT(F259="")),ABS(ROUNDDOWN(F259-H259,0)),""))</f>
        <v/>
      </c>
      <c r="J259" s="4">
        <f>IF(NOT(I259=""),IF(I259&lt;=G259,"match",IF(I259&lt;3*G259,"partial match","no match")),"")</f>
        <v/>
      </c>
      <c r="K259" t="inlineStr">
        <is>
          <t>rlm_lgre_2D_comb</t>
        </is>
      </c>
    </row>
    <row r="260" ht="15" customHeight="1" s="10">
      <c r="A260" t="inlineStr">
        <is>
          <t>configuration B</t>
        </is>
      </c>
      <c r="B260" t="inlineStr">
        <is>
          <t>Run length matrix (2D, slice-merged)</t>
        </is>
      </c>
      <c r="C260" t="inlineStr">
        <is>
          <t>High grey level run emphasis</t>
        </is>
      </c>
      <c r="E260" t="inlineStr">
        <is>
          <t>3-5</t>
        </is>
      </c>
      <c r="F260" t="n">
        <v>342</v>
      </c>
      <c r="G260" t="n">
        <v>11</v>
      </c>
      <c r="H260" s="4" t="n"/>
      <c r="I260" s="4">
        <f>IFERROR(IF(NOT(H260=""),ABS(ROUNDDOWN(F260-H260, 3 - (1+INT(LOG10(ABS(F260)))))),""),IF(AND(F260=0,NOT(F260="")),ABS(ROUNDDOWN(F260-H260,0)),""))</f>
        <v/>
      </c>
      <c r="J260" s="4">
        <f>IF(NOT(I260=""),IF(I260&lt;=G260,"match",IF(I260&lt;3*G260,"partial match","no match")),"")</f>
        <v/>
      </c>
      <c r="K260" t="inlineStr">
        <is>
          <t>rlm_hgre_2D_comb</t>
        </is>
      </c>
    </row>
    <row r="261" ht="15" customHeight="1" s="10">
      <c r="A261" t="inlineStr">
        <is>
          <t>configuration B</t>
        </is>
      </c>
      <c r="B261" t="inlineStr">
        <is>
          <t>Run length matrix (2D, slice-merged)</t>
        </is>
      </c>
      <c r="C261" t="inlineStr">
        <is>
          <t>Short run low grey level emphasis</t>
        </is>
      </c>
      <c r="E261" t="inlineStr">
        <is>
          <t>3-5</t>
        </is>
      </c>
      <c r="F261" t="n">
        <v>0.0313</v>
      </c>
      <c r="G261" t="n">
        <v>0.0005999999999999999</v>
      </c>
      <c r="H261" s="4" t="n"/>
      <c r="I261" s="4">
        <f>IFERROR(IF(NOT(H261=""),ABS(ROUNDDOWN(F261-H261, 3 - (1+INT(LOG10(ABS(F261)))))),""),IF(AND(F261=0,NOT(F261="")),ABS(ROUNDDOWN(F261-H261,0)),""))</f>
        <v/>
      </c>
      <c r="J261" s="4">
        <f>IF(NOT(I261=""),IF(I261&lt;=G261,"match",IF(I261&lt;3*G261,"partial match","no match")),"")</f>
        <v/>
      </c>
      <c r="K261" t="inlineStr">
        <is>
          <t>rlm_srlge_2D_comb</t>
        </is>
      </c>
    </row>
    <row r="262" ht="15" customHeight="1" s="10">
      <c r="A262" t="inlineStr">
        <is>
          <t>configuration B</t>
        </is>
      </c>
      <c r="B262" t="inlineStr">
        <is>
          <t>Run length matrix (2D, slice-merged)</t>
        </is>
      </c>
      <c r="C262" t="inlineStr">
        <is>
          <t>Short run high grey level emphasis</t>
        </is>
      </c>
      <c r="E262" t="inlineStr">
        <is>
          <t>3-5</t>
        </is>
      </c>
      <c r="F262" t="n">
        <v>252</v>
      </c>
      <c r="G262" t="n">
        <v>8</v>
      </c>
      <c r="H262" s="4" t="n"/>
      <c r="I262" s="4">
        <f>IFERROR(IF(NOT(H262=""),ABS(ROUNDDOWN(F262-H262, 3 - (1+INT(LOG10(ABS(F262)))))),""),IF(AND(F262=0,NOT(F262="")),ABS(ROUNDDOWN(F262-H262,0)),""))</f>
        <v/>
      </c>
      <c r="J262" s="4">
        <f>IF(NOT(I262=""),IF(I262&lt;=G262,"match",IF(I262&lt;3*G262,"partial match","no match")),"")</f>
        <v/>
      </c>
      <c r="K262" t="inlineStr">
        <is>
          <t>rlm_srhge_2D_comb</t>
        </is>
      </c>
    </row>
    <row r="263" ht="15" customHeight="1" s="10">
      <c r="A263" t="inlineStr">
        <is>
          <t>configuration B</t>
        </is>
      </c>
      <c r="B263" t="inlineStr">
        <is>
          <t>Run length matrix (2D, slice-merged)</t>
        </is>
      </c>
      <c r="C263" t="inlineStr">
        <is>
          <t>Long run low grey level emphasis</t>
        </is>
      </c>
      <c r="E263" t="inlineStr">
        <is>
          <t>3-5</t>
        </is>
      </c>
      <c r="F263" t="n">
        <v>0.0442</v>
      </c>
      <c r="G263" t="n">
        <v>0.0009</v>
      </c>
      <c r="H263" s="4" t="n"/>
      <c r="I263" s="4">
        <f>IFERROR(IF(NOT(H263=""),ABS(ROUNDDOWN(F263-H263, 3 - (1+INT(LOG10(ABS(F263)))))),""),IF(AND(F263=0,NOT(F263="")),ABS(ROUNDDOWN(F263-H263,0)),""))</f>
        <v/>
      </c>
      <c r="J263" s="4">
        <f>IF(NOT(I263=""),IF(I263&lt;=G263,"match",IF(I263&lt;3*G263,"partial match","no match")),"")</f>
        <v/>
      </c>
      <c r="K263" t="inlineStr">
        <is>
          <t>rlm_lrlge_2D_comb</t>
        </is>
      </c>
    </row>
    <row r="264" ht="15" customHeight="1" s="10">
      <c r="A264" t="inlineStr">
        <is>
          <t>configuration B</t>
        </is>
      </c>
      <c r="B264" t="inlineStr">
        <is>
          <t>Run length matrix (2D, slice-merged)</t>
        </is>
      </c>
      <c r="C264" t="inlineStr">
        <is>
          <t>Long run high grey level emphasis</t>
        </is>
      </c>
      <c r="E264" t="inlineStr">
        <is>
          <t>3-5</t>
        </is>
      </c>
      <c r="F264" t="n">
        <v>1380</v>
      </c>
      <c r="G264" t="n">
        <v>30</v>
      </c>
      <c r="H264" s="4" t="n"/>
      <c r="I264" s="4">
        <f>IFERROR(IF(NOT(H264=""),ABS(ROUNDDOWN(F264-H264, 3 - (1+INT(LOG10(ABS(F264)))))),""),IF(AND(F264=0,NOT(F264="")),ABS(ROUNDDOWN(F264-H264,0)),""))</f>
        <v/>
      </c>
      <c r="J264" s="4">
        <f>IF(NOT(I264=""),IF(I264&lt;=G264,"match",IF(I264&lt;3*G264,"partial match","no match")),"")</f>
        <v/>
      </c>
      <c r="K264" t="inlineStr">
        <is>
          <t>rlm_lrhge_2D_comb</t>
        </is>
      </c>
    </row>
    <row r="265" ht="15" customHeight="1" s="10">
      <c r="A265" t="inlineStr">
        <is>
          <t>configuration B</t>
        </is>
      </c>
      <c r="B265" t="inlineStr">
        <is>
          <t>Run length matrix (2D, slice-merged)</t>
        </is>
      </c>
      <c r="C265" t="inlineStr">
        <is>
          <t>Grey level non-uniformity</t>
        </is>
      </c>
      <c r="E265" t="inlineStr">
        <is>
          <t>3-5</t>
        </is>
      </c>
      <c r="F265" t="n">
        <v>427</v>
      </c>
      <c r="G265" t="n">
        <v>1</v>
      </c>
      <c r="H265" s="4" t="n"/>
      <c r="I265" s="4">
        <f>IFERROR(IF(NOT(H265=""),ABS(ROUNDDOWN(F265-H265, 3 - (1+INT(LOG10(ABS(F265)))))),""),IF(AND(F265=0,NOT(F265="")),ABS(ROUNDDOWN(F265-H265,0)),""))</f>
        <v/>
      </c>
      <c r="J265" s="4">
        <f>IF(NOT(I265=""),IF(I265&lt;=G265,"match",IF(I265&lt;3*G265,"partial match","no match")),"")</f>
        <v/>
      </c>
      <c r="K265" t="inlineStr">
        <is>
          <t>rlm_glnu_2D_comb</t>
        </is>
      </c>
    </row>
    <row r="266" ht="15" customHeight="1" s="10">
      <c r="A266" t="inlineStr">
        <is>
          <t>configuration B</t>
        </is>
      </c>
      <c r="B266" t="inlineStr">
        <is>
          <t>Run length matrix (2D, slice-merged)</t>
        </is>
      </c>
      <c r="C266" t="inlineStr">
        <is>
          <t>Grey level non-uniformity normalised</t>
        </is>
      </c>
      <c r="E266" t="inlineStr">
        <is>
          <t>3-5</t>
        </is>
      </c>
      <c r="F266" t="n">
        <v>0.145</v>
      </c>
      <c r="G266" t="n">
        <v>0.001</v>
      </c>
      <c r="H266" s="4" t="n"/>
      <c r="I266" s="4">
        <f>IFERROR(IF(NOT(H266=""),ABS(ROUNDDOWN(F266-H266, 3 - (1+INT(LOG10(ABS(F266)))))),""),IF(AND(F266=0,NOT(F266="")),ABS(ROUNDDOWN(F266-H266,0)),""))</f>
        <v/>
      </c>
      <c r="J266" s="4">
        <f>IF(NOT(I266=""),IF(I266&lt;=G266,"match",IF(I266&lt;3*G266,"partial match","no match")),"")</f>
        <v/>
      </c>
      <c r="K266" t="inlineStr">
        <is>
          <t>rlm_glnu_norm_2D_comb</t>
        </is>
      </c>
    </row>
    <row r="267" ht="15" customHeight="1" s="10">
      <c r="A267" t="inlineStr">
        <is>
          <t>configuration B</t>
        </is>
      </c>
      <c r="B267" t="inlineStr">
        <is>
          <t>Run length matrix (2D, slice-merged)</t>
        </is>
      </c>
      <c r="C267" t="inlineStr">
        <is>
          <t>Run length non-uniformity</t>
        </is>
      </c>
      <c r="E267" t="inlineStr">
        <is>
          <t>3-5</t>
        </is>
      </c>
      <c r="F267" t="n">
        <v>1460</v>
      </c>
      <c r="G267" t="n">
        <v>10</v>
      </c>
      <c r="H267" s="4" t="n"/>
      <c r="I267" s="4">
        <f>IFERROR(IF(NOT(H267=""),ABS(ROUNDDOWN(F267-H267, 3 - (1+INT(LOG10(ABS(F267)))))),""),IF(AND(F267=0,NOT(F267="")),ABS(ROUNDDOWN(F267-H267,0)),""))</f>
        <v/>
      </c>
      <c r="J267" s="4">
        <f>IF(NOT(I267=""),IF(I267&lt;=G267,"match",IF(I267&lt;3*G267,"partial match","no match")),"")</f>
        <v/>
      </c>
      <c r="K267" t="inlineStr">
        <is>
          <t>rlm_rlnu_2D_comb</t>
        </is>
      </c>
    </row>
    <row r="268" ht="15" customHeight="1" s="10">
      <c r="A268" t="inlineStr">
        <is>
          <t>configuration B</t>
        </is>
      </c>
      <c r="B268" t="inlineStr">
        <is>
          <t>Run length matrix (2D, slice-merged)</t>
        </is>
      </c>
      <c r="C268" t="inlineStr">
        <is>
          <t>Run length non-uniformity normalised</t>
        </is>
      </c>
      <c r="E268" t="inlineStr">
        <is>
          <t>3-5</t>
        </is>
      </c>
      <c r="F268" t="n">
        <v>0.578</v>
      </c>
      <c r="G268" t="n">
        <v>0.001</v>
      </c>
      <c r="H268" s="4" t="n"/>
      <c r="I268" s="4">
        <f>IFERROR(IF(NOT(H268=""),ABS(ROUNDDOWN(F268-H268, 3 - (1+INT(LOG10(ABS(F268)))))),""),IF(AND(F268=0,NOT(F268="")),ABS(ROUNDDOWN(F268-H268,0)),""))</f>
        <v/>
      </c>
      <c r="J268" s="4">
        <f>IF(NOT(I268=""),IF(I268&lt;=G268,"match",IF(I268&lt;3*G268,"partial match","no match")),"")</f>
        <v/>
      </c>
      <c r="K268" t="inlineStr">
        <is>
          <t>rlm_rlnu_norm_2D_comb</t>
        </is>
      </c>
    </row>
    <row r="269" ht="15" customHeight="1" s="10">
      <c r="A269" t="inlineStr">
        <is>
          <t>configuration B</t>
        </is>
      </c>
      <c r="B269" t="inlineStr">
        <is>
          <t>Run length matrix (2D, slice-merged)</t>
        </is>
      </c>
      <c r="C269" t="inlineStr">
        <is>
          <t>Run percentage</t>
        </is>
      </c>
      <c r="E269" t="inlineStr">
        <is>
          <t>3-5</t>
        </is>
      </c>
      <c r="F269" t="n">
        <v>0.681</v>
      </c>
      <c r="G269" t="n">
        <v>0.002</v>
      </c>
      <c r="H269" s="4" t="n"/>
      <c r="I269" s="4">
        <f>IFERROR(IF(NOT(H269=""),ABS(ROUNDDOWN(F269-H269, 3 - (1+INT(LOG10(ABS(F269)))))),""),IF(AND(F269=0,NOT(F269="")),ABS(ROUNDDOWN(F269-H269,0)),""))</f>
        <v/>
      </c>
      <c r="J269" s="4">
        <f>IF(NOT(I269=""),IF(I269&lt;=G269,"match",IF(I269&lt;3*G269,"partial match","no match")),"")</f>
        <v/>
      </c>
      <c r="K269" t="inlineStr">
        <is>
          <t>rlm_r_perc_2D_comb</t>
        </is>
      </c>
    </row>
    <row r="270" ht="15" customHeight="1" s="10">
      <c r="A270" t="inlineStr">
        <is>
          <t>configuration B</t>
        </is>
      </c>
      <c r="B270" t="inlineStr">
        <is>
          <t>Run length matrix (2D, slice-merged)</t>
        </is>
      </c>
      <c r="C270" t="inlineStr">
        <is>
          <t>Grey level variance</t>
        </is>
      </c>
      <c r="E270" t="inlineStr">
        <is>
          <t>3-5</t>
        </is>
      </c>
      <c r="F270" t="n">
        <v>28.3</v>
      </c>
      <c r="G270" t="n">
        <v>0.3</v>
      </c>
      <c r="H270" s="4" t="n"/>
      <c r="I270" s="4">
        <f>IFERROR(IF(NOT(H270=""),ABS(ROUNDDOWN(F270-H270, 3 - (1+INT(LOG10(ABS(F270)))))),""),IF(AND(F270=0,NOT(F270="")),ABS(ROUNDDOWN(F270-H270,0)),""))</f>
        <v/>
      </c>
      <c r="J270" s="4">
        <f>IF(NOT(I270=""),IF(I270&lt;=G270,"match",IF(I270&lt;3*G270,"partial match","no match")),"")</f>
        <v/>
      </c>
      <c r="K270" t="inlineStr">
        <is>
          <t>rlm_gl_var_2D_comb</t>
        </is>
      </c>
    </row>
    <row r="271" ht="15" customHeight="1" s="10">
      <c r="A271" t="inlineStr">
        <is>
          <t>configuration B</t>
        </is>
      </c>
      <c r="B271" t="inlineStr">
        <is>
          <t>Run length matrix (2D, slice-merged)</t>
        </is>
      </c>
      <c r="C271" t="inlineStr">
        <is>
          <t>Run length variance</t>
        </is>
      </c>
      <c r="E271" t="inlineStr">
        <is>
          <t>3-5</t>
        </is>
      </c>
      <c r="F271" t="n">
        <v>1.21</v>
      </c>
      <c r="G271" t="n">
        <v>0.03</v>
      </c>
      <c r="H271" s="4" t="n"/>
      <c r="I271" s="4">
        <f>IFERROR(IF(NOT(H271=""),ABS(ROUNDDOWN(F271-H271, 3 - (1+INT(LOG10(ABS(F271)))))),""),IF(AND(F271=0,NOT(F271="")),ABS(ROUNDDOWN(F271-H271,0)),""))</f>
        <v/>
      </c>
      <c r="J271" s="4">
        <f>IF(NOT(I271=""),IF(I271&lt;=G271,"match",IF(I271&lt;3*G271,"partial match","no match")),"")</f>
        <v/>
      </c>
      <c r="K271" t="inlineStr">
        <is>
          <t>rlm_rl_var_2D_comb</t>
        </is>
      </c>
    </row>
    <row r="272" ht="15" customHeight="1" s="10">
      <c r="A272" t="inlineStr">
        <is>
          <t>configuration B</t>
        </is>
      </c>
      <c r="B272" t="inlineStr">
        <is>
          <t>Run length matrix (2D, slice-merged)</t>
        </is>
      </c>
      <c r="C272" t="inlineStr">
        <is>
          <t>Run entropy</t>
        </is>
      </c>
      <c r="E272" t="inlineStr">
        <is>
          <t>3-5</t>
        </is>
      </c>
      <c r="F272" t="n">
        <v>4.58</v>
      </c>
      <c r="G272" t="n">
        <v>0.01</v>
      </c>
      <c r="H272" s="4" t="n"/>
      <c r="I272" s="4">
        <f>IFERROR(IF(NOT(H272=""),ABS(ROUNDDOWN(F272-H272, 3 - (1+INT(LOG10(ABS(F272)))))),""),IF(AND(F272=0,NOT(F272="")),ABS(ROUNDDOWN(F272-H272,0)),""))</f>
        <v/>
      </c>
      <c r="J272" s="4">
        <f>IF(NOT(I272=""),IF(I272&lt;=G272,"match",IF(I272&lt;3*G272,"partial match","no match")),"")</f>
        <v/>
      </c>
      <c r="K272" t="inlineStr">
        <is>
          <t>rlm_rl_entr_2D_comb</t>
        </is>
      </c>
    </row>
    <row r="273" ht="15" customHeight="1" s="10">
      <c r="A273" t="inlineStr">
        <is>
          <t>configuration B</t>
        </is>
      </c>
      <c r="B273" t="inlineStr">
        <is>
          <t>Run length matrix (2.5D, direction-merged)</t>
        </is>
      </c>
      <c r="C273" t="inlineStr">
        <is>
          <t>Short runs emphasis</t>
        </is>
      </c>
      <c r="E273" t="inlineStr">
        <is>
          <t>&lt; 3</t>
        </is>
      </c>
      <c r="H273" s="4" t="n"/>
      <c r="I273" s="4">
        <f>IFERROR(IF(NOT(H273=""),ABS(ROUNDDOWN(F273-H273, 3 - (1+INT(LOG10(ABS(F273)))))),""),IF(AND(F273=0,NOT(F273="")),ABS(ROUNDDOWN(F273-H273,0)),""))</f>
        <v/>
      </c>
      <c r="J273" s="4">
        <f>IF(NOT(I273=""),IF(I273&lt;=G273,"match",IF(I273&lt;3*G273,"partial match","no match")),"")</f>
        <v/>
      </c>
      <c r="K273" t="inlineStr">
        <is>
          <t>rlm_sre_2_5D_avg</t>
        </is>
      </c>
    </row>
    <row r="274" ht="15" customHeight="1" s="10">
      <c r="A274" t="inlineStr">
        <is>
          <t>configuration B</t>
        </is>
      </c>
      <c r="B274" t="inlineStr">
        <is>
          <t>Run length matrix (2.5D, direction-merged)</t>
        </is>
      </c>
      <c r="C274" t="inlineStr">
        <is>
          <t>Long runs emphasis</t>
        </is>
      </c>
      <c r="E274" t="inlineStr">
        <is>
          <t>&lt; 3</t>
        </is>
      </c>
      <c r="H274" s="4" t="n"/>
      <c r="I274" s="4">
        <f>IFERROR(IF(NOT(H274=""),ABS(ROUNDDOWN(F274-H274, 3 - (1+INT(LOG10(ABS(F274)))))),""),IF(AND(F274=0,NOT(F274="")),ABS(ROUNDDOWN(F274-H274,0)),""))</f>
        <v/>
      </c>
      <c r="J274" s="4">
        <f>IF(NOT(I274=""),IF(I274&lt;=G274,"match",IF(I274&lt;3*G274,"partial match","no match")),"")</f>
        <v/>
      </c>
      <c r="K274" t="inlineStr">
        <is>
          <t>rlm_lre_2_5D_avg</t>
        </is>
      </c>
    </row>
    <row r="275" ht="15" customHeight="1" s="10">
      <c r="A275" t="inlineStr">
        <is>
          <t>configuration B</t>
        </is>
      </c>
      <c r="B275" t="inlineStr">
        <is>
          <t>Run length matrix (2.5D, direction-merged)</t>
        </is>
      </c>
      <c r="C275" t="inlineStr">
        <is>
          <t>Low grey level run emphasis</t>
        </is>
      </c>
      <c r="E275" t="inlineStr">
        <is>
          <t>&lt; 3</t>
        </is>
      </c>
      <c r="H275" s="4" t="n"/>
      <c r="I275" s="4">
        <f>IFERROR(IF(NOT(H275=""),ABS(ROUNDDOWN(F275-H275, 3 - (1+INT(LOG10(ABS(F275)))))),""),IF(AND(F275=0,NOT(F275="")),ABS(ROUNDDOWN(F275-H275,0)),""))</f>
        <v/>
      </c>
      <c r="J275" s="4">
        <f>IF(NOT(I275=""),IF(I275&lt;=G275,"match",IF(I275&lt;3*G275,"partial match","no match")),"")</f>
        <v/>
      </c>
      <c r="K275" t="inlineStr">
        <is>
          <t>rlm_lgre_2_5D_avg</t>
        </is>
      </c>
    </row>
    <row r="276" ht="15" customHeight="1" s="10">
      <c r="A276" t="inlineStr">
        <is>
          <t>configuration B</t>
        </is>
      </c>
      <c r="B276" t="inlineStr">
        <is>
          <t>Run length matrix (2.5D, direction-merged)</t>
        </is>
      </c>
      <c r="C276" t="inlineStr">
        <is>
          <t>High grey level run emphasis</t>
        </is>
      </c>
      <c r="E276" t="inlineStr">
        <is>
          <t>&lt; 3</t>
        </is>
      </c>
      <c r="H276" s="4" t="n"/>
      <c r="I276" s="4">
        <f>IFERROR(IF(NOT(H276=""),ABS(ROUNDDOWN(F276-H276, 3 - (1+INT(LOG10(ABS(F276)))))),""),IF(AND(F276=0,NOT(F276="")),ABS(ROUNDDOWN(F276-H276,0)),""))</f>
        <v/>
      </c>
      <c r="J276" s="4">
        <f>IF(NOT(I276=""),IF(I276&lt;=G276,"match",IF(I276&lt;3*G276,"partial match","no match")),"")</f>
        <v/>
      </c>
      <c r="K276" t="inlineStr">
        <is>
          <t>rlm_hgre_2_5D_avg</t>
        </is>
      </c>
    </row>
    <row r="277" ht="15.75" customHeight="1" s="10">
      <c r="A277" t="inlineStr">
        <is>
          <t>configuration B</t>
        </is>
      </c>
      <c r="B277" t="inlineStr">
        <is>
          <t>Run length matrix (2.5D, direction-merged)</t>
        </is>
      </c>
      <c r="C277" t="inlineStr">
        <is>
          <t>Short run low grey level emphasis</t>
        </is>
      </c>
      <c r="E277" t="inlineStr">
        <is>
          <t>&lt; 3</t>
        </is>
      </c>
      <c r="I277" s="4">
        <f>IFERROR(IF(NOT(H277=""),ABS(ROUNDDOWN(F277-H277, 3 - (1+INT(LOG10(ABS(F277)))))),""),IF(AND(F277=0,NOT(F277="")),ABS(ROUNDDOWN(F277-H277,0)),""))</f>
        <v/>
      </c>
      <c r="J277" s="4">
        <f>IF(NOT(I277=""),IF(I277&lt;=G277,"match",IF(I277&lt;3*G277,"partial match","no match")),"")</f>
        <v/>
      </c>
      <c r="K277" t="inlineStr">
        <is>
          <t>rlm_srlge_2_5D_avg</t>
        </is>
      </c>
    </row>
    <row r="278" ht="15.75" customHeight="1" s="10">
      <c r="A278" t="inlineStr">
        <is>
          <t>configuration B</t>
        </is>
      </c>
      <c r="B278" t="inlineStr">
        <is>
          <t>Run length matrix (2.5D, direction-merged)</t>
        </is>
      </c>
      <c r="C278" t="inlineStr">
        <is>
          <t>Short run high grey level emphasis</t>
        </is>
      </c>
      <c r="E278" t="inlineStr">
        <is>
          <t>&lt; 3</t>
        </is>
      </c>
      <c r="I278" s="4">
        <f>IFERROR(IF(NOT(H278=""),ABS(ROUNDDOWN(F278-H278, 3 - (1+INT(LOG10(ABS(F278)))))),""),IF(AND(F278=0,NOT(F278="")),ABS(ROUNDDOWN(F278-H278,0)),""))</f>
        <v/>
      </c>
      <c r="J278" s="4">
        <f>IF(NOT(I278=""),IF(I278&lt;=G278,"match",IF(I278&lt;3*G278,"partial match","no match")),"")</f>
        <v/>
      </c>
      <c r="K278" t="inlineStr">
        <is>
          <t>rlm_srhge_2_5D_avg</t>
        </is>
      </c>
    </row>
    <row r="279" ht="15.75" customHeight="1" s="10">
      <c r="A279" t="inlineStr">
        <is>
          <t>configuration B</t>
        </is>
      </c>
      <c r="B279" t="inlineStr">
        <is>
          <t>Run length matrix (2.5D, direction-merged)</t>
        </is>
      </c>
      <c r="C279" t="inlineStr">
        <is>
          <t>Long run low grey level emphasis</t>
        </is>
      </c>
      <c r="E279" t="inlineStr">
        <is>
          <t>&lt; 3</t>
        </is>
      </c>
      <c r="I279" s="4">
        <f>IFERROR(IF(NOT(H279=""),ABS(ROUNDDOWN(F279-H279, 3 - (1+INT(LOG10(ABS(F279)))))),""),IF(AND(F279=0,NOT(F279="")),ABS(ROUNDDOWN(F279-H279,0)),""))</f>
        <v/>
      </c>
      <c r="J279" s="4">
        <f>IF(NOT(I279=""),IF(I279&lt;=G279,"match",IF(I279&lt;3*G279,"partial match","no match")),"")</f>
        <v/>
      </c>
      <c r="K279" t="inlineStr">
        <is>
          <t>rlm_lrlge_2_5D_avg</t>
        </is>
      </c>
    </row>
    <row r="280" ht="15.75" customHeight="1" s="10">
      <c r="A280" t="inlineStr">
        <is>
          <t>configuration B</t>
        </is>
      </c>
      <c r="B280" t="inlineStr">
        <is>
          <t>Run length matrix (2.5D, direction-merged)</t>
        </is>
      </c>
      <c r="C280" t="inlineStr">
        <is>
          <t>Long run high grey level emphasis</t>
        </is>
      </c>
      <c r="E280" t="inlineStr">
        <is>
          <t>&lt; 3</t>
        </is>
      </c>
      <c r="I280" s="4">
        <f>IFERROR(IF(NOT(H280=""),ABS(ROUNDDOWN(F280-H280, 3 - (1+INT(LOG10(ABS(F280)))))),""),IF(AND(F280=0,NOT(F280="")),ABS(ROUNDDOWN(F280-H280,0)),""))</f>
        <v/>
      </c>
      <c r="J280" s="4">
        <f>IF(NOT(I280=""),IF(I280&lt;=G280,"match",IF(I280&lt;3*G280,"partial match","no match")),"")</f>
        <v/>
      </c>
      <c r="K280" t="inlineStr">
        <is>
          <t>rlm_lrhge_2_5D_avg</t>
        </is>
      </c>
    </row>
    <row r="281" ht="15.75" customHeight="1" s="10">
      <c r="A281" t="inlineStr">
        <is>
          <t>configuration B</t>
        </is>
      </c>
      <c r="B281" t="inlineStr">
        <is>
          <t>Run length matrix (2.5D, direction-merged)</t>
        </is>
      </c>
      <c r="C281" t="inlineStr">
        <is>
          <t>Grey level non-uniformity</t>
        </is>
      </c>
      <c r="E281" t="inlineStr">
        <is>
          <t>&lt; 3</t>
        </is>
      </c>
      <c r="I281" s="4">
        <f>IFERROR(IF(NOT(H281=""),ABS(ROUNDDOWN(F281-H281, 3 - (1+INT(LOG10(ABS(F281)))))),""),IF(AND(F281=0,NOT(F281="")),ABS(ROUNDDOWN(F281-H281,0)),""))</f>
        <v/>
      </c>
      <c r="J281" s="4">
        <f>IF(NOT(I281=""),IF(I281&lt;=G281,"match",IF(I281&lt;3*G281,"partial match","no match")),"")</f>
        <v/>
      </c>
      <c r="K281" t="inlineStr">
        <is>
          <t>rlm_glnu_2_5D_avg</t>
        </is>
      </c>
    </row>
    <row r="282" ht="15.75" customHeight="1" s="10">
      <c r="A282" t="inlineStr">
        <is>
          <t>configuration B</t>
        </is>
      </c>
      <c r="B282" t="inlineStr">
        <is>
          <t>Run length matrix (2.5D, direction-merged)</t>
        </is>
      </c>
      <c r="C282" t="inlineStr">
        <is>
          <t>Grey level non-uniformity normalised</t>
        </is>
      </c>
      <c r="E282" t="inlineStr">
        <is>
          <t>&lt; 3</t>
        </is>
      </c>
      <c r="I282" s="4">
        <f>IFERROR(IF(NOT(H282=""),ABS(ROUNDDOWN(F282-H282, 3 - (1+INT(LOG10(ABS(F282)))))),""),IF(AND(F282=0,NOT(F282="")),ABS(ROUNDDOWN(F282-H282,0)),""))</f>
        <v/>
      </c>
      <c r="J282" s="4">
        <f>IF(NOT(I282=""),IF(I282&lt;=G282,"match",IF(I282&lt;3*G282,"partial match","no match")),"")</f>
        <v/>
      </c>
      <c r="K282" t="inlineStr">
        <is>
          <t>rlm_glnu_norm_2_5D_avg</t>
        </is>
      </c>
    </row>
    <row r="283" ht="15.75" customHeight="1" s="10">
      <c r="A283" t="inlineStr">
        <is>
          <t>configuration B</t>
        </is>
      </c>
      <c r="B283" t="inlineStr">
        <is>
          <t>Run length matrix (2.5D, direction-merged)</t>
        </is>
      </c>
      <c r="C283" t="inlineStr">
        <is>
          <t>Run length non-uniformity</t>
        </is>
      </c>
      <c r="E283" t="inlineStr">
        <is>
          <t>&lt; 3</t>
        </is>
      </c>
      <c r="I283" s="4">
        <f>IFERROR(IF(NOT(H283=""),ABS(ROUNDDOWN(F283-H283, 3 - (1+INT(LOG10(ABS(F283)))))),""),IF(AND(F283=0,NOT(F283="")),ABS(ROUNDDOWN(F283-H283,0)),""))</f>
        <v/>
      </c>
      <c r="J283" s="4">
        <f>IF(NOT(I283=""),IF(I283&lt;=G283,"match",IF(I283&lt;3*G283,"partial match","no match")),"")</f>
        <v/>
      </c>
      <c r="K283" t="inlineStr">
        <is>
          <t>rlm_rlnu_2_5D_avg</t>
        </is>
      </c>
    </row>
    <row r="284" ht="15.75" customHeight="1" s="10">
      <c r="A284" t="inlineStr">
        <is>
          <t>configuration B</t>
        </is>
      </c>
      <c r="B284" t="inlineStr">
        <is>
          <t>Run length matrix (2.5D, direction-merged)</t>
        </is>
      </c>
      <c r="C284" t="inlineStr">
        <is>
          <t>Run length non-uniformity normalised</t>
        </is>
      </c>
      <c r="E284" t="inlineStr">
        <is>
          <t>&lt; 3</t>
        </is>
      </c>
      <c r="I284" s="4">
        <f>IFERROR(IF(NOT(H284=""),ABS(ROUNDDOWN(F284-H284, 3 - (1+INT(LOG10(ABS(F284)))))),""),IF(AND(F284=0,NOT(F284="")),ABS(ROUNDDOWN(F284-H284,0)),""))</f>
        <v/>
      </c>
      <c r="J284" s="4">
        <f>IF(NOT(I284=""),IF(I284&lt;=G284,"match",IF(I284&lt;3*G284,"partial match","no match")),"")</f>
        <v/>
      </c>
      <c r="K284" t="inlineStr">
        <is>
          <t>rlm_rlnu_norm_2_5D_avg</t>
        </is>
      </c>
    </row>
    <row r="285" ht="15.75" customHeight="1" s="10">
      <c r="A285" t="inlineStr">
        <is>
          <t>configuration B</t>
        </is>
      </c>
      <c r="B285" t="inlineStr">
        <is>
          <t>Run length matrix (2.5D, direction-merged)</t>
        </is>
      </c>
      <c r="C285" t="inlineStr">
        <is>
          <t>Run percentage</t>
        </is>
      </c>
      <c r="E285" t="inlineStr">
        <is>
          <t>&lt; 3</t>
        </is>
      </c>
      <c r="I285" s="4">
        <f>IFERROR(IF(NOT(H285=""),ABS(ROUNDDOWN(F285-H285, 3 - (1+INT(LOG10(ABS(F285)))))),""),IF(AND(F285=0,NOT(F285="")),ABS(ROUNDDOWN(F285-H285,0)),""))</f>
        <v/>
      </c>
      <c r="J285" s="4">
        <f>IF(NOT(I285=""),IF(I285&lt;=G285,"match",IF(I285&lt;3*G285,"partial match","no match")),"")</f>
        <v/>
      </c>
      <c r="K285" t="inlineStr">
        <is>
          <t>rlm_r_perc_2_5D_avg</t>
        </is>
      </c>
    </row>
    <row r="286" ht="15.75" customHeight="1" s="10">
      <c r="A286" t="inlineStr">
        <is>
          <t>configuration B</t>
        </is>
      </c>
      <c r="B286" t="inlineStr">
        <is>
          <t>Run length matrix (2.5D, direction-merged)</t>
        </is>
      </c>
      <c r="C286" t="inlineStr">
        <is>
          <t>Grey level variance</t>
        </is>
      </c>
      <c r="E286" t="inlineStr">
        <is>
          <t>&lt; 3</t>
        </is>
      </c>
      <c r="I286" s="4">
        <f>IFERROR(IF(NOT(H286=""),ABS(ROUNDDOWN(F286-H286, 3 - (1+INT(LOG10(ABS(F286)))))),""),IF(AND(F286=0,NOT(F286="")),ABS(ROUNDDOWN(F286-H286,0)),""))</f>
        <v/>
      </c>
      <c r="J286" s="4">
        <f>IF(NOT(I286=""),IF(I286&lt;=G286,"match",IF(I286&lt;3*G286,"partial match","no match")),"")</f>
        <v/>
      </c>
      <c r="K286" t="inlineStr">
        <is>
          <t>rlm_gl_var_2_5D_avg</t>
        </is>
      </c>
    </row>
    <row r="287" ht="15.75" customHeight="1" s="10">
      <c r="A287" t="inlineStr">
        <is>
          <t>configuration B</t>
        </is>
      </c>
      <c r="B287" t="inlineStr">
        <is>
          <t>Run length matrix (2.5D, direction-merged)</t>
        </is>
      </c>
      <c r="C287" t="inlineStr">
        <is>
          <t>Run length variance</t>
        </is>
      </c>
      <c r="E287" t="inlineStr">
        <is>
          <t>&lt; 3</t>
        </is>
      </c>
      <c r="I287" s="4">
        <f>IFERROR(IF(NOT(H287=""),ABS(ROUNDDOWN(F287-H287, 3 - (1+INT(LOG10(ABS(F287)))))),""),IF(AND(F287=0,NOT(F287="")),ABS(ROUNDDOWN(F287-H287,0)),""))</f>
        <v/>
      </c>
      <c r="J287" s="4">
        <f>IF(NOT(I287=""),IF(I287&lt;=G287,"match",IF(I287&lt;3*G287,"partial match","no match")),"")</f>
        <v/>
      </c>
      <c r="K287" t="inlineStr">
        <is>
          <t>rlm_rl_var_2_5D_avg</t>
        </is>
      </c>
    </row>
    <row r="288" ht="15.75" customHeight="1" s="10">
      <c r="A288" t="inlineStr">
        <is>
          <t>configuration B</t>
        </is>
      </c>
      <c r="B288" t="inlineStr">
        <is>
          <t>Run length matrix (2.5D, direction-merged)</t>
        </is>
      </c>
      <c r="C288" t="inlineStr">
        <is>
          <t>Run entropy</t>
        </is>
      </c>
      <c r="E288" t="inlineStr">
        <is>
          <t>&lt; 3</t>
        </is>
      </c>
      <c r="I288" s="4">
        <f>IFERROR(IF(NOT(H288=""),ABS(ROUNDDOWN(F288-H288, 3 - (1+INT(LOG10(ABS(F288)))))),""),IF(AND(F288=0,NOT(F288="")),ABS(ROUNDDOWN(F288-H288,0)),""))</f>
        <v/>
      </c>
      <c r="J288" s="4">
        <f>IF(NOT(I288=""),IF(I288&lt;=G288,"match",IF(I288&lt;3*G288,"partial match","no match")),"")</f>
        <v/>
      </c>
      <c r="K288" t="inlineStr">
        <is>
          <t>rlm_rl_entr_2_5D_avg</t>
        </is>
      </c>
    </row>
    <row r="289" ht="15.75" customHeight="1" s="10">
      <c r="A289" t="inlineStr">
        <is>
          <t>configuration B</t>
        </is>
      </c>
      <c r="B289" t="inlineStr">
        <is>
          <t>Run length matrix (2.5D, merged)</t>
        </is>
      </c>
      <c r="C289" t="inlineStr">
        <is>
          <t>Short runs emphasis</t>
        </is>
      </c>
      <c r="E289" t="inlineStr">
        <is>
          <t>&lt; 3</t>
        </is>
      </c>
      <c r="I289" s="4">
        <f>IFERROR(IF(NOT(H289=""),ABS(ROUNDDOWN(F289-H289, 3 - (1+INT(LOG10(ABS(F289)))))),""),IF(AND(F289=0,NOT(F289="")),ABS(ROUNDDOWN(F289-H289,0)),""))</f>
        <v/>
      </c>
      <c r="J289" s="4">
        <f>IF(NOT(I289=""),IF(I289&lt;=G289,"match",IF(I289&lt;3*G289,"partial match","no match")),"")</f>
        <v/>
      </c>
      <c r="K289" t="inlineStr">
        <is>
          <t>rlm_sre_2_5D_comb</t>
        </is>
      </c>
    </row>
    <row r="290" ht="15.75" customHeight="1" s="10">
      <c r="A290" t="inlineStr">
        <is>
          <t>configuration B</t>
        </is>
      </c>
      <c r="B290" t="inlineStr">
        <is>
          <t>Run length matrix (2.5D, merged)</t>
        </is>
      </c>
      <c r="C290" t="inlineStr">
        <is>
          <t>Long runs emphasis</t>
        </is>
      </c>
      <c r="E290" t="inlineStr">
        <is>
          <t>&lt; 3</t>
        </is>
      </c>
      <c r="I290" s="4">
        <f>IFERROR(IF(NOT(H290=""),ABS(ROUNDDOWN(F290-H290, 3 - (1+INT(LOG10(ABS(F290)))))),""),IF(AND(F290=0,NOT(F290="")),ABS(ROUNDDOWN(F290-H290,0)),""))</f>
        <v/>
      </c>
      <c r="J290" s="4">
        <f>IF(NOT(I290=""),IF(I290&lt;=G290,"match",IF(I290&lt;3*G290,"partial match","no match")),"")</f>
        <v/>
      </c>
      <c r="K290" t="inlineStr">
        <is>
          <t>rlm_lre_2_5D_comb</t>
        </is>
      </c>
    </row>
    <row r="291" ht="15.75" customHeight="1" s="10">
      <c r="A291" t="inlineStr">
        <is>
          <t>configuration B</t>
        </is>
      </c>
      <c r="B291" t="inlineStr">
        <is>
          <t>Run length matrix (2.5D, merged)</t>
        </is>
      </c>
      <c r="C291" t="inlineStr">
        <is>
          <t>Low grey level run emphasis</t>
        </is>
      </c>
      <c r="E291" t="inlineStr">
        <is>
          <t>&lt; 3</t>
        </is>
      </c>
      <c r="I291" s="4">
        <f>IFERROR(IF(NOT(H291=""),ABS(ROUNDDOWN(F291-H291, 3 - (1+INT(LOG10(ABS(F291)))))),""),IF(AND(F291=0,NOT(F291="")),ABS(ROUNDDOWN(F291-H291,0)),""))</f>
        <v/>
      </c>
      <c r="J291" s="4">
        <f>IF(NOT(I291=""),IF(I291&lt;=G291,"match",IF(I291&lt;3*G291,"partial match","no match")),"")</f>
        <v/>
      </c>
      <c r="K291" t="inlineStr">
        <is>
          <t>rlm_lgre_2_5D_comb</t>
        </is>
      </c>
    </row>
    <row r="292" ht="15.75" customHeight="1" s="10">
      <c r="A292" t="inlineStr">
        <is>
          <t>configuration B</t>
        </is>
      </c>
      <c r="B292" t="inlineStr">
        <is>
          <t>Run length matrix (2.5D, merged)</t>
        </is>
      </c>
      <c r="C292" t="inlineStr">
        <is>
          <t>High grey level run emphasis</t>
        </is>
      </c>
      <c r="E292" t="inlineStr">
        <is>
          <t>&lt; 3</t>
        </is>
      </c>
      <c r="I292" s="4">
        <f>IFERROR(IF(NOT(H292=""),ABS(ROUNDDOWN(F292-H292, 3 - (1+INT(LOG10(ABS(F292)))))),""),IF(AND(F292=0,NOT(F292="")),ABS(ROUNDDOWN(F292-H292,0)),""))</f>
        <v/>
      </c>
      <c r="J292" s="4">
        <f>IF(NOT(I292=""),IF(I292&lt;=G292,"match",IF(I292&lt;3*G292,"partial match","no match")),"")</f>
        <v/>
      </c>
      <c r="K292" t="inlineStr">
        <is>
          <t>rlm_hgre_2_5D_comb</t>
        </is>
      </c>
    </row>
    <row r="293" ht="15.75" customHeight="1" s="10">
      <c r="A293" t="inlineStr">
        <is>
          <t>configuration B</t>
        </is>
      </c>
      <c r="B293" t="inlineStr">
        <is>
          <t>Run length matrix (2.5D, merged)</t>
        </is>
      </c>
      <c r="C293" t="inlineStr">
        <is>
          <t>Short run low grey level emphasis</t>
        </is>
      </c>
      <c r="E293" t="inlineStr">
        <is>
          <t>&lt; 3</t>
        </is>
      </c>
      <c r="I293" s="4">
        <f>IFERROR(IF(NOT(H293=""),ABS(ROUNDDOWN(F293-H293, 3 - (1+INT(LOG10(ABS(F293)))))),""),IF(AND(F293=0,NOT(F293="")),ABS(ROUNDDOWN(F293-H293,0)),""))</f>
        <v/>
      </c>
      <c r="J293" s="4">
        <f>IF(NOT(I293=""),IF(I293&lt;=G293,"match",IF(I293&lt;3*G293,"partial match","no match")),"")</f>
        <v/>
      </c>
      <c r="K293" t="inlineStr">
        <is>
          <t>rlm_srlge_2_5D_comb</t>
        </is>
      </c>
    </row>
    <row r="294" ht="15.75" customHeight="1" s="10">
      <c r="A294" t="inlineStr">
        <is>
          <t>configuration B</t>
        </is>
      </c>
      <c r="B294" t="inlineStr">
        <is>
          <t>Run length matrix (2.5D, merged)</t>
        </is>
      </c>
      <c r="C294" t="inlineStr">
        <is>
          <t>Short run high grey level emphasis</t>
        </is>
      </c>
      <c r="E294" t="inlineStr">
        <is>
          <t>&lt; 3</t>
        </is>
      </c>
      <c r="I294" s="4">
        <f>IFERROR(IF(NOT(H294=""),ABS(ROUNDDOWN(F294-H294, 3 - (1+INT(LOG10(ABS(F294)))))),""),IF(AND(F294=0,NOT(F294="")),ABS(ROUNDDOWN(F294-H294,0)),""))</f>
        <v/>
      </c>
      <c r="J294" s="4">
        <f>IF(NOT(I294=""),IF(I294&lt;=G294,"match",IF(I294&lt;3*G294,"partial match","no match")),"")</f>
        <v/>
      </c>
      <c r="K294" t="inlineStr">
        <is>
          <t>rlm_srhge_2_5D_comb</t>
        </is>
      </c>
    </row>
    <row r="295" ht="15.75" customHeight="1" s="10">
      <c r="A295" t="inlineStr">
        <is>
          <t>configuration B</t>
        </is>
      </c>
      <c r="B295" t="inlineStr">
        <is>
          <t>Run length matrix (2.5D, merged)</t>
        </is>
      </c>
      <c r="C295" t="inlineStr">
        <is>
          <t>Long run low grey level emphasis</t>
        </is>
      </c>
      <c r="E295" t="inlineStr">
        <is>
          <t>&lt; 3</t>
        </is>
      </c>
      <c r="I295" s="4">
        <f>IFERROR(IF(NOT(H295=""),ABS(ROUNDDOWN(F295-H295, 3 - (1+INT(LOG10(ABS(F295)))))),""),IF(AND(F295=0,NOT(F295="")),ABS(ROUNDDOWN(F295-H295,0)),""))</f>
        <v/>
      </c>
      <c r="J295" s="4">
        <f>IF(NOT(I295=""),IF(I295&lt;=G295,"match",IF(I295&lt;3*G295,"partial match","no match")),"")</f>
        <v/>
      </c>
      <c r="K295" t="inlineStr">
        <is>
          <t>rlm_lrlge_2_5D_comb</t>
        </is>
      </c>
    </row>
    <row r="296" ht="15.75" customHeight="1" s="10">
      <c r="A296" t="inlineStr">
        <is>
          <t>configuration B</t>
        </is>
      </c>
      <c r="B296" t="inlineStr">
        <is>
          <t>Run length matrix (2.5D, merged)</t>
        </is>
      </c>
      <c r="C296" t="inlineStr">
        <is>
          <t>Long run high grey level emphasis</t>
        </is>
      </c>
      <c r="E296" t="inlineStr">
        <is>
          <t>&lt; 3</t>
        </is>
      </c>
      <c r="I296" s="4">
        <f>IFERROR(IF(NOT(H296=""),ABS(ROUNDDOWN(F296-H296, 3 - (1+INT(LOG10(ABS(F296)))))),""),IF(AND(F296=0,NOT(F296="")),ABS(ROUNDDOWN(F296-H296,0)),""))</f>
        <v/>
      </c>
      <c r="J296" s="4">
        <f>IF(NOT(I296=""),IF(I296&lt;=G296,"match",IF(I296&lt;3*G296,"partial match","no match")),"")</f>
        <v/>
      </c>
      <c r="K296" t="inlineStr">
        <is>
          <t>rlm_lrhge_2_5D_comb</t>
        </is>
      </c>
    </row>
    <row r="297" ht="15.75" customHeight="1" s="10">
      <c r="A297" t="inlineStr">
        <is>
          <t>configuration B</t>
        </is>
      </c>
      <c r="B297" t="inlineStr">
        <is>
          <t>Run length matrix (2.5D, merged)</t>
        </is>
      </c>
      <c r="C297" t="inlineStr">
        <is>
          <t>Grey level non-uniformity</t>
        </is>
      </c>
      <c r="E297" t="inlineStr">
        <is>
          <t>&lt; 3</t>
        </is>
      </c>
      <c r="I297" s="4">
        <f>IFERROR(IF(NOT(H297=""),ABS(ROUNDDOWN(F297-H297, 3 - (1+INT(LOG10(ABS(F297)))))),""),IF(AND(F297=0,NOT(F297="")),ABS(ROUNDDOWN(F297-H297,0)),""))</f>
        <v/>
      </c>
      <c r="J297" s="4">
        <f>IF(NOT(I297=""),IF(I297&lt;=G297,"match",IF(I297&lt;3*G297,"partial match","no match")),"")</f>
        <v/>
      </c>
      <c r="K297" t="inlineStr">
        <is>
          <t>rlm_glnu_2_5D_comb</t>
        </is>
      </c>
    </row>
    <row r="298" ht="15.75" customHeight="1" s="10">
      <c r="A298" t="inlineStr">
        <is>
          <t>configuration B</t>
        </is>
      </c>
      <c r="B298" t="inlineStr">
        <is>
          <t>Run length matrix (2.5D, merged)</t>
        </is>
      </c>
      <c r="C298" t="inlineStr">
        <is>
          <t>Grey level non-uniformity normalised</t>
        </is>
      </c>
      <c r="E298" t="inlineStr">
        <is>
          <t>&lt; 3</t>
        </is>
      </c>
      <c r="I298" s="4">
        <f>IFERROR(IF(NOT(H298=""),ABS(ROUNDDOWN(F298-H298, 3 - (1+INT(LOG10(ABS(F298)))))),""),IF(AND(F298=0,NOT(F298="")),ABS(ROUNDDOWN(F298-H298,0)),""))</f>
        <v/>
      </c>
      <c r="J298" s="4">
        <f>IF(NOT(I298=""),IF(I298&lt;=G298,"match",IF(I298&lt;3*G298,"partial match","no match")),"")</f>
        <v/>
      </c>
      <c r="K298" t="inlineStr">
        <is>
          <t>rlm_glnu_norm_2_5D_comb</t>
        </is>
      </c>
    </row>
    <row r="299" ht="15.75" customHeight="1" s="10">
      <c r="A299" t="inlineStr">
        <is>
          <t>configuration B</t>
        </is>
      </c>
      <c r="B299" t="inlineStr">
        <is>
          <t>Run length matrix (2.5D, merged)</t>
        </is>
      </c>
      <c r="C299" t="inlineStr">
        <is>
          <t>Run length non-uniformity</t>
        </is>
      </c>
      <c r="E299" t="inlineStr">
        <is>
          <t>&lt; 3</t>
        </is>
      </c>
      <c r="I299" s="4">
        <f>IFERROR(IF(NOT(H299=""),ABS(ROUNDDOWN(F299-H299, 3 - (1+INT(LOG10(ABS(F299)))))),""),IF(AND(F299=0,NOT(F299="")),ABS(ROUNDDOWN(F299-H299,0)),""))</f>
        <v/>
      </c>
      <c r="J299" s="4">
        <f>IF(NOT(I299=""),IF(I299&lt;=G299,"match",IF(I299&lt;3*G299,"partial match","no match")),"")</f>
        <v/>
      </c>
      <c r="K299" t="inlineStr">
        <is>
          <t>rlm_rlnu_2_5D_comb</t>
        </is>
      </c>
    </row>
    <row r="300" ht="15.75" customHeight="1" s="10">
      <c r="A300" t="inlineStr">
        <is>
          <t>configuration B</t>
        </is>
      </c>
      <c r="B300" t="inlineStr">
        <is>
          <t>Run length matrix (2.5D, merged)</t>
        </is>
      </c>
      <c r="C300" t="inlineStr">
        <is>
          <t>Run length non-uniformity normalised</t>
        </is>
      </c>
      <c r="E300" t="inlineStr">
        <is>
          <t>&lt; 3</t>
        </is>
      </c>
      <c r="I300" s="4">
        <f>IFERROR(IF(NOT(H300=""),ABS(ROUNDDOWN(F300-H300, 3 - (1+INT(LOG10(ABS(F300)))))),""),IF(AND(F300=0,NOT(F300="")),ABS(ROUNDDOWN(F300-H300,0)),""))</f>
        <v/>
      </c>
      <c r="J300" s="4">
        <f>IF(NOT(I300=""),IF(I300&lt;=G300,"match",IF(I300&lt;3*G300,"partial match","no match")),"")</f>
        <v/>
      </c>
      <c r="K300" t="inlineStr">
        <is>
          <t>rlm_rlnu_norm_2_5D_comb</t>
        </is>
      </c>
    </row>
    <row r="301" ht="15.75" customHeight="1" s="10">
      <c r="A301" t="inlineStr">
        <is>
          <t>configuration B</t>
        </is>
      </c>
      <c r="B301" t="inlineStr">
        <is>
          <t>Run length matrix (2.5D, merged)</t>
        </is>
      </c>
      <c r="C301" t="inlineStr">
        <is>
          <t>Run percentage</t>
        </is>
      </c>
      <c r="E301" t="inlineStr">
        <is>
          <t>&lt; 3</t>
        </is>
      </c>
      <c r="I301" s="4">
        <f>IFERROR(IF(NOT(H301=""),ABS(ROUNDDOWN(F301-H301, 3 - (1+INT(LOG10(ABS(F301)))))),""),IF(AND(F301=0,NOT(F301="")),ABS(ROUNDDOWN(F301-H301,0)),""))</f>
        <v/>
      </c>
      <c r="J301" s="4">
        <f>IF(NOT(I301=""),IF(I301&lt;=G301,"match",IF(I301&lt;3*G301,"partial match","no match")),"")</f>
        <v/>
      </c>
      <c r="K301" t="inlineStr">
        <is>
          <t>rlm_r_perc_2_5D_comb</t>
        </is>
      </c>
    </row>
    <row r="302" ht="15.75" customHeight="1" s="10">
      <c r="A302" t="inlineStr">
        <is>
          <t>configuration B</t>
        </is>
      </c>
      <c r="B302" t="inlineStr">
        <is>
          <t>Run length matrix (2.5D, merged)</t>
        </is>
      </c>
      <c r="C302" t="inlineStr">
        <is>
          <t>Grey level variance</t>
        </is>
      </c>
      <c r="E302" t="inlineStr">
        <is>
          <t>&lt; 3</t>
        </is>
      </c>
      <c r="I302" s="4">
        <f>IFERROR(IF(NOT(H302=""),ABS(ROUNDDOWN(F302-H302, 3 - (1+INT(LOG10(ABS(F302)))))),""),IF(AND(F302=0,NOT(F302="")),ABS(ROUNDDOWN(F302-H302,0)),""))</f>
        <v/>
      </c>
      <c r="J302" s="4">
        <f>IF(NOT(I302=""),IF(I302&lt;=G302,"match",IF(I302&lt;3*G302,"partial match","no match")),"")</f>
        <v/>
      </c>
      <c r="K302" t="inlineStr">
        <is>
          <t>rlm_gl_var_2_5D_comb</t>
        </is>
      </c>
    </row>
    <row r="303" ht="15.75" customHeight="1" s="10">
      <c r="A303" t="inlineStr">
        <is>
          <t>configuration B</t>
        </is>
      </c>
      <c r="B303" t="inlineStr">
        <is>
          <t>Run length matrix (2.5D, merged)</t>
        </is>
      </c>
      <c r="C303" t="inlineStr">
        <is>
          <t>Run length variance</t>
        </is>
      </c>
      <c r="E303" t="inlineStr">
        <is>
          <t>&lt; 3</t>
        </is>
      </c>
      <c r="I303" s="4">
        <f>IFERROR(IF(NOT(H303=""),ABS(ROUNDDOWN(F303-H303, 3 - (1+INT(LOG10(ABS(F303)))))),""),IF(AND(F303=0,NOT(F303="")),ABS(ROUNDDOWN(F303-H303,0)),""))</f>
        <v/>
      </c>
      <c r="J303" s="4">
        <f>IF(NOT(I303=""),IF(I303&lt;=G303,"match",IF(I303&lt;3*G303,"partial match","no match")),"")</f>
        <v/>
      </c>
      <c r="K303" t="inlineStr">
        <is>
          <t>rlm_rl_var_2_5D_comb</t>
        </is>
      </c>
    </row>
    <row r="304" ht="15.75" customHeight="1" s="10">
      <c r="A304" t="inlineStr">
        <is>
          <t>configuration B</t>
        </is>
      </c>
      <c r="B304" t="inlineStr">
        <is>
          <t>Run length matrix (2.5D, merged)</t>
        </is>
      </c>
      <c r="C304" t="inlineStr">
        <is>
          <t>Run entropy</t>
        </is>
      </c>
      <c r="E304" t="inlineStr">
        <is>
          <t>&lt; 3</t>
        </is>
      </c>
      <c r="I304" s="4">
        <f>IFERROR(IF(NOT(H304=""),ABS(ROUNDDOWN(F304-H304, 3 - (1+INT(LOG10(ABS(F304)))))),""),IF(AND(F304=0,NOT(F304="")),ABS(ROUNDDOWN(F304-H304,0)),""))</f>
        <v/>
      </c>
      <c r="J304" s="4">
        <f>IF(NOT(I304=""),IF(I304&lt;=G304,"match",IF(I304&lt;3*G304,"partial match","no match")),"")</f>
        <v/>
      </c>
      <c r="K304" t="inlineStr">
        <is>
          <t>rlm_rl_entr_2_5D_comb</t>
        </is>
      </c>
    </row>
    <row r="305" ht="15.75" customHeight="1" s="10">
      <c r="A305" t="inlineStr">
        <is>
          <t>configuration B</t>
        </is>
      </c>
      <c r="B305" t="inlineStr">
        <is>
          <t>Size zone matrix (2D)</t>
        </is>
      </c>
      <c r="C305" t="inlineStr">
        <is>
          <t>Small zone emphasis</t>
        </is>
      </c>
      <c r="E305" t="inlineStr">
        <is>
          <t>3-5</t>
        </is>
      </c>
      <c r="F305" t="n">
        <v>0.745</v>
      </c>
      <c r="G305" t="n">
        <v>0.003</v>
      </c>
      <c r="I305" s="4">
        <f>IFERROR(IF(NOT(H305=""),ABS(ROUNDDOWN(F305-H305, 3 - (1+INT(LOG10(ABS(F305)))))),""),IF(AND(F305=0,NOT(F305="")),ABS(ROUNDDOWN(F305-H305,0)),""))</f>
        <v/>
      </c>
      <c r="J305" s="4">
        <f>IF(NOT(I305=""),IF(I305&lt;=G305,"match",IF(I305&lt;3*G305,"partial match","no match")),"")</f>
        <v/>
      </c>
      <c r="K305" t="inlineStr">
        <is>
          <t>szm_sze_2D</t>
        </is>
      </c>
    </row>
    <row r="306" ht="15.75" customHeight="1" s="10">
      <c r="A306" t="inlineStr">
        <is>
          <t>configuration B</t>
        </is>
      </c>
      <c r="B306" t="inlineStr">
        <is>
          <t>Size zone matrix (2D)</t>
        </is>
      </c>
      <c r="C306" t="inlineStr">
        <is>
          <t>Large zone emphasis</t>
        </is>
      </c>
      <c r="E306" t="inlineStr">
        <is>
          <t>3-5</t>
        </is>
      </c>
      <c r="F306" t="n">
        <v>439</v>
      </c>
      <c r="G306" t="n">
        <v>8</v>
      </c>
      <c r="I306" s="4">
        <f>IFERROR(IF(NOT(H306=""),ABS(ROUNDDOWN(F306-H306, 3 - (1+INT(LOG10(ABS(F306)))))),""),IF(AND(F306=0,NOT(F306="")),ABS(ROUNDDOWN(F306-H306,0)),""))</f>
        <v/>
      </c>
      <c r="J306" s="4">
        <f>IF(NOT(I306=""),IF(I306&lt;=G306,"match",IF(I306&lt;3*G306,"partial match","no match")),"")</f>
        <v/>
      </c>
      <c r="K306" t="inlineStr">
        <is>
          <t>szm_lze_2D</t>
        </is>
      </c>
    </row>
    <row r="307" ht="15.75" customHeight="1" s="10">
      <c r="A307" t="inlineStr">
        <is>
          <t>configuration B</t>
        </is>
      </c>
      <c r="B307" t="inlineStr">
        <is>
          <t>Size zone matrix (2D)</t>
        </is>
      </c>
      <c r="C307" t="inlineStr">
        <is>
          <t>Low grey level emphasis</t>
        </is>
      </c>
      <c r="E307" t="inlineStr">
        <is>
          <t>3-5</t>
        </is>
      </c>
      <c r="F307" t="n">
        <v>0.0475</v>
      </c>
      <c r="G307" t="n">
        <v>0.001</v>
      </c>
      <c r="I307" s="4">
        <f>IFERROR(IF(NOT(H307=""),ABS(ROUNDDOWN(F307-H307, 3 - (1+INT(LOG10(ABS(F307)))))),""),IF(AND(F307=0,NOT(F307="")),ABS(ROUNDDOWN(F307-H307,0)),""))</f>
        <v/>
      </c>
      <c r="J307" s="4">
        <f>IF(NOT(I307=""),IF(I307&lt;=G307,"match",IF(I307&lt;3*G307,"partial match","no match")),"")</f>
        <v/>
      </c>
      <c r="K307" t="inlineStr">
        <is>
          <t>szm_lgze_2D</t>
        </is>
      </c>
    </row>
    <row r="308" ht="15.75" customHeight="1" s="10">
      <c r="A308" t="inlineStr">
        <is>
          <t>configuration B</t>
        </is>
      </c>
      <c r="B308" t="inlineStr">
        <is>
          <t>Size zone matrix (2D)</t>
        </is>
      </c>
      <c r="C308" t="inlineStr">
        <is>
          <t>High grey level emphasis</t>
        </is>
      </c>
      <c r="E308" t="inlineStr">
        <is>
          <t>3-5</t>
        </is>
      </c>
      <c r="F308" t="n">
        <v>284</v>
      </c>
      <c r="G308" t="n">
        <v>11</v>
      </c>
      <c r="I308" s="4">
        <f>IFERROR(IF(NOT(H308=""),ABS(ROUNDDOWN(F308-H308, 3 - (1+INT(LOG10(ABS(F308)))))),""),IF(AND(F308=0,NOT(F308="")),ABS(ROUNDDOWN(F308-H308,0)),""))</f>
        <v/>
      </c>
      <c r="J308" s="4">
        <f>IF(NOT(I308=""),IF(I308&lt;=G308,"match",IF(I308&lt;3*G308,"partial match","no match")),"")</f>
        <v/>
      </c>
      <c r="K308" t="inlineStr">
        <is>
          <t>szm_hgze_2D</t>
        </is>
      </c>
    </row>
    <row r="309" ht="15.75" customHeight="1" s="10">
      <c r="A309" t="inlineStr">
        <is>
          <t>configuration B</t>
        </is>
      </c>
      <c r="B309" t="inlineStr">
        <is>
          <t>Size zone matrix (2D)</t>
        </is>
      </c>
      <c r="C309" t="inlineStr">
        <is>
          <t>Small zone low grey level emphasis</t>
        </is>
      </c>
      <c r="E309" t="inlineStr">
        <is>
          <t>3-5</t>
        </is>
      </c>
      <c r="F309" t="n">
        <v>0.0415</v>
      </c>
      <c r="G309" t="n">
        <v>0.0008</v>
      </c>
      <c r="I309" s="4">
        <f>IFERROR(IF(NOT(H309=""),ABS(ROUNDDOWN(F309-H309, 3 - (1+INT(LOG10(ABS(F309)))))),""),IF(AND(F309=0,NOT(F309="")),ABS(ROUNDDOWN(F309-H309,0)),""))</f>
        <v/>
      </c>
      <c r="J309" s="4">
        <f>IF(NOT(I309=""),IF(I309&lt;=G309,"match",IF(I309&lt;3*G309,"partial match","no match")),"")</f>
        <v/>
      </c>
      <c r="K309" t="inlineStr">
        <is>
          <t>szm_szlge_2D</t>
        </is>
      </c>
    </row>
    <row r="310" ht="15.75" customHeight="1" s="10">
      <c r="A310" t="inlineStr">
        <is>
          <t>configuration B</t>
        </is>
      </c>
      <c r="B310" t="inlineStr">
        <is>
          <t>Size zone matrix (2D)</t>
        </is>
      </c>
      <c r="C310" t="inlineStr">
        <is>
          <t>Small zone high grey level emphasis</t>
        </is>
      </c>
      <c r="E310" t="inlineStr">
        <is>
          <t>3-5</t>
        </is>
      </c>
      <c r="F310" t="n">
        <v>190</v>
      </c>
      <c r="G310" t="n">
        <v>7</v>
      </c>
      <c r="I310" s="4">
        <f>IFERROR(IF(NOT(H310=""),ABS(ROUNDDOWN(F310-H310, 3 - (1+INT(LOG10(ABS(F310)))))),""),IF(AND(F310=0,NOT(F310="")),ABS(ROUNDDOWN(F310-H310,0)),""))</f>
        <v/>
      </c>
      <c r="J310" s="4">
        <f>IF(NOT(I310=""),IF(I310&lt;=G310,"match",IF(I310&lt;3*G310,"partial match","no match")),"")</f>
        <v/>
      </c>
      <c r="K310" t="inlineStr">
        <is>
          <t>szm_szhge_2D</t>
        </is>
      </c>
    </row>
    <row r="311" ht="15.75" customHeight="1" s="10">
      <c r="A311" t="inlineStr">
        <is>
          <t>configuration B</t>
        </is>
      </c>
      <c r="B311" t="inlineStr">
        <is>
          <t>Size zone matrix (2D)</t>
        </is>
      </c>
      <c r="C311" t="inlineStr">
        <is>
          <t>Large zone low grey level emphasis</t>
        </is>
      </c>
      <c r="E311" t="inlineStr">
        <is>
          <t>3-5</t>
        </is>
      </c>
      <c r="F311" t="n">
        <v>1.15</v>
      </c>
      <c r="G311" t="n">
        <v>0.04</v>
      </c>
      <c r="I311" s="4">
        <f>IFERROR(IF(NOT(H311=""),ABS(ROUNDDOWN(F311-H311, 3 - (1+INT(LOG10(ABS(F311)))))),""),IF(AND(F311=0,NOT(F311="")),ABS(ROUNDDOWN(F311-H311,0)),""))</f>
        <v/>
      </c>
      <c r="J311" s="4">
        <f>IF(NOT(I311=""),IF(I311&lt;=G311,"match",IF(I311&lt;3*G311,"partial match","no match")),"")</f>
        <v/>
      </c>
      <c r="K311" t="inlineStr">
        <is>
          <t>szm_lzlge_2D</t>
        </is>
      </c>
    </row>
    <row r="312" ht="15.75" customHeight="1" s="10">
      <c r="A312" t="inlineStr">
        <is>
          <t>configuration B</t>
        </is>
      </c>
      <c r="B312" t="inlineStr">
        <is>
          <t>Size zone matrix (2D)</t>
        </is>
      </c>
      <c r="C312" t="inlineStr">
        <is>
          <t>Large zone high grey level emphasis</t>
        </is>
      </c>
      <c r="E312" t="inlineStr">
        <is>
          <t>3-5</t>
        </is>
      </c>
      <c r="F312" t="n">
        <v>181000</v>
      </c>
      <c r="G312" t="n">
        <v>3000</v>
      </c>
      <c r="I312" s="4">
        <f>IFERROR(IF(NOT(H312=""),ABS(ROUNDDOWN(F312-H312, 3 - (1+INT(LOG10(ABS(F312)))))),""),IF(AND(F312=0,NOT(F312="")),ABS(ROUNDDOWN(F312-H312,0)),""))</f>
        <v/>
      </c>
      <c r="J312" s="4">
        <f>IF(NOT(I312=""),IF(I312&lt;=G312,"match",IF(I312&lt;3*G312,"partial match","no match")),"")</f>
        <v/>
      </c>
      <c r="K312" t="inlineStr">
        <is>
          <t>szm_lzhge_2D</t>
        </is>
      </c>
    </row>
    <row r="313" ht="15.75" customHeight="1" s="10">
      <c r="A313" t="inlineStr">
        <is>
          <t>configuration B</t>
        </is>
      </c>
      <c r="B313" t="inlineStr">
        <is>
          <t>Size zone matrix (2D)</t>
        </is>
      </c>
      <c r="C313" t="inlineStr">
        <is>
          <t>Grey level non-uniformity</t>
        </is>
      </c>
      <c r="E313" t="inlineStr">
        <is>
          <t>3-5</t>
        </is>
      </c>
      <c r="F313" t="n">
        <v>20.5</v>
      </c>
      <c r="G313" t="n">
        <v>0.1</v>
      </c>
      <c r="I313" s="4">
        <f>IFERROR(IF(NOT(H313=""),ABS(ROUNDDOWN(F313-H313, 3 - (1+INT(LOG10(ABS(F313)))))),""),IF(AND(F313=0,NOT(F313="")),ABS(ROUNDDOWN(F313-H313,0)),""))</f>
        <v/>
      </c>
      <c r="J313" s="4">
        <f>IF(NOT(I313=""),IF(I313&lt;=G313,"match",IF(I313&lt;3*G313,"partial match","no match")),"")</f>
        <v/>
      </c>
      <c r="K313" t="inlineStr">
        <is>
          <t>szm_glnu_2D</t>
        </is>
      </c>
    </row>
    <row r="314" ht="15.75" customHeight="1" s="10">
      <c r="A314" t="inlineStr">
        <is>
          <t>configuration B</t>
        </is>
      </c>
      <c r="B314" t="inlineStr">
        <is>
          <t>Size zone matrix (2D)</t>
        </is>
      </c>
      <c r="C314" t="inlineStr">
        <is>
          <t>Grey level non uniformity normalised</t>
        </is>
      </c>
      <c r="E314" t="inlineStr">
        <is>
          <t>3-5</t>
        </is>
      </c>
      <c r="F314" t="n">
        <v>0.0789</v>
      </c>
      <c r="G314" t="n">
        <v>0.0011</v>
      </c>
      <c r="I314" s="4">
        <f>IFERROR(IF(NOT(H314=""),ABS(ROUNDDOWN(F314-H314, 3 - (1+INT(LOG10(ABS(F314)))))),""),IF(AND(F314=0,NOT(F314="")),ABS(ROUNDDOWN(F314-H314,0)),""))</f>
        <v/>
      </c>
      <c r="J314" s="4">
        <f>IF(NOT(I314=""),IF(I314&lt;=G314,"match",IF(I314&lt;3*G314,"partial match","no match")),"")</f>
        <v/>
      </c>
      <c r="K314" t="inlineStr">
        <is>
          <t>szm_glnu_norm_2D</t>
        </is>
      </c>
    </row>
    <row r="315" ht="15.75" customHeight="1" s="10">
      <c r="A315" t="inlineStr">
        <is>
          <t>configuration B</t>
        </is>
      </c>
      <c r="B315" t="inlineStr">
        <is>
          <t>Size zone matrix (2D)</t>
        </is>
      </c>
      <c r="C315" t="inlineStr">
        <is>
          <t>Zone size non-uniformity</t>
        </is>
      </c>
      <c r="E315" t="inlineStr">
        <is>
          <t>3-5</t>
        </is>
      </c>
      <c r="F315" t="n">
        <v>140</v>
      </c>
      <c r="G315" t="n">
        <v>3</v>
      </c>
      <c r="I315" s="4">
        <f>IFERROR(IF(NOT(H315=""),ABS(ROUNDDOWN(F315-H315, 3 - (1+INT(LOG10(ABS(F315)))))),""),IF(AND(F315=0,NOT(F315="")),ABS(ROUNDDOWN(F315-H315,0)),""))</f>
        <v/>
      </c>
      <c r="J315" s="4">
        <f>IF(NOT(I315=""),IF(I315&lt;=G315,"match",IF(I315&lt;3*G315,"partial match","no match")),"")</f>
        <v/>
      </c>
      <c r="K315" t="inlineStr">
        <is>
          <t>szm_zsnu_2D</t>
        </is>
      </c>
    </row>
    <row r="316" ht="15.75" customHeight="1" s="10">
      <c r="A316" t="inlineStr">
        <is>
          <t>configuration B</t>
        </is>
      </c>
      <c r="B316" t="inlineStr">
        <is>
          <t>Size zone matrix (2D)</t>
        </is>
      </c>
      <c r="C316" t="inlineStr">
        <is>
          <t>Zone size non-uniformity normalised</t>
        </is>
      </c>
      <c r="E316" t="inlineStr">
        <is>
          <t>3-5</t>
        </is>
      </c>
      <c r="F316" t="n">
        <v>0.521</v>
      </c>
      <c r="G316" t="n">
        <v>0.004</v>
      </c>
      <c r="I316" s="4">
        <f>IFERROR(IF(NOT(H316=""),ABS(ROUNDDOWN(F316-H316, 3 - (1+INT(LOG10(ABS(F316)))))),""),IF(AND(F316=0,NOT(F316="")),ABS(ROUNDDOWN(F316-H316,0)),""))</f>
        <v/>
      </c>
      <c r="J316" s="4">
        <f>IF(NOT(I316=""),IF(I316&lt;=G316,"match",IF(I316&lt;3*G316,"partial match","no match")),"")</f>
        <v/>
      </c>
      <c r="K316" t="inlineStr">
        <is>
          <t>szm_zsnu_norm_2D</t>
        </is>
      </c>
    </row>
    <row r="317" ht="15.75" customHeight="1" s="10">
      <c r="A317" t="inlineStr">
        <is>
          <t>configuration B</t>
        </is>
      </c>
      <c r="B317" t="inlineStr">
        <is>
          <t>Size zone matrix (2D)</t>
        </is>
      </c>
      <c r="C317" t="inlineStr">
        <is>
          <t>Zone percentage</t>
        </is>
      </c>
      <c r="E317" t="inlineStr">
        <is>
          <t>3-5</t>
        </is>
      </c>
      <c r="F317" t="n">
        <v>0.324</v>
      </c>
      <c r="G317" t="n">
        <v>0.001</v>
      </c>
      <c r="I317" s="4">
        <f>IFERROR(IF(NOT(H317=""),ABS(ROUNDDOWN(F317-H317, 3 - (1+INT(LOG10(ABS(F317)))))),""),IF(AND(F317=0,NOT(F317="")),ABS(ROUNDDOWN(F317-H317,0)),""))</f>
        <v/>
      </c>
      <c r="J317" s="4">
        <f>IF(NOT(I317=""),IF(I317&lt;=G317,"match",IF(I317&lt;3*G317,"partial match","no match")),"")</f>
        <v/>
      </c>
      <c r="K317" t="inlineStr">
        <is>
          <t>szm_z_perc_2D</t>
        </is>
      </c>
    </row>
    <row r="318" ht="15.75" customHeight="1" s="10">
      <c r="A318" t="inlineStr">
        <is>
          <t>configuration B</t>
        </is>
      </c>
      <c r="B318" t="inlineStr">
        <is>
          <t>Size zone matrix (2D)</t>
        </is>
      </c>
      <c r="C318" t="inlineStr">
        <is>
          <t>Grey level variance</t>
        </is>
      </c>
      <c r="E318" t="inlineStr">
        <is>
          <t>3-5</t>
        </is>
      </c>
      <c r="F318" t="n">
        <v>36.1</v>
      </c>
      <c r="G318" t="n">
        <v>0.3</v>
      </c>
      <c r="I318" s="4">
        <f>IFERROR(IF(NOT(H318=""),ABS(ROUNDDOWN(F318-H318, 3 - (1+INT(LOG10(ABS(F318)))))),""),IF(AND(F318=0,NOT(F318="")),ABS(ROUNDDOWN(F318-H318,0)),""))</f>
        <v/>
      </c>
      <c r="J318" s="4">
        <f>IF(NOT(I318=""),IF(I318&lt;=G318,"match",IF(I318&lt;3*G318,"partial match","no match")),"")</f>
        <v/>
      </c>
      <c r="K318" t="inlineStr">
        <is>
          <t>szm_gl_var_2D</t>
        </is>
      </c>
    </row>
    <row r="319" ht="15.75" customHeight="1" s="10">
      <c r="A319" t="inlineStr">
        <is>
          <t>configuration B</t>
        </is>
      </c>
      <c r="B319" t="inlineStr">
        <is>
          <t>Size zone matrix (2D)</t>
        </is>
      </c>
      <c r="C319" t="inlineStr">
        <is>
          <t>Zone size variance</t>
        </is>
      </c>
      <c r="E319" t="inlineStr">
        <is>
          <t>3-5</t>
        </is>
      </c>
      <c r="F319" t="n">
        <v>423</v>
      </c>
      <c r="G319" t="n">
        <v>8</v>
      </c>
      <c r="I319" s="4">
        <f>IFERROR(IF(NOT(H319=""),ABS(ROUNDDOWN(F319-H319, 3 - (1+INT(LOG10(ABS(F319)))))),""),IF(AND(F319=0,NOT(F319="")),ABS(ROUNDDOWN(F319-H319,0)),""))</f>
        <v/>
      </c>
      <c r="J319" s="4">
        <f>IF(NOT(I319=""),IF(I319&lt;=G319,"match",IF(I319&lt;3*G319,"partial match","no match")),"")</f>
        <v/>
      </c>
      <c r="K319" t="inlineStr">
        <is>
          <t>szm_zs_var_2D</t>
        </is>
      </c>
    </row>
    <row r="320" ht="15.75" customHeight="1" s="10">
      <c r="A320" t="inlineStr">
        <is>
          <t>configuration B</t>
        </is>
      </c>
      <c r="B320" t="inlineStr">
        <is>
          <t>Size zone matrix (2D)</t>
        </is>
      </c>
      <c r="C320" t="inlineStr">
        <is>
          <t>Zone size entropy</t>
        </is>
      </c>
      <c r="E320" t="inlineStr">
        <is>
          <t>3-5</t>
        </is>
      </c>
      <c r="F320" t="n">
        <v>5.29</v>
      </c>
      <c r="G320" t="n">
        <v>0.01</v>
      </c>
      <c r="I320" s="4">
        <f>IFERROR(IF(NOT(H320=""),ABS(ROUNDDOWN(F320-H320, 3 - (1+INT(LOG10(ABS(F320)))))),""),IF(AND(F320=0,NOT(F320="")),ABS(ROUNDDOWN(F320-H320,0)),""))</f>
        <v/>
      </c>
      <c r="J320" s="4">
        <f>IF(NOT(I320=""),IF(I320&lt;=G320,"match",IF(I320&lt;3*G320,"partial match","no match")),"")</f>
        <v/>
      </c>
      <c r="K320" t="inlineStr">
        <is>
          <t>szm_zs_entr_2D</t>
        </is>
      </c>
    </row>
    <row r="321" ht="15.75" customHeight="1" s="10">
      <c r="A321" t="inlineStr">
        <is>
          <t>configuration B</t>
        </is>
      </c>
      <c r="B321" t="inlineStr">
        <is>
          <t>Size zone matrix (2.5D)</t>
        </is>
      </c>
      <c r="C321" t="inlineStr">
        <is>
          <t>Small zone emphasis</t>
        </is>
      </c>
      <c r="E321" t="inlineStr">
        <is>
          <t>&lt; 3</t>
        </is>
      </c>
      <c r="I321" s="4">
        <f>IFERROR(IF(NOT(H321=""),ABS(ROUNDDOWN(F321-H321, 3 - (1+INT(LOG10(ABS(F321)))))),""),IF(AND(F321=0,NOT(F321="")),ABS(ROUNDDOWN(F321-H321,0)),""))</f>
        <v/>
      </c>
      <c r="J321" s="4">
        <f>IF(NOT(I321=""),IF(I321&lt;=G321,"match",IF(I321&lt;3*G321,"partial match","no match")),"")</f>
        <v/>
      </c>
      <c r="K321" t="inlineStr">
        <is>
          <t>szm_sze_2_5D</t>
        </is>
      </c>
    </row>
    <row r="322" ht="15.75" customHeight="1" s="10">
      <c r="A322" t="inlineStr">
        <is>
          <t>configuration B</t>
        </is>
      </c>
      <c r="B322" t="inlineStr">
        <is>
          <t>Size zone matrix (2.5D)</t>
        </is>
      </c>
      <c r="C322" t="inlineStr">
        <is>
          <t>Large zone emphasis</t>
        </is>
      </c>
      <c r="E322" t="inlineStr">
        <is>
          <t>&lt; 3</t>
        </is>
      </c>
      <c r="I322" s="4">
        <f>IFERROR(IF(NOT(H322=""),ABS(ROUNDDOWN(F322-H322, 3 - (1+INT(LOG10(ABS(F322)))))),""),IF(AND(F322=0,NOT(F322="")),ABS(ROUNDDOWN(F322-H322,0)),""))</f>
        <v/>
      </c>
      <c r="J322" s="4">
        <f>IF(NOT(I322=""),IF(I322&lt;=G322,"match",IF(I322&lt;3*G322,"partial match","no match")),"")</f>
        <v/>
      </c>
      <c r="K322" t="inlineStr">
        <is>
          <t>szm_lze_2_5D</t>
        </is>
      </c>
    </row>
    <row r="323" ht="15.75" customHeight="1" s="10">
      <c r="A323" t="inlineStr">
        <is>
          <t>configuration B</t>
        </is>
      </c>
      <c r="B323" t="inlineStr">
        <is>
          <t>Size zone matrix (2.5D)</t>
        </is>
      </c>
      <c r="C323" t="inlineStr">
        <is>
          <t>Low grey level emphasis</t>
        </is>
      </c>
      <c r="E323" t="inlineStr">
        <is>
          <t>&lt; 3</t>
        </is>
      </c>
      <c r="I323" s="4">
        <f>IFERROR(IF(NOT(H323=""),ABS(ROUNDDOWN(F323-H323, 3 - (1+INT(LOG10(ABS(F323)))))),""),IF(AND(F323=0,NOT(F323="")),ABS(ROUNDDOWN(F323-H323,0)),""))</f>
        <v/>
      </c>
      <c r="J323" s="4">
        <f>IF(NOT(I323=""),IF(I323&lt;=G323,"match",IF(I323&lt;3*G323,"partial match","no match")),"")</f>
        <v/>
      </c>
      <c r="K323" t="inlineStr">
        <is>
          <t>szm_lgze_2_5D</t>
        </is>
      </c>
    </row>
    <row r="324" ht="15.75" customHeight="1" s="10">
      <c r="A324" t="inlineStr">
        <is>
          <t>configuration B</t>
        </is>
      </c>
      <c r="B324" t="inlineStr">
        <is>
          <t>Size zone matrix (2.5D)</t>
        </is>
      </c>
      <c r="C324" t="inlineStr">
        <is>
          <t>High grey level emphasis</t>
        </is>
      </c>
      <c r="E324" t="inlineStr">
        <is>
          <t>&lt; 3</t>
        </is>
      </c>
      <c r="I324" s="4">
        <f>IFERROR(IF(NOT(H324=""),ABS(ROUNDDOWN(F324-H324, 3 - (1+INT(LOG10(ABS(F324)))))),""),IF(AND(F324=0,NOT(F324="")),ABS(ROUNDDOWN(F324-H324,0)),""))</f>
        <v/>
      </c>
      <c r="J324" s="4">
        <f>IF(NOT(I324=""),IF(I324&lt;=G324,"match",IF(I324&lt;3*G324,"partial match","no match")),"")</f>
        <v/>
      </c>
      <c r="K324" t="inlineStr">
        <is>
          <t>szm_hgze_2_5D</t>
        </is>
      </c>
    </row>
    <row r="325" ht="15.75" customHeight="1" s="10">
      <c r="A325" t="inlineStr">
        <is>
          <t>configuration B</t>
        </is>
      </c>
      <c r="B325" t="inlineStr">
        <is>
          <t>Size zone matrix (2.5D)</t>
        </is>
      </c>
      <c r="C325" t="inlineStr">
        <is>
          <t>Small zone low grey level emphasis</t>
        </is>
      </c>
      <c r="E325" t="inlineStr">
        <is>
          <t>&lt; 3</t>
        </is>
      </c>
      <c r="I325" s="4">
        <f>IFERROR(IF(NOT(H325=""),ABS(ROUNDDOWN(F325-H325, 3 - (1+INT(LOG10(ABS(F325)))))),""),IF(AND(F325=0,NOT(F325="")),ABS(ROUNDDOWN(F325-H325,0)),""))</f>
        <v/>
      </c>
      <c r="J325" s="4">
        <f>IF(NOT(I325=""),IF(I325&lt;=G325,"match",IF(I325&lt;3*G325,"partial match","no match")),"")</f>
        <v/>
      </c>
      <c r="K325" t="inlineStr">
        <is>
          <t>szm_szlge_2_5D</t>
        </is>
      </c>
    </row>
    <row r="326" ht="15.75" customHeight="1" s="10">
      <c r="A326" t="inlineStr">
        <is>
          <t>configuration B</t>
        </is>
      </c>
      <c r="B326" t="inlineStr">
        <is>
          <t>Size zone matrix (2.5D)</t>
        </is>
      </c>
      <c r="C326" t="inlineStr">
        <is>
          <t>Small zone high grey level emphasis</t>
        </is>
      </c>
      <c r="E326" t="inlineStr">
        <is>
          <t>&lt; 3</t>
        </is>
      </c>
      <c r="I326" s="4">
        <f>IFERROR(IF(NOT(H326=""),ABS(ROUNDDOWN(F326-H326, 3 - (1+INT(LOG10(ABS(F326)))))),""),IF(AND(F326=0,NOT(F326="")),ABS(ROUNDDOWN(F326-H326,0)),""))</f>
        <v/>
      </c>
      <c r="J326" s="4">
        <f>IF(NOT(I326=""),IF(I326&lt;=G326,"match",IF(I326&lt;3*G326,"partial match","no match")),"")</f>
        <v/>
      </c>
      <c r="K326" t="inlineStr">
        <is>
          <t>szm_szhge_2_5D</t>
        </is>
      </c>
    </row>
    <row r="327" ht="15.75" customHeight="1" s="10">
      <c r="A327" t="inlineStr">
        <is>
          <t>configuration B</t>
        </is>
      </c>
      <c r="B327" t="inlineStr">
        <is>
          <t>Size zone matrix (2.5D)</t>
        </is>
      </c>
      <c r="C327" t="inlineStr">
        <is>
          <t>Large zone low grey level emphasis</t>
        </is>
      </c>
      <c r="E327" t="inlineStr">
        <is>
          <t>&lt; 3</t>
        </is>
      </c>
      <c r="I327" s="4">
        <f>IFERROR(IF(NOT(H327=""),ABS(ROUNDDOWN(F327-H327, 3 - (1+INT(LOG10(ABS(F327)))))),""),IF(AND(F327=0,NOT(F327="")),ABS(ROUNDDOWN(F327-H327,0)),""))</f>
        <v/>
      </c>
      <c r="J327" s="4">
        <f>IF(NOT(I327=""),IF(I327&lt;=G327,"match",IF(I327&lt;3*G327,"partial match","no match")),"")</f>
        <v/>
      </c>
      <c r="K327" t="inlineStr">
        <is>
          <t>szm_lzlge_2_5D</t>
        </is>
      </c>
    </row>
    <row r="328" ht="15.75" customHeight="1" s="10">
      <c r="A328" t="inlineStr">
        <is>
          <t>configuration B</t>
        </is>
      </c>
      <c r="B328" t="inlineStr">
        <is>
          <t>Size zone matrix (2.5D)</t>
        </is>
      </c>
      <c r="C328" t="inlineStr">
        <is>
          <t>Large zone high grey level emphasis</t>
        </is>
      </c>
      <c r="E328" t="inlineStr">
        <is>
          <t>&lt; 3</t>
        </is>
      </c>
      <c r="I328" s="4">
        <f>IFERROR(IF(NOT(H328=""),ABS(ROUNDDOWN(F328-H328, 3 - (1+INT(LOG10(ABS(F328)))))),""),IF(AND(F328=0,NOT(F328="")),ABS(ROUNDDOWN(F328-H328,0)),""))</f>
        <v/>
      </c>
      <c r="J328" s="4">
        <f>IF(NOT(I328=""),IF(I328&lt;=G328,"match",IF(I328&lt;3*G328,"partial match","no match")),"")</f>
        <v/>
      </c>
      <c r="K328" t="inlineStr">
        <is>
          <t>szm_lzhge_2_5D</t>
        </is>
      </c>
    </row>
    <row r="329" ht="15.75" customHeight="1" s="10">
      <c r="A329" t="inlineStr">
        <is>
          <t>configuration B</t>
        </is>
      </c>
      <c r="B329" t="inlineStr">
        <is>
          <t>Size zone matrix (2.5D)</t>
        </is>
      </c>
      <c r="C329" t="inlineStr">
        <is>
          <t>Grey level non-uniformity</t>
        </is>
      </c>
      <c r="E329" t="inlineStr">
        <is>
          <t>&lt; 3</t>
        </is>
      </c>
      <c r="I329" s="4">
        <f>IFERROR(IF(NOT(H329=""),ABS(ROUNDDOWN(F329-H329, 3 - (1+INT(LOG10(ABS(F329)))))),""),IF(AND(F329=0,NOT(F329="")),ABS(ROUNDDOWN(F329-H329,0)),""))</f>
        <v/>
      </c>
      <c r="J329" s="4">
        <f>IF(NOT(I329=""),IF(I329&lt;=G329,"match",IF(I329&lt;3*G329,"partial match","no match")),"")</f>
        <v/>
      </c>
      <c r="K329" t="inlineStr">
        <is>
          <t>szm_glnu_2_5D</t>
        </is>
      </c>
    </row>
    <row r="330" ht="15.75" customHeight="1" s="10">
      <c r="A330" t="inlineStr">
        <is>
          <t>configuration B</t>
        </is>
      </c>
      <c r="B330" t="inlineStr">
        <is>
          <t>Size zone matrix (2.5D)</t>
        </is>
      </c>
      <c r="C330" t="inlineStr">
        <is>
          <t>Grey level non uniformity normalised</t>
        </is>
      </c>
      <c r="E330" t="inlineStr">
        <is>
          <t>&lt; 3</t>
        </is>
      </c>
      <c r="I330" s="4">
        <f>IFERROR(IF(NOT(H330=""),ABS(ROUNDDOWN(F330-H330, 3 - (1+INT(LOG10(ABS(F330)))))),""),IF(AND(F330=0,NOT(F330="")),ABS(ROUNDDOWN(F330-H330,0)),""))</f>
        <v/>
      </c>
      <c r="J330" s="4">
        <f>IF(NOT(I330=""),IF(I330&lt;=G330,"match",IF(I330&lt;3*G330,"partial match","no match")),"")</f>
        <v/>
      </c>
      <c r="K330" t="inlineStr">
        <is>
          <t>szm_glnu_norm_2_5D</t>
        </is>
      </c>
    </row>
    <row r="331" ht="15.75" customHeight="1" s="10">
      <c r="A331" t="inlineStr">
        <is>
          <t>configuration B</t>
        </is>
      </c>
      <c r="B331" t="inlineStr">
        <is>
          <t>Size zone matrix (2.5D)</t>
        </is>
      </c>
      <c r="C331" t="inlineStr">
        <is>
          <t>Zone size non-uniformity</t>
        </is>
      </c>
      <c r="E331" t="inlineStr">
        <is>
          <t>&lt; 3</t>
        </is>
      </c>
      <c r="I331" s="4">
        <f>IFERROR(IF(NOT(H331=""),ABS(ROUNDDOWN(F331-H331, 3 - (1+INT(LOG10(ABS(F331)))))),""),IF(AND(F331=0,NOT(F331="")),ABS(ROUNDDOWN(F331-H331,0)),""))</f>
        <v/>
      </c>
      <c r="J331" s="4">
        <f>IF(NOT(I331=""),IF(I331&lt;=G331,"match",IF(I331&lt;3*G331,"partial match","no match")),"")</f>
        <v/>
      </c>
      <c r="K331" t="inlineStr">
        <is>
          <t>szm_zsnu_2_5D</t>
        </is>
      </c>
    </row>
    <row r="332" ht="15.75" customHeight="1" s="10">
      <c r="A332" t="inlineStr">
        <is>
          <t>configuration B</t>
        </is>
      </c>
      <c r="B332" t="inlineStr">
        <is>
          <t>Size zone matrix (2.5D)</t>
        </is>
      </c>
      <c r="C332" t="inlineStr">
        <is>
          <t>Zone size non-uniformity normalised</t>
        </is>
      </c>
      <c r="E332" t="inlineStr">
        <is>
          <t>&lt; 3</t>
        </is>
      </c>
      <c r="I332" s="4">
        <f>IFERROR(IF(NOT(H332=""),ABS(ROUNDDOWN(F332-H332, 3 - (1+INT(LOG10(ABS(F332)))))),""),IF(AND(F332=0,NOT(F332="")),ABS(ROUNDDOWN(F332-H332,0)),""))</f>
        <v/>
      </c>
      <c r="J332" s="4">
        <f>IF(NOT(I332=""),IF(I332&lt;=G332,"match",IF(I332&lt;3*G332,"partial match","no match")),"")</f>
        <v/>
      </c>
      <c r="K332" t="inlineStr">
        <is>
          <t>szm_zsnu_norm_2_5D</t>
        </is>
      </c>
    </row>
    <row r="333" ht="15.75" customHeight="1" s="10">
      <c r="A333" t="inlineStr">
        <is>
          <t>configuration B</t>
        </is>
      </c>
      <c r="B333" t="inlineStr">
        <is>
          <t>Size zone matrix (2.5D)</t>
        </is>
      </c>
      <c r="C333" t="inlineStr">
        <is>
          <t>Zone percentage</t>
        </is>
      </c>
      <c r="E333" t="inlineStr">
        <is>
          <t>&lt; 3</t>
        </is>
      </c>
      <c r="I333" s="4">
        <f>IFERROR(IF(NOT(H333=""),ABS(ROUNDDOWN(F333-H333, 3 - (1+INT(LOG10(ABS(F333)))))),""),IF(AND(F333=0,NOT(F333="")),ABS(ROUNDDOWN(F333-H333,0)),""))</f>
        <v/>
      </c>
      <c r="J333" s="4">
        <f>IF(NOT(I333=""),IF(I333&lt;=G333,"match",IF(I333&lt;3*G333,"partial match","no match")),"")</f>
        <v/>
      </c>
      <c r="K333" t="inlineStr">
        <is>
          <t>szm_z_perc_2_5D</t>
        </is>
      </c>
    </row>
    <row r="334" ht="15.75" customHeight="1" s="10">
      <c r="A334" t="inlineStr">
        <is>
          <t>configuration B</t>
        </is>
      </c>
      <c r="B334" t="inlineStr">
        <is>
          <t>Size zone matrix (2.5D)</t>
        </is>
      </c>
      <c r="C334" t="inlineStr">
        <is>
          <t>Grey level variance</t>
        </is>
      </c>
      <c r="E334" t="inlineStr">
        <is>
          <t>&lt; 3</t>
        </is>
      </c>
      <c r="I334" s="4">
        <f>IFERROR(IF(NOT(H334=""),ABS(ROUNDDOWN(F334-H334, 3 - (1+INT(LOG10(ABS(F334)))))),""),IF(AND(F334=0,NOT(F334="")),ABS(ROUNDDOWN(F334-H334,0)),""))</f>
        <v/>
      </c>
      <c r="J334" s="4">
        <f>IF(NOT(I334=""),IF(I334&lt;=G334,"match",IF(I334&lt;3*G334,"partial match","no match")),"")</f>
        <v/>
      </c>
      <c r="K334" t="inlineStr">
        <is>
          <t>szm_gl_var_2_5D</t>
        </is>
      </c>
    </row>
    <row r="335" ht="15.75" customHeight="1" s="10">
      <c r="A335" t="inlineStr">
        <is>
          <t>configuration B</t>
        </is>
      </c>
      <c r="B335" t="inlineStr">
        <is>
          <t>Size zone matrix (2.5D)</t>
        </is>
      </c>
      <c r="C335" t="inlineStr">
        <is>
          <t>Zone size variance</t>
        </is>
      </c>
      <c r="E335" t="inlineStr">
        <is>
          <t>&lt; 3</t>
        </is>
      </c>
      <c r="I335" s="4">
        <f>IFERROR(IF(NOT(H335=""),ABS(ROUNDDOWN(F335-H335, 3 - (1+INT(LOG10(ABS(F335)))))),""),IF(AND(F335=0,NOT(F335="")),ABS(ROUNDDOWN(F335-H335,0)),""))</f>
        <v/>
      </c>
      <c r="J335" s="4">
        <f>IF(NOT(I335=""),IF(I335&lt;=G335,"match",IF(I335&lt;3*G335,"partial match","no match")),"")</f>
        <v/>
      </c>
      <c r="K335" t="inlineStr">
        <is>
          <t>szm_zs_var_2_5D</t>
        </is>
      </c>
    </row>
    <row r="336" ht="15.75" customHeight="1" s="10">
      <c r="A336" t="inlineStr">
        <is>
          <t>configuration B</t>
        </is>
      </c>
      <c r="B336" t="inlineStr">
        <is>
          <t>Size zone matrix (2.5D)</t>
        </is>
      </c>
      <c r="C336" t="inlineStr">
        <is>
          <t>Zone size entropy</t>
        </is>
      </c>
      <c r="E336" t="inlineStr">
        <is>
          <t>&lt; 3</t>
        </is>
      </c>
      <c r="I336" s="4">
        <f>IFERROR(IF(NOT(H336=""),ABS(ROUNDDOWN(F336-H336, 3 - (1+INT(LOG10(ABS(F336)))))),""),IF(AND(F336=0,NOT(F336="")),ABS(ROUNDDOWN(F336-H336,0)),""))</f>
        <v/>
      </c>
      <c r="J336" s="4">
        <f>IF(NOT(I336=""),IF(I336&lt;=G336,"match",IF(I336&lt;3*G336,"partial match","no match")),"")</f>
        <v/>
      </c>
      <c r="K336" t="inlineStr">
        <is>
          <t>szm_zs_entr_2_5D</t>
        </is>
      </c>
    </row>
    <row r="337" ht="15.75" customHeight="1" s="10">
      <c r="A337" t="inlineStr">
        <is>
          <t>configuration B</t>
        </is>
      </c>
      <c r="B337" t="inlineStr">
        <is>
          <t>Distance zone matrix (2D)</t>
        </is>
      </c>
      <c r="C337" t="inlineStr">
        <is>
          <t>Small distance emphasis</t>
        </is>
      </c>
      <c r="E337" t="inlineStr">
        <is>
          <t>3-5</t>
        </is>
      </c>
      <c r="F337" t="n">
        <v>0.36</v>
      </c>
      <c r="G337" t="n">
        <v>0.005</v>
      </c>
      <c r="I337" s="4">
        <f>IFERROR(IF(NOT(H337=""),ABS(ROUNDDOWN(F337-H337, 3 - (1+INT(LOG10(ABS(F337)))))),""),IF(AND(F337=0,NOT(F337="")),ABS(ROUNDDOWN(F337-H337,0)),""))</f>
        <v/>
      </c>
      <c r="J337" s="4">
        <f>IF(NOT(I337=""),IF(I337&lt;=G337,"match",IF(I337&lt;3*G337,"partial match","no match")),"")</f>
        <v/>
      </c>
      <c r="K337" t="inlineStr">
        <is>
          <t>dzm_sde_2D</t>
        </is>
      </c>
    </row>
    <row r="338" ht="15.75" customHeight="1" s="10">
      <c r="A338" t="inlineStr">
        <is>
          <t>configuration B</t>
        </is>
      </c>
      <c r="B338" t="inlineStr">
        <is>
          <t>Distance zone matrix (2D)</t>
        </is>
      </c>
      <c r="C338" t="inlineStr">
        <is>
          <t>Large distance emphasis</t>
        </is>
      </c>
      <c r="E338" t="inlineStr">
        <is>
          <t>3-5</t>
        </is>
      </c>
      <c r="F338" t="n">
        <v>31.6</v>
      </c>
      <c r="G338" t="n">
        <v>0.2</v>
      </c>
      <c r="I338" s="4">
        <f>IFERROR(IF(NOT(H338=""),ABS(ROUNDDOWN(F338-H338, 3 - (1+INT(LOG10(ABS(F338)))))),""),IF(AND(F338=0,NOT(F338="")),ABS(ROUNDDOWN(F338-H338,0)),""))</f>
        <v/>
      </c>
      <c r="J338" s="4">
        <f>IF(NOT(I338=""),IF(I338&lt;=G338,"match",IF(I338&lt;3*G338,"partial match","no match")),"")</f>
        <v/>
      </c>
      <c r="K338" t="inlineStr">
        <is>
          <t>dzm_lde_2D</t>
        </is>
      </c>
    </row>
    <row r="339" ht="15.75" customHeight="1" s="10">
      <c r="A339" t="inlineStr">
        <is>
          <t>configuration B</t>
        </is>
      </c>
      <c r="B339" t="inlineStr">
        <is>
          <t>Distance zone matrix (2D)</t>
        </is>
      </c>
      <c r="C339" t="inlineStr">
        <is>
          <t>Low grey level emphasis</t>
        </is>
      </c>
      <c r="E339" t="inlineStr">
        <is>
          <t>3-5</t>
        </is>
      </c>
      <c r="F339" t="n">
        <v>0.0475</v>
      </c>
      <c r="G339" t="n">
        <v>0.001</v>
      </c>
      <c r="I339" s="4">
        <f>IFERROR(IF(NOT(H339=""),ABS(ROUNDDOWN(F339-H339, 3 - (1+INT(LOG10(ABS(F339)))))),""),IF(AND(F339=0,NOT(F339="")),ABS(ROUNDDOWN(F339-H339,0)),""))</f>
        <v/>
      </c>
      <c r="J339" s="4">
        <f>IF(NOT(I339=""),IF(I339&lt;=G339,"match",IF(I339&lt;3*G339,"partial match","no match")),"")</f>
        <v/>
      </c>
      <c r="K339" t="inlineStr">
        <is>
          <t>dzm_lgze_2D</t>
        </is>
      </c>
    </row>
    <row r="340" ht="15.75" customHeight="1" s="10">
      <c r="A340" t="inlineStr">
        <is>
          <t>configuration B</t>
        </is>
      </c>
      <c r="B340" t="inlineStr">
        <is>
          <t>Distance zone matrix (2D)</t>
        </is>
      </c>
      <c r="C340" t="inlineStr">
        <is>
          <t>High grey level emphasis</t>
        </is>
      </c>
      <c r="E340" t="inlineStr">
        <is>
          <t>3-5</t>
        </is>
      </c>
      <c r="F340" t="n">
        <v>284</v>
      </c>
      <c r="G340" t="n">
        <v>11</v>
      </c>
      <c r="I340" s="4">
        <f>IFERROR(IF(NOT(H340=""),ABS(ROUNDDOWN(F340-H340, 3 - (1+INT(LOG10(ABS(F340)))))),""),IF(AND(F340=0,NOT(F340="")),ABS(ROUNDDOWN(F340-H340,0)),""))</f>
        <v/>
      </c>
      <c r="J340" s="4">
        <f>IF(NOT(I340=""),IF(I340&lt;=G340,"match",IF(I340&lt;3*G340,"partial match","no match")),"")</f>
        <v/>
      </c>
      <c r="K340" t="inlineStr">
        <is>
          <t>dzm_hgze_2D</t>
        </is>
      </c>
    </row>
    <row r="341" ht="15.75" customHeight="1" s="10">
      <c r="A341" t="inlineStr">
        <is>
          <t>configuration B</t>
        </is>
      </c>
      <c r="B341" t="inlineStr">
        <is>
          <t>Distance zone matrix (2D)</t>
        </is>
      </c>
      <c r="C341" t="inlineStr">
        <is>
          <t>Small distance low grey level emphasis</t>
        </is>
      </c>
      <c r="E341" t="inlineStr">
        <is>
          <t>3-5</t>
        </is>
      </c>
      <c r="F341" t="n">
        <v>0.0191</v>
      </c>
      <c r="G341" t="n">
        <v>0.0005</v>
      </c>
      <c r="I341" s="4">
        <f>IFERROR(IF(NOT(H341=""),ABS(ROUNDDOWN(F341-H341, 3 - (1+INT(LOG10(ABS(F341)))))),""),IF(AND(F341=0,NOT(F341="")),ABS(ROUNDDOWN(F341-H341,0)),""))</f>
        <v/>
      </c>
      <c r="J341" s="4">
        <f>IF(NOT(I341=""),IF(I341&lt;=G341,"match",IF(I341&lt;3*G341,"partial match","no match")),"")</f>
        <v/>
      </c>
      <c r="K341" t="inlineStr">
        <is>
          <t>dzm_sdlge_2D</t>
        </is>
      </c>
    </row>
    <row r="342" ht="15.75" customHeight="1" s="10">
      <c r="A342" t="inlineStr">
        <is>
          <t>configuration B</t>
        </is>
      </c>
      <c r="B342" t="inlineStr">
        <is>
          <t>Distance zone matrix (2D)</t>
        </is>
      </c>
      <c r="C342" t="inlineStr">
        <is>
          <t>Small distance high grey level emphasis</t>
        </is>
      </c>
      <c r="E342" t="inlineStr">
        <is>
          <t>3-5</t>
        </is>
      </c>
      <c r="F342" t="n">
        <v>95.7</v>
      </c>
      <c r="G342" t="n">
        <v>5.4</v>
      </c>
      <c r="I342" s="4">
        <f>IFERROR(IF(NOT(H342=""),ABS(ROUNDDOWN(F342-H342, 3 - (1+INT(LOG10(ABS(F342)))))),""),IF(AND(F342=0,NOT(F342="")),ABS(ROUNDDOWN(F342-H342,0)),""))</f>
        <v/>
      </c>
      <c r="J342" s="4">
        <f>IF(NOT(I342=""),IF(I342&lt;=G342,"match",IF(I342&lt;3*G342,"partial match","no match")),"")</f>
        <v/>
      </c>
      <c r="K342" t="inlineStr">
        <is>
          <t>dzm_sdhge_2D</t>
        </is>
      </c>
    </row>
    <row r="343" ht="15.75" customHeight="1" s="10">
      <c r="A343" t="inlineStr">
        <is>
          <t>configuration B</t>
        </is>
      </c>
      <c r="B343" t="inlineStr">
        <is>
          <t>Distance zone matrix (2D)</t>
        </is>
      </c>
      <c r="C343" t="inlineStr">
        <is>
          <t>Large distance low grey level emphasis</t>
        </is>
      </c>
      <c r="E343" t="inlineStr">
        <is>
          <t>3-5</t>
        </is>
      </c>
      <c r="F343" t="n">
        <v>0.9340000000000001</v>
      </c>
      <c r="G343" t="n">
        <v>0.018</v>
      </c>
      <c r="I343" s="4">
        <f>IFERROR(IF(NOT(H343=""),ABS(ROUNDDOWN(F343-H343, 3 - (1+INT(LOG10(ABS(F343)))))),""),IF(AND(F343=0,NOT(F343="")),ABS(ROUNDDOWN(F343-H343,0)),""))</f>
        <v/>
      </c>
      <c r="J343" s="4">
        <f>IF(NOT(I343=""),IF(I343&lt;=G343,"match",IF(I343&lt;3*G343,"partial match","no match")),"")</f>
        <v/>
      </c>
      <c r="K343" t="inlineStr">
        <is>
          <t>dzm_ldlge_2D</t>
        </is>
      </c>
    </row>
    <row r="344" ht="15.75" customHeight="1" s="10">
      <c r="A344" t="inlineStr">
        <is>
          <t>configuration B</t>
        </is>
      </c>
      <c r="B344" t="inlineStr">
        <is>
          <t>Distance zone matrix (2D)</t>
        </is>
      </c>
      <c r="C344" t="inlineStr">
        <is>
          <t>Large distance high grey level emphasis</t>
        </is>
      </c>
      <c r="E344" t="inlineStr">
        <is>
          <t>3-5</t>
        </is>
      </c>
      <c r="F344" t="n">
        <v>10600</v>
      </c>
      <c r="G344" t="n">
        <v>300</v>
      </c>
      <c r="I344" s="4">
        <f>IFERROR(IF(NOT(H344=""),ABS(ROUNDDOWN(F344-H344, 3 - (1+INT(LOG10(ABS(F344)))))),""),IF(AND(F344=0,NOT(F344="")),ABS(ROUNDDOWN(F344-H344,0)),""))</f>
        <v/>
      </c>
      <c r="J344" s="4">
        <f>IF(NOT(I344=""),IF(I344&lt;=G344,"match",IF(I344&lt;3*G344,"partial match","no match")),"")</f>
        <v/>
      </c>
      <c r="K344" t="inlineStr">
        <is>
          <t>dzm_ldhge_2D</t>
        </is>
      </c>
    </row>
    <row r="345" ht="15.75" customHeight="1" s="10">
      <c r="A345" t="inlineStr">
        <is>
          <t>configuration B</t>
        </is>
      </c>
      <c r="B345" t="inlineStr">
        <is>
          <t>Distance zone matrix (2D)</t>
        </is>
      </c>
      <c r="C345" t="inlineStr">
        <is>
          <t>Grey level non-uniformity</t>
        </is>
      </c>
      <c r="E345" t="inlineStr">
        <is>
          <t>3-5</t>
        </is>
      </c>
      <c r="F345" t="n">
        <v>20.5</v>
      </c>
      <c r="G345" t="n">
        <v>0.1</v>
      </c>
      <c r="I345" s="4">
        <f>IFERROR(IF(NOT(H345=""),ABS(ROUNDDOWN(F345-H345, 3 - (1+INT(LOG10(ABS(F345)))))),""),IF(AND(F345=0,NOT(F345="")),ABS(ROUNDDOWN(F345-H345,0)),""))</f>
        <v/>
      </c>
      <c r="J345" s="4">
        <f>IF(NOT(I345=""),IF(I345&lt;=G345,"match",IF(I345&lt;3*G345,"partial match","no match")),"")</f>
        <v/>
      </c>
      <c r="K345" t="inlineStr">
        <is>
          <t>dzm_glnu_2D</t>
        </is>
      </c>
    </row>
    <row r="346" ht="15.75" customHeight="1" s="10">
      <c r="A346" t="inlineStr">
        <is>
          <t>configuration B</t>
        </is>
      </c>
      <c r="B346" t="inlineStr">
        <is>
          <t>Distance zone matrix (2D)</t>
        </is>
      </c>
      <c r="C346" t="inlineStr">
        <is>
          <t>Grey level non-uniformity normalised</t>
        </is>
      </c>
      <c r="E346" t="inlineStr">
        <is>
          <t>3-5</t>
        </is>
      </c>
      <c r="F346" t="n">
        <v>0.0789</v>
      </c>
      <c r="G346" t="n">
        <v>0.0011</v>
      </c>
      <c r="I346" s="4">
        <f>IFERROR(IF(NOT(H346=""),ABS(ROUNDDOWN(F346-H346, 3 - (1+INT(LOG10(ABS(F346)))))),""),IF(AND(F346=0,NOT(F346="")),ABS(ROUNDDOWN(F346-H346,0)),""))</f>
        <v/>
      </c>
      <c r="J346" s="4">
        <f>IF(NOT(I346=""),IF(I346&lt;=G346,"match",IF(I346&lt;3*G346,"partial match","no match")),"")</f>
        <v/>
      </c>
      <c r="K346" t="inlineStr">
        <is>
          <t>dzm_glnu_norm_2D</t>
        </is>
      </c>
    </row>
    <row r="347" ht="15.75" customHeight="1" s="10">
      <c r="A347" t="inlineStr">
        <is>
          <t>configuration B</t>
        </is>
      </c>
      <c r="B347" t="inlineStr">
        <is>
          <t>Distance zone matrix (2D)</t>
        </is>
      </c>
      <c r="C347" t="inlineStr">
        <is>
          <t>Zone distance non-uniformity</t>
        </is>
      </c>
      <c r="E347" t="inlineStr">
        <is>
          <t>3-5</t>
        </is>
      </c>
      <c r="F347" t="n">
        <v>39.8</v>
      </c>
      <c r="G347" t="n">
        <v>0.3</v>
      </c>
      <c r="I347" s="4">
        <f>IFERROR(IF(NOT(H347=""),ABS(ROUNDDOWN(F347-H347, 3 - (1+INT(LOG10(ABS(F347)))))),""),IF(AND(F347=0,NOT(F347="")),ABS(ROUNDDOWN(F347-H347,0)),""))</f>
        <v/>
      </c>
      <c r="J347" s="4">
        <f>IF(NOT(I347=""),IF(I347&lt;=G347,"match",IF(I347&lt;3*G347,"partial match","no match")),"")</f>
        <v/>
      </c>
      <c r="K347" t="inlineStr">
        <is>
          <t>dzm_zdnu_2D</t>
        </is>
      </c>
    </row>
    <row r="348" ht="15.75" customHeight="1" s="10">
      <c r="A348" t="inlineStr">
        <is>
          <t>configuration B</t>
        </is>
      </c>
      <c r="B348" t="inlineStr">
        <is>
          <t>Distance zone matrix (2D)</t>
        </is>
      </c>
      <c r="C348" t="inlineStr">
        <is>
          <t>Zone distance non-uniformity normalised</t>
        </is>
      </c>
      <c r="E348" t="inlineStr">
        <is>
          <t>3-5</t>
        </is>
      </c>
      <c r="F348" t="n">
        <v>0.174</v>
      </c>
      <c r="G348" t="n">
        <v>0.003</v>
      </c>
      <c r="I348" s="4">
        <f>IFERROR(IF(NOT(H348=""),ABS(ROUNDDOWN(F348-H348, 3 - (1+INT(LOG10(ABS(F348)))))),""),IF(AND(F348=0,NOT(F348="")),ABS(ROUNDDOWN(F348-H348,0)),""))</f>
        <v/>
      </c>
      <c r="J348" s="4">
        <f>IF(NOT(I348=""),IF(I348&lt;=G348,"match",IF(I348&lt;3*G348,"partial match","no match")),"")</f>
        <v/>
      </c>
      <c r="K348" t="inlineStr">
        <is>
          <t>dzm_zdnu_norm_2D</t>
        </is>
      </c>
    </row>
    <row r="349" ht="15.75" customHeight="1" s="10">
      <c r="A349" t="inlineStr">
        <is>
          <t>configuration B</t>
        </is>
      </c>
      <c r="B349" t="inlineStr">
        <is>
          <t>Distance zone matrix (2D)</t>
        </is>
      </c>
      <c r="C349" t="inlineStr">
        <is>
          <t>Zone percentage</t>
        </is>
      </c>
      <c r="E349" t="inlineStr">
        <is>
          <t>3-5</t>
        </is>
      </c>
      <c r="F349" t="n">
        <v>0.324</v>
      </c>
      <c r="G349" t="n">
        <v>0.001</v>
      </c>
      <c r="I349" s="4">
        <f>IFERROR(IF(NOT(H349=""),ABS(ROUNDDOWN(F349-H349, 3 - (1+INT(LOG10(ABS(F349)))))),""),IF(AND(F349=0,NOT(F349="")),ABS(ROUNDDOWN(F349-H349,0)),""))</f>
        <v/>
      </c>
      <c r="J349" s="4">
        <f>IF(NOT(I349=""),IF(I349&lt;=G349,"match",IF(I349&lt;3*G349,"partial match","no match")),"")</f>
        <v/>
      </c>
      <c r="K349" t="inlineStr">
        <is>
          <t>dzm_z_perc_2D</t>
        </is>
      </c>
    </row>
    <row r="350" ht="15.75" customHeight="1" s="10">
      <c r="A350" t="inlineStr">
        <is>
          <t>configuration B</t>
        </is>
      </c>
      <c r="B350" t="inlineStr">
        <is>
          <t>Distance zone matrix (2D)</t>
        </is>
      </c>
      <c r="C350" t="inlineStr">
        <is>
          <t>Grey level variance</t>
        </is>
      </c>
      <c r="E350" t="inlineStr">
        <is>
          <t>3-5</t>
        </is>
      </c>
      <c r="F350" t="n">
        <v>36.1</v>
      </c>
      <c r="G350" t="n">
        <v>0.3</v>
      </c>
      <c r="I350" s="4">
        <f>IFERROR(IF(NOT(H350=""),ABS(ROUNDDOWN(F350-H350, 3 - (1+INT(LOG10(ABS(F350)))))),""),IF(AND(F350=0,NOT(F350="")),ABS(ROUNDDOWN(F350-H350,0)),""))</f>
        <v/>
      </c>
      <c r="J350" s="4">
        <f>IF(NOT(I350=""),IF(I350&lt;=G350,"match",IF(I350&lt;3*G350,"partial match","no match")),"")</f>
        <v/>
      </c>
      <c r="K350" t="inlineStr">
        <is>
          <t>dzm_gl_var_2D</t>
        </is>
      </c>
    </row>
    <row r="351" ht="15.75" customHeight="1" s="10">
      <c r="A351" t="inlineStr">
        <is>
          <t>configuration B</t>
        </is>
      </c>
      <c r="B351" t="inlineStr">
        <is>
          <t>Distance zone matrix (2D)</t>
        </is>
      </c>
      <c r="C351" t="inlineStr">
        <is>
          <t>Zone distance variance</t>
        </is>
      </c>
      <c r="E351" t="inlineStr">
        <is>
          <t>3-5</t>
        </is>
      </c>
      <c r="F351" t="n">
        <v>13.5</v>
      </c>
      <c r="G351" t="n">
        <v>0.1</v>
      </c>
      <c r="I351" s="4">
        <f>IFERROR(IF(NOT(H351=""),ABS(ROUNDDOWN(F351-H351, 3 - (1+INT(LOG10(ABS(F351)))))),""),IF(AND(F351=0,NOT(F351="")),ABS(ROUNDDOWN(F351-H351,0)),""))</f>
        <v/>
      </c>
      <c r="J351" s="4">
        <f>IF(NOT(I351=""),IF(I351&lt;=G351,"match",IF(I351&lt;3*G351,"partial match","no match")),"")</f>
        <v/>
      </c>
      <c r="K351" t="inlineStr">
        <is>
          <t>dzm_zd_var_2D</t>
        </is>
      </c>
    </row>
    <row r="352" ht="15.75" customHeight="1" s="10">
      <c r="A352" t="inlineStr">
        <is>
          <t>configuration B</t>
        </is>
      </c>
      <c r="B352" t="inlineStr">
        <is>
          <t>Distance zone matrix (2D)</t>
        </is>
      </c>
      <c r="C352" t="inlineStr">
        <is>
          <t>Zone distance entropy</t>
        </is>
      </c>
      <c r="E352" t="inlineStr">
        <is>
          <t>3-5</t>
        </is>
      </c>
      <c r="F352" t="n">
        <v>6.47</v>
      </c>
      <c r="G352" t="n">
        <v>0.03</v>
      </c>
      <c r="I352" s="4">
        <f>IFERROR(IF(NOT(H352=""),ABS(ROUNDDOWN(F352-H352, 3 - (1+INT(LOG10(ABS(F352)))))),""),IF(AND(F352=0,NOT(F352="")),ABS(ROUNDDOWN(F352-H352,0)),""))</f>
        <v/>
      </c>
      <c r="J352" s="4">
        <f>IF(NOT(I352=""),IF(I352&lt;=G352,"match",IF(I352&lt;3*G352,"partial match","no match")),"")</f>
        <v/>
      </c>
      <c r="K352" t="inlineStr">
        <is>
          <t>dzm_zd_entr_2D</t>
        </is>
      </c>
    </row>
    <row r="353" ht="15.75" customHeight="1" s="10">
      <c r="A353" t="inlineStr">
        <is>
          <t>configuration B</t>
        </is>
      </c>
      <c r="B353" t="inlineStr">
        <is>
          <t>Distance zone matrix (2.5D)</t>
        </is>
      </c>
      <c r="C353" t="inlineStr">
        <is>
          <t>Small distance emphasis</t>
        </is>
      </c>
      <c r="E353" t="inlineStr">
        <is>
          <t>&lt; 3</t>
        </is>
      </c>
      <c r="I353" s="4">
        <f>IFERROR(IF(NOT(H353=""),ABS(ROUNDDOWN(F353-H353, 3 - (1+INT(LOG10(ABS(F353)))))),""),IF(AND(F353=0,NOT(F353="")),ABS(ROUNDDOWN(F353-H353,0)),""))</f>
        <v/>
      </c>
      <c r="J353" s="4">
        <f>IF(NOT(I353=""),IF(I353&lt;=G353,"match",IF(I353&lt;3*G353,"partial match","no match")),"")</f>
        <v/>
      </c>
      <c r="K353" t="inlineStr">
        <is>
          <t>dzm_sde_2_5D</t>
        </is>
      </c>
    </row>
    <row r="354" ht="15.75" customHeight="1" s="10">
      <c r="A354" t="inlineStr">
        <is>
          <t>configuration B</t>
        </is>
      </c>
      <c r="B354" t="inlineStr">
        <is>
          <t>Distance zone matrix (2.5D)</t>
        </is>
      </c>
      <c r="C354" t="inlineStr">
        <is>
          <t>Large distance emphasis</t>
        </is>
      </c>
      <c r="E354" t="inlineStr">
        <is>
          <t>&lt; 3</t>
        </is>
      </c>
      <c r="I354" s="4">
        <f>IFERROR(IF(NOT(H354=""),ABS(ROUNDDOWN(F354-H354, 3 - (1+INT(LOG10(ABS(F354)))))),""),IF(AND(F354=0,NOT(F354="")),ABS(ROUNDDOWN(F354-H354,0)),""))</f>
        <v/>
      </c>
      <c r="J354" s="4">
        <f>IF(NOT(I354=""),IF(I354&lt;=G354,"match",IF(I354&lt;3*G354,"partial match","no match")),"")</f>
        <v/>
      </c>
      <c r="K354" t="inlineStr">
        <is>
          <t>dzm_lde_2_5D</t>
        </is>
      </c>
    </row>
    <row r="355" ht="15.75" customHeight="1" s="10">
      <c r="A355" t="inlineStr">
        <is>
          <t>configuration B</t>
        </is>
      </c>
      <c r="B355" t="inlineStr">
        <is>
          <t>Distance zone matrix (2.5D)</t>
        </is>
      </c>
      <c r="C355" t="inlineStr">
        <is>
          <t>Low grey level emphasis</t>
        </is>
      </c>
      <c r="E355" t="inlineStr">
        <is>
          <t>&lt; 3</t>
        </is>
      </c>
      <c r="I355" s="4">
        <f>IFERROR(IF(NOT(H355=""),ABS(ROUNDDOWN(F355-H355, 3 - (1+INT(LOG10(ABS(F355)))))),""),IF(AND(F355=0,NOT(F355="")),ABS(ROUNDDOWN(F355-H355,0)),""))</f>
        <v/>
      </c>
      <c r="J355" s="4">
        <f>IF(NOT(I355=""),IF(I355&lt;=G355,"match",IF(I355&lt;3*G355,"partial match","no match")),"")</f>
        <v/>
      </c>
      <c r="K355" t="inlineStr">
        <is>
          <t>dzm_lgze_2_5D</t>
        </is>
      </c>
    </row>
    <row r="356" ht="15.75" customHeight="1" s="10">
      <c r="A356" t="inlineStr">
        <is>
          <t>configuration B</t>
        </is>
      </c>
      <c r="B356" t="inlineStr">
        <is>
          <t>Distance zone matrix (2.5D)</t>
        </is>
      </c>
      <c r="C356" t="inlineStr">
        <is>
          <t>High grey level emphasis</t>
        </is>
      </c>
      <c r="E356" t="inlineStr">
        <is>
          <t>&lt; 3</t>
        </is>
      </c>
      <c r="I356" s="4">
        <f>IFERROR(IF(NOT(H356=""),ABS(ROUNDDOWN(F356-H356, 3 - (1+INT(LOG10(ABS(F356)))))),""),IF(AND(F356=0,NOT(F356="")),ABS(ROUNDDOWN(F356-H356,0)),""))</f>
        <v/>
      </c>
      <c r="J356" s="4">
        <f>IF(NOT(I356=""),IF(I356&lt;=G356,"match",IF(I356&lt;3*G356,"partial match","no match")),"")</f>
        <v/>
      </c>
      <c r="K356" t="inlineStr">
        <is>
          <t>dzm_hgze_2_5D</t>
        </is>
      </c>
    </row>
    <row r="357" ht="15.75" customHeight="1" s="10">
      <c r="A357" t="inlineStr">
        <is>
          <t>configuration B</t>
        </is>
      </c>
      <c r="B357" t="inlineStr">
        <is>
          <t>Distance zone matrix (2.5D)</t>
        </is>
      </c>
      <c r="C357" t="inlineStr">
        <is>
          <t>Small distance low grey level emphasis</t>
        </is>
      </c>
      <c r="E357" t="inlineStr">
        <is>
          <t>&lt; 3</t>
        </is>
      </c>
      <c r="I357" s="4">
        <f>IFERROR(IF(NOT(H357=""),ABS(ROUNDDOWN(F357-H357, 3 - (1+INT(LOG10(ABS(F357)))))),""),IF(AND(F357=0,NOT(F357="")),ABS(ROUNDDOWN(F357-H357,0)),""))</f>
        <v/>
      </c>
      <c r="J357" s="4">
        <f>IF(NOT(I357=""),IF(I357&lt;=G357,"match",IF(I357&lt;3*G357,"partial match","no match")),"")</f>
        <v/>
      </c>
      <c r="K357" t="inlineStr">
        <is>
          <t>dzm_sdlge_2_5D</t>
        </is>
      </c>
    </row>
    <row r="358" ht="15.75" customHeight="1" s="10">
      <c r="A358" t="inlineStr">
        <is>
          <t>configuration B</t>
        </is>
      </c>
      <c r="B358" t="inlineStr">
        <is>
          <t>Distance zone matrix (2.5D)</t>
        </is>
      </c>
      <c r="C358" t="inlineStr">
        <is>
          <t>Small distance high grey level emphasis</t>
        </is>
      </c>
      <c r="E358" t="inlineStr">
        <is>
          <t>&lt; 3</t>
        </is>
      </c>
      <c r="I358" s="4">
        <f>IFERROR(IF(NOT(H358=""),ABS(ROUNDDOWN(F358-H358, 3 - (1+INT(LOG10(ABS(F358)))))),""),IF(AND(F358=0,NOT(F358="")),ABS(ROUNDDOWN(F358-H358,0)),""))</f>
        <v/>
      </c>
      <c r="J358" s="4">
        <f>IF(NOT(I358=""),IF(I358&lt;=G358,"match",IF(I358&lt;3*G358,"partial match","no match")),"")</f>
        <v/>
      </c>
      <c r="K358" t="inlineStr">
        <is>
          <t>dzm_sdhge_2_5D</t>
        </is>
      </c>
    </row>
    <row r="359" ht="15.75" customHeight="1" s="10">
      <c r="A359" t="inlineStr">
        <is>
          <t>configuration B</t>
        </is>
      </c>
      <c r="B359" t="inlineStr">
        <is>
          <t>Distance zone matrix (2.5D)</t>
        </is>
      </c>
      <c r="C359" t="inlineStr">
        <is>
          <t>Large distance low grey level emphasis</t>
        </is>
      </c>
      <c r="E359" t="inlineStr">
        <is>
          <t>&lt; 3</t>
        </is>
      </c>
      <c r="I359" s="4">
        <f>IFERROR(IF(NOT(H359=""),ABS(ROUNDDOWN(F359-H359, 3 - (1+INT(LOG10(ABS(F359)))))),""),IF(AND(F359=0,NOT(F359="")),ABS(ROUNDDOWN(F359-H359,0)),""))</f>
        <v/>
      </c>
      <c r="J359" s="4">
        <f>IF(NOT(I359=""),IF(I359&lt;=G359,"match",IF(I359&lt;3*G359,"partial match","no match")),"")</f>
        <v/>
      </c>
      <c r="K359" t="inlineStr">
        <is>
          <t>dzm_ldlge_2_5D</t>
        </is>
      </c>
    </row>
    <row r="360" ht="15.75" customHeight="1" s="10">
      <c r="A360" t="inlineStr">
        <is>
          <t>configuration B</t>
        </is>
      </c>
      <c r="B360" t="inlineStr">
        <is>
          <t>Distance zone matrix (2.5D)</t>
        </is>
      </c>
      <c r="C360" t="inlineStr">
        <is>
          <t>Large distance high grey level emphasis</t>
        </is>
      </c>
      <c r="E360" t="inlineStr">
        <is>
          <t>&lt; 3</t>
        </is>
      </c>
      <c r="I360" s="4">
        <f>IFERROR(IF(NOT(H360=""),ABS(ROUNDDOWN(F360-H360, 3 - (1+INT(LOG10(ABS(F360)))))),""),IF(AND(F360=0,NOT(F360="")),ABS(ROUNDDOWN(F360-H360,0)),""))</f>
        <v/>
      </c>
      <c r="J360" s="4">
        <f>IF(NOT(I360=""),IF(I360&lt;=G360,"match",IF(I360&lt;3*G360,"partial match","no match")),"")</f>
        <v/>
      </c>
      <c r="K360" t="inlineStr">
        <is>
          <t>dzm_ldhge_2_5D</t>
        </is>
      </c>
    </row>
    <row r="361" ht="15.75" customHeight="1" s="10">
      <c r="A361" t="inlineStr">
        <is>
          <t>configuration B</t>
        </is>
      </c>
      <c r="B361" t="inlineStr">
        <is>
          <t>Distance zone matrix (2.5D)</t>
        </is>
      </c>
      <c r="C361" t="inlineStr">
        <is>
          <t>Grey level non-uniformity</t>
        </is>
      </c>
      <c r="E361" t="inlineStr">
        <is>
          <t>&lt; 3</t>
        </is>
      </c>
      <c r="I361" s="4">
        <f>IFERROR(IF(NOT(H361=""),ABS(ROUNDDOWN(F361-H361, 3 - (1+INT(LOG10(ABS(F361)))))),""),IF(AND(F361=0,NOT(F361="")),ABS(ROUNDDOWN(F361-H361,0)),""))</f>
        <v/>
      </c>
      <c r="J361" s="4">
        <f>IF(NOT(I361=""),IF(I361&lt;=G361,"match",IF(I361&lt;3*G361,"partial match","no match")),"")</f>
        <v/>
      </c>
      <c r="K361" t="inlineStr">
        <is>
          <t>dzm_glnu_2_5D</t>
        </is>
      </c>
    </row>
    <row r="362" ht="15.75" customHeight="1" s="10">
      <c r="A362" t="inlineStr">
        <is>
          <t>configuration B</t>
        </is>
      </c>
      <c r="B362" t="inlineStr">
        <is>
          <t>Distance zone matrix (2.5D)</t>
        </is>
      </c>
      <c r="C362" t="inlineStr">
        <is>
          <t>Grey level non-uniformity normalised</t>
        </is>
      </c>
      <c r="E362" t="inlineStr">
        <is>
          <t>&lt; 3</t>
        </is>
      </c>
      <c r="I362" s="4">
        <f>IFERROR(IF(NOT(H362=""),ABS(ROUNDDOWN(F362-H362, 3 - (1+INT(LOG10(ABS(F362)))))),""),IF(AND(F362=0,NOT(F362="")),ABS(ROUNDDOWN(F362-H362,0)),""))</f>
        <v/>
      </c>
      <c r="J362" s="4">
        <f>IF(NOT(I362=""),IF(I362&lt;=G362,"match",IF(I362&lt;3*G362,"partial match","no match")),"")</f>
        <v/>
      </c>
      <c r="K362" t="inlineStr">
        <is>
          <t>dzm_glnu_norm_2_5D</t>
        </is>
      </c>
    </row>
    <row r="363" ht="15.75" customHeight="1" s="10">
      <c r="A363" t="inlineStr">
        <is>
          <t>configuration B</t>
        </is>
      </c>
      <c r="B363" t="inlineStr">
        <is>
          <t>Distance zone matrix (2.5D)</t>
        </is>
      </c>
      <c r="C363" t="inlineStr">
        <is>
          <t>Zone distance non-uniformity</t>
        </is>
      </c>
      <c r="E363" t="inlineStr">
        <is>
          <t>&lt; 3</t>
        </is>
      </c>
      <c r="I363" s="4">
        <f>IFERROR(IF(NOT(H363=""),ABS(ROUNDDOWN(F363-H363, 3 - (1+INT(LOG10(ABS(F363)))))),""),IF(AND(F363=0,NOT(F363="")),ABS(ROUNDDOWN(F363-H363,0)),""))</f>
        <v/>
      </c>
      <c r="J363" s="4">
        <f>IF(NOT(I363=""),IF(I363&lt;=G363,"match",IF(I363&lt;3*G363,"partial match","no match")),"")</f>
        <v/>
      </c>
      <c r="K363" t="inlineStr">
        <is>
          <t>dzm_zdnu_2_5D</t>
        </is>
      </c>
    </row>
    <row r="364" ht="15.75" customHeight="1" s="10">
      <c r="A364" t="inlineStr">
        <is>
          <t>configuration B</t>
        </is>
      </c>
      <c r="B364" t="inlineStr">
        <is>
          <t>Distance zone matrix (2.5D)</t>
        </is>
      </c>
      <c r="C364" t="inlineStr">
        <is>
          <t>Zone distance non-uniformity normalised</t>
        </is>
      </c>
      <c r="E364" t="inlineStr">
        <is>
          <t>&lt; 3</t>
        </is>
      </c>
      <c r="I364" s="4">
        <f>IFERROR(IF(NOT(H364=""),ABS(ROUNDDOWN(F364-H364, 3 - (1+INT(LOG10(ABS(F364)))))),""),IF(AND(F364=0,NOT(F364="")),ABS(ROUNDDOWN(F364-H364,0)),""))</f>
        <v/>
      </c>
      <c r="J364" s="4">
        <f>IF(NOT(I364=""),IF(I364&lt;=G364,"match",IF(I364&lt;3*G364,"partial match","no match")),"")</f>
        <v/>
      </c>
      <c r="K364" t="inlineStr">
        <is>
          <t>dzm_zdnu_norm_2_5D</t>
        </is>
      </c>
    </row>
    <row r="365" ht="15.75" customHeight="1" s="10">
      <c r="A365" t="inlineStr">
        <is>
          <t>configuration B</t>
        </is>
      </c>
      <c r="B365" t="inlineStr">
        <is>
          <t>Distance zone matrix (2.5D)</t>
        </is>
      </c>
      <c r="C365" t="inlineStr">
        <is>
          <t>Zone percentage</t>
        </is>
      </c>
      <c r="E365" t="inlineStr">
        <is>
          <t>&lt; 3</t>
        </is>
      </c>
      <c r="I365" s="4">
        <f>IFERROR(IF(NOT(H365=""),ABS(ROUNDDOWN(F365-H365, 3 - (1+INT(LOG10(ABS(F365)))))),""),IF(AND(F365=0,NOT(F365="")),ABS(ROUNDDOWN(F365-H365,0)),""))</f>
        <v/>
      </c>
      <c r="J365" s="4">
        <f>IF(NOT(I365=""),IF(I365&lt;=G365,"match",IF(I365&lt;3*G365,"partial match","no match")),"")</f>
        <v/>
      </c>
      <c r="K365" t="inlineStr">
        <is>
          <t>dzm_z_perc_2_5D</t>
        </is>
      </c>
    </row>
    <row r="366" ht="15.75" customHeight="1" s="10">
      <c r="A366" t="inlineStr">
        <is>
          <t>configuration B</t>
        </is>
      </c>
      <c r="B366" t="inlineStr">
        <is>
          <t>Distance zone matrix (2.5D)</t>
        </is>
      </c>
      <c r="C366" t="inlineStr">
        <is>
          <t>Grey level variance</t>
        </is>
      </c>
      <c r="E366" t="inlineStr">
        <is>
          <t>&lt; 3</t>
        </is>
      </c>
      <c r="I366" s="4">
        <f>IFERROR(IF(NOT(H366=""),ABS(ROUNDDOWN(F366-H366, 3 - (1+INT(LOG10(ABS(F366)))))),""),IF(AND(F366=0,NOT(F366="")),ABS(ROUNDDOWN(F366-H366,0)),""))</f>
        <v/>
      </c>
      <c r="J366" s="4">
        <f>IF(NOT(I366=""),IF(I366&lt;=G366,"match",IF(I366&lt;3*G366,"partial match","no match")),"")</f>
        <v/>
      </c>
      <c r="K366" t="inlineStr">
        <is>
          <t>dzm_gl_var_2_5D</t>
        </is>
      </c>
    </row>
    <row r="367" ht="15.75" customHeight="1" s="10">
      <c r="A367" t="inlineStr">
        <is>
          <t>configuration B</t>
        </is>
      </c>
      <c r="B367" t="inlineStr">
        <is>
          <t>Distance zone matrix (2.5D)</t>
        </is>
      </c>
      <c r="C367" t="inlineStr">
        <is>
          <t>Zone distance variance</t>
        </is>
      </c>
      <c r="E367" t="inlineStr">
        <is>
          <t>&lt; 3</t>
        </is>
      </c>
      <c r="I367" s="4">
        <f>IFERROR(IF(NOT(H367=""),ABS(ROUNDDOWN(F367-H367, 3 - (1+INT(LOG10(ABS(F367)))))),""),IF(AND(F367=0,NOT(F367="")),ABS(ROUNDDOWN(F367-H367,0)),""))</f>
        <v/>
      </c>
      <c r="J367" s="4">
        <f>IF(NOT(I367=""),IF(I367&lt;=G367,"match",IF(I367&lt;3*G367,"partial match","no match")),"")</f>
        <v/>
      </c>
      <c r="K367" t="inlineStr">
        <is>
          <t>dzm_zd_var_2_5D</t>
        </is>
      </c>
    </row>
    <row r="368" ht="15.75" customHeight="1" s="10">
      <c r="A368" t="inlineStr">
        <is>
          <t>configuration B</t>
        </is>
      </c>
      <c r="B368" t="inlineStr">
        <is>
          <t>Distance zone matrix (2.5D)</t>
        </is>
      </c>
      <c r="C368" t="inlineStr">
        <is>
          <t>Zone distance entropy</t>
        </is>
      </c>
      <c r="E368" t="inlineStr">
        <is>
          <t>&lt; 3</t>
        </is>
      </c>
      <c r="I368" s="4">
        <f>IFERROR(IF(NOT(H368=""),ABS(ROUNDDOWN(F368-H368, 3 - (1+INT(LOG10(ABS(F368)))))),""),IF(AND(F368=0,NOT(F368="")),ABS(ROUNDDOWN(F368-H368,0)),""))</f>
        <v/>
      </c>
      <c r="J368" s="4">
        <f>IF(NOT(I368=""),IF(I368&lt;=G368,"match",IF(I368&lt;3*G368,"partial match","no match")),"")</f>
        <v/>
      </c>
      <c r="K368" t="inlineStr">
        <is>
          <t>dzm_zd_entr_2_5D</t>
        </is>
      </c>
    </row>
    <row r="369" ht="15.75" customHeight="1" s="10">
      <c r="A369" t="inlineStr">
        <is>
          <t>configuration B</t>
        </is>
      </c>
      <c r="B369" t="inlineStr">
        <is>
          <t>Neighbourhood grey tone difference matrix (2D)</t>
        </is>
      </c>
      <c r="C369" t="inlineStr">
        <is>
          <t>Coarseness</t>
        </is>
      </c>
      <c r="E369" t="inlineStr">
        <is>
          <t>3-5</t>
        </is>
      </c>
      <c r="F369" t="n">
        <v>0.0168</v>
      </c>
      <c r="G369" t="n">
        <v>0.0005</v>
      </c>
      <c r="I369" s="4">
        <f>IFERROR(IF(NOT(H369=""),ABS(ROUNDDOWN(F369-H369, 3 - (1+INT(LOG10(ABS(F369)))))),""),IF(AND(F369=0,NOT(F369="")),ABS(ROUNDDOWN(F369-H369,0)),""))</f>
        <v/>
      </c>
      <c r="J369" s="4">
        <f>IF(NOT(I369=""),IF(I369&lt;=G369,"match",IF(I369&lt;3*G369,"partial match","no match")),"")</f>
        <v/>
      </c>
      <c r="K369" t="inlineStr">
        <is>
          <t>ngt_coarseness_2D</t>
        </is>
      </c>
    </row>
    <row r="370" ht="15.75" customHeight="1" s="10">
      <c r="A370" t="inlineStr">
        <is>
          <t>configuration B</t>
        </is>
      </c>
      <c r="B370" t="inlineStr">
        <is>
          <t>Neighbourhood grey tone difference matrix (2D)</t>
        </is>
      </c>
      <c r="C370" t="inlineStr">
        <is>
          <t>Contrast</t>
        </is>
      </c>
      <c r="E370" t="inlineStr">
        <is>
          <t>3-5</t>
        </is>
      </c>
      <c r="F370" t="n">
        <v>0.181</v>
      </c>
      <c r="G370" t="n">
        <v>0.001</v>
      </c>
      <c r="I370" s="4">
        <f>IFERROR(IF(NOT(H370=""),ABS(ROUNDDOWN(F370-H370, 3 - (1+INT(LOG10(ABS(F370)))))),""),IF(AND(F370=0,NOT(F370="")),ABS(ROUNDDOWN(F370-H370,0)),""))</f>
        <v/>
      </c>
      <c r="J370" s="4">
        <f>IF(NOT(I370=""),IF(I370&lt;=G370,"match",IF(I370&lt;3*G370,"partial match","no match")),"")</f>
        <v/>
      </c>
      <c r="K370" t="inlineStr">
        <is>
          <t>ngt_contrast_2D</t>
        </is>
      </c>
    </row>
    <row r="371" ht="15.75" customHeight="1" s="10">
      <c r="A371" t="inlineStr">
        <is>
          <t>configuration B</t>
        </is>
      </c>
      <c r="B371" t="inlineStr">
        <is>
          <t>Neighbourhood grey tone difference matrix (2D)</t>
        </is>
      </c>
      <c r="C371" t="inlineStr">
        <is>
          <t>Busyness</t>
        </is>
      </c>
      <c r="E371" t="inlineStr">
        <is>
          <t>3-5</t>
        </is>
      </c>
      <c r="F371" t="n">
        <v>0.2</v>
      </c>
      <c r="G371" t="n">
        <v>0.005</v>
      </c>
      <c r="I371" s="4">
        <f>IFERROR(IF(NOT(H371=""),ABS(ROUNDDOWN(F371-H371, 3 - (1+INT(LOG10(ABS(F371)))))),""),IF(AND(F371=0,NOT(F371="")),ABS(ROUNDDOWN(F371-H371,0)),""))</f>
        <v/>
      </c>
      <c r="J371" s="4">
        <f>IF(NOT(I371=""),IF(I371&lt;=G371,"match",IF(I371&lt;3*G371,"partial match","no match")),"")</f>
        <v/>
      </c>
      <c r="K371" t="inlineStr">
        <is>
          <t>ngt_busyness_2D</t>
        </is>
      </c>
    </row>
    <row r="372" ht="15.75" customHeight="1" s="10">
      <c r="A372" t="inlineStr">
        <is>
          <t>configuration B</t>
        </is>
      </c>
      <c r="B372" t="inlineStr">
        <is>
          <t>Neighbourhood grey tone difference matrix (2D)</t>
        </is>
      </c>
      <c r="C372" t="inlineStr">
        <is>
          <t>Complexity</t>
        </is>
      </c>
      <c r="E372" t="inlineStr">
        <is>
          <t>3-5</t>
        </is>
      </c>
      <c r="F372" t="n">
        <v>391</v>
      </c>
      <c r="G372" t="n">
        <v>7</v>
      </c>
      <c r="I372" s="4">
        <f>IFERROR(IF(NOT(H372=""),ABS(ROUNDDOWN(F372-H372, 3 - (1+INT(LOG10(ABS(F372)))))),""),IF(AND(F372=0,NOT(F372="")),ABS(ROUNDDOWN(F372-H372,0)),""))</f>
        <v/>
      </c>
      <c r="J372" s="4">
        <f>IF(NOT(I372=""),IF(I372&lt;=G372,"match",IF(I372&lt;3*G372,"partial match","no match")),"")</f>
        <v/>
      </c>
      <c r="K372" t="inlineStr">
        <is>
          <t>ngt_complexity_2D</t>
        </is>
      </c>
    </row>
    <row r="373" ht="15.75" customHeight="1" s="10">
      <c r="A373" t="inlineStr">
        <is>
          <t>configuration B</t>
        </is>
      </c>
      <c r="B373" t="inlineStr">
        <is>
          <t>Neighbourhood grey tone difference matrix (2D)</t>
        </is>
      </c>
      <c r="C373" t="inlineStr">
        <is>
          <t>Strength</t>
        </is>
      </c>
      <c r="E373" t="inlineStr">
        <is>
          <t>3-5</t>
        </is>
      </c>
      <c r="F373" t="n">
        <v>6.02</v>
      </c>
      <c r="G373" t="n">
        <v>0.23</v>
      </c>
      <c r="I373" s="4">
        <f>IFERROR(IF(NOT(H373=""),ABS(ROUNDDOWN(F373-H373, 3 - (1+INT(LOG10(ABS(F373)))))),""),IF(AND(F373=0,NOT(F373="")),ABS(ROUNDDOWN(F373-H373,0)),""))</f>
        <v/>
      </c>
      <c r="J373" s="4">
        <f>IF(NOT(I373=""),IF(I373&lt;=G373,"match",IF(I373&lt;3*G373,"partial match","no match")),"")</f>
        <v/>
      </c>
      <c r="K373" t="inlineStr">
        <is>
          <t>ngt_strength_2D</t>
        </is>
      </c>
    </row>
    <row r="374" ht="15.75" customHeight="1" s="10">
      <c r="A374" t="inlineStr">
        <is>
          <t>configuration B</t>
        </is>
      </c>
      <c r="B374" t="inlineStr">
        <is>
          <t>Neighbourhood grey tone difference matrix (2.5D)</t>
        </is>
      </c>
      <c r="C374" t="inlineStr">
        <is>
          <t>Coarseness</t>
        </is>
      </c>
      <c r="E374" t="inlineStr">
        <is>
          <t>&lt; 3</t>
        </is>
      </c>
      <c r="I374" s="4">
        <f>IFERROR(IF(NOT(H374=""),ABS(ROUNDDOWN(F374-H374, 3 - (1+INT(LOG10(ABS(F374)))))),""),IF(AND(F374=0,NOT(F374="")),ABS(ROUNDDOWN(F374-H374,0)),""))</f>
        <v/>
      </c>
      <c r="J374" s="4">
        <f>IF(NOT(I374=""),IF(I374&lt;=G374,"match",IF(I374&lt;3*G374,"partial match","no match")),"")</f>
        <v/>
      </c>
      <c r="K374" t="inlineStr">
        <is>
          <t>ngt_coarseness_2_5D</t>
        </is>
      </c>
    </row>
    <row r="375" ht="15.75" customHeight="1" s="10">
      <c r="A375" t="inlineStr">
        <is>
          <t>configuration B</t>
        </is>
      </c>
      <c r="B375" t="inlineStr">
        <is>
          <t>Neighbourhood grey tone difference matrix (2.5D)</t>
        </is>
      </c>
      <c r="C375" t="inlineStr">
        <is>
          <t>Contrast</t>
        </is>
      </c>
      <c r="E375" t="inlineStr">
        <is>
          <t>&lt; 3</t>
        </is>
      </c>
      <c r="I375" s="4">
        <f>IFERROR(IF(NOT(H375=""),ABS(ROUNDDOWN(F375-H375, 3 - (1+INT(LOG10(ABS(F375)))))),""),IF(AND(F375=0,NOT(F375="")),ABS(ROUNDDOWN(F375-H375,0)),""))</f>
        <v/>
      </c>
      <c r="J375" s="4">
        <f>IF(NOT(I375=""),IF(I375&lt;=G375,"match",IF(I375&lt;3*G375,"partial match","no match")),"")</f>
        <v/>
      </c>
      <c r="K375" t="inlineStr">
        <is>
          <t>ngt_contrast_2_5D</t>
        </is>
      </c>
    </row>
    <row r="376" ht="15.75" customHeight="1" s="10">
      <c r="A376" t="inlineStr">
        <is>
          <t>configuration B</t>
        </is>
      </c>
      <c r="B376" t="inlineStr">
        <is>
          <t>Neighbourhood grey tone difference matrix (2.5D)</t>
        </is>
      </c>
      <c r="C376" t="inlineStr">
        <is>
          <t>Busyness</t>
        </is>
      </c>
      <c r="E376" t="inlineStr">
        <is>
          <t>&lt; 3</t>
        </is>
      </c>
      <c r="I376" s="4">
        <f>IFERROR(IF(NOT(H376=""),ABS(ROUNDDOWN(F376-H376, 3 - (1+INT(LOG10(ABS(F376)))))),""),IF(AND(F376=0,NOT(F376="")),ABS(ROUNDDOWN(F376-H376,0)),""))</f>
        <v/>
      </c>
      <c r="J376" s="4">
        <f>IF(NOT(I376=""),IF(I376&lt;=G376,"match",IF(I376&lt;3*G376,"partial match","no match")),"")</f>
        <v/>
      </c>
      <c r="K376" t="inlineStr">
        <is>
          <t>ngt_busyness_2_5D</t>
        </is>
      </c>
    </row>
    <row r="377" ht="15.75" customHeight="1" s="10">
      <c r="A377" t="inlineStr">
        <is>
          <t>configuration B</t>
        </is>
      </c>
      <c r="B377" t="inlineStr">
        <is>
          <t>Neighbourhood grey tone difference matrix (2.5D)</t>
        </is>
      </c>
      <c r="C377" t="inlineStr">
        <is>
          <t>Complexity</t>
        </is>
      </c>
      <c r="E377" t="inlineStr">
        <is>
          <t>&lt; 3</t>
        </is>
      </c>
      <c r="I377" s="4">
        <f>IFERROR(IF(NOT(H377=""),ABS(ROUNDDOWN(F377-H377, 3 - (1+INT(LOG10(ABS(F377)))))),""),IF(AND(F377=0,NOT(F377="")),ABS(ROUNDDOWN(F377-H377,0)),""))</f>
        <v/>
      </c>
      <c r="J377" s="4">
        <f>IF(NOT(I377=""),IF(I377&lt;=G377,"match",IF(I377&lt;3*G377,"partial match","no match")),"")</f>
        <v/>
      </c>
      <c r="K377" t="inlineStr">
        <is>
          <t>ngt_complexity_2_5D</t>
        </is>
      </c>
    </row>
    <row r="378" ht="15.75" customHeight="1" s="10">
      <c r="A378" t="inlineStr">
        <is>
          <t>configuration B</t>
        </is>
      </c>
      <c r="B378" t="inlineStr">
        <is>
          <t>Neighbourhood grey tone difference matrix (2.5D)</t>
        </is>
      </c>
      <c r="C378" t="inlineStr">
        <is>
          <t>Strength</t>
        </is>
      </c>
      <c r="E378" t="inlineStr">
        <is>
          <t>&lt; 3</t>
        </is>
      </c>
      <c r="I378" s="4">
        <f>IFERROR(IF(NOT(H378=""),ABS(ROUNDDOWN(F378-H378, 3 - (1+INT(LOG10(ABS(F378)))))),""),IF(AND(F378=0,NOT(F378="")),ABS(ROUNDDOWN(F378-H378,0)),""))</f>
        <v/>
      </c>
      <c r="J378" s="4">
        <f>IF(NOT(I378=""),IF(I378&lt;=G378,"match",IF(I378&lt;3*G378,"partial match","no match")),"")</f>
        <v/>
      </c>
      <c r="K378" t="inlineStr">
        <is>
          <t>ngt_strength_2_5D</t>
        </is>
      </c>
    </row>
    <row r="379" ht="15.75" customHeight="1" s="10">
      <c r="A379" t="inlineStr">
        <is>
          <t>configuration B</t>
        </is>
      </c>
      <c r="B379" t="inlineStr">
        <is>
          <t>Neighbouring grey level dependence matrix (2D)</t>
        </is>
      </c>
      <c r="C379" t="inlineStr">
        <is>
          <t>Low dependence emphasis</t>
        </is>
      </c>
      <c r="E379" t="inlineStr">
        <is>
          <t>3-5</t>
        </is>
      </c>
      <c r="F379" t="n">
        <v>0.31</v>
      </c>
      <c r="G379" t="n">
        <v>0.001</v>
      </c>
      <c r="I379" s="4">
        <f>IFERROR(IF(NOT(H379=""),ABS(ROUNDDOWN(F379-H379, 3 - (1+INT(LOG10(ABS(F379)))))),""),IF(AND(F379=0,NOT(F379="")),ABS(ROUNDDOWN(F379-H379,0)),""))</f>
        <v/>
      </c>
      <c r="J379" s="4">
        <f>IF(NOT(I379=""),IF(I379&lt;=G379,"match",IF(I379&lt;3*G379,"partial match","no match")),"")</f>
        <v/>
      </c>
      <c r="K379" t="inlineStr">
        <is>
          <t>ngl_lde_2D</t>
        </is>
      </c>
    </row>
    <row r="380" ht="15.75" customHeight="1" s="10">
      <c r="A380" t="inlineStr">
        <is>
          <t>configuration B</t>
        </is>
      </c>
      <c r="B380" t="inlineStr">
        <is>
          <t>Neighbouring grey level dependence matrix (2D)</t>
        </is>
      </c>
      <c r="C380" t="inlineStr">
        <is>
          <t>High dependence emphasis</t>
        </is>
      </c>
      <c r="E380" t="inlineStr">
        <is>
          <t>3-5</t>
        </is>
      </c>
      <c r="F380" t="n">
        <v>17.3</v>
      </c>
      <c r="G380" t="n">
        <v>0.2</v>
      </c>
      <c r="I380" s="4">
        <f>IFERROR(IF(NOT(H380=""),ABS(ROUNDDOWN(F380-H380, 3 - (1+INT(LOG10(ABS(F380)))))),""),IF(AND(F380=0,NOT(F380="")),ABS(ROUNDDOWN(F380-H380,0)),""))</f>
        <v/>
      </c>
      <c r="J380" s="4">
        <f>IF(NOT(I380=""),IF(I380&lt;=G380,"match",IF(I380&lt;3*G380,"partial match","no match")),"")</f>
        <v/>
      </c>
      <c r="K380" t="inlineStr">
        <is>
          <t>ngl_hde_2D</t>
        </is>
      </c>
    </row>
    <row r="381" ht="15.75" customHeight="1" s="10">
      <c r="A381" t="inlineStr">
        <is>
          <t>configuration B</t>
        </is>
      </c>
      <c r="B381" t="inlineStr">
        <is>
          <t>Neighbouring grey level dependence matrix (2D)</t>
        </is>
      </c>
      <c r="C381" t="inlineStr">
        <is>
          <t>Low grey level count emphasis</t>
        </is>
      </c>
      <c r="E381" t="inlineStr">
        <is>
          <t>3-5</t>
        </is>
      </c>
      <c r="F381" t="n">
        <v>0.0286</v>
      </c>
      <c r="G381" t="n">
        <v>0.0005</v>
      </c>
      <c r="I381" s="4">
        <f>IFERROR(IF(NOT(H381=""),ABS(ROUNDDOWN(F381-H381, 3 - (1+INT(LOG10(ABS(F381)))))),""),IF(AND(F381=0,NOT(F381="")),ABS(ROUNDDOWN(F381-H381,0)),""))</f>
        <v/>
      </c>
      <c r="J381" s="4">
        <f>IF(NOT(I381=""),IF(I381&lt;=G381,"match",IF(I381&lt;3*G381,"partial match","no match")),"")</f>
        <v/>
      </c>
      <c r="K381" t="inlineStr">
        <is>
          <t>ngl_lgce_2D</t>
        </is>
      </c>
    </row>
    <row r="382" ht="15.75" customHeight="1" s="10">
      <c r="A382" t="inlineStr">
        <is>
          <t>configuration B</t>
        </is>
      </c>
      <c r="B382" t="inlineStr">
        <is>
          <t>Neighbouring grey level dependence matrix (2D)</t>
        </is>
      </c>
      <c r="C382" t="inlineStr">
        <is>
          <t>High grey level count emphasis</t>
        </is>
      </c>
      <c r="E382" t="inlineStr">
        <is>
          <t>3-5</t>
        </is>
      </c>
      <c r="F382" t="n">
        <v>359</v>
      </c>
      <c r="G382" t="n">
        <v>11</v>
      </c>
      <c r="I382" s="4">
        <f>IFERROR(IF(NOT(H382=""),ABS(ROUNDDOWN(F382-H382, 3 - (1+INT(LOG10(ABS(F382)))))),""),IF(AND(F382=0,NOT(F382="")),ABS(ROUNDDOWN(F382-H382,0)),""))</f>
        <v/>
      </c>
      <c r="J382" s="4">
        <f>IF(NOT(I382=""),IF(I382&lt;=G382,"match",IF(I382&lt;3*G382,"partial match","no match")),"")</f>
        <v/>
      </c>
      <c r="K382" t="inlineStr">
        <is>
          <t>ngl_hgce_2D</t>
        </is>
      </c>
    </row>
    <row r="383" ht="15.75" customHeight="1" s="10">
      <c r="A383" t="inlineStr">
        <is>
          <t>configuration B</t>
        </is>
      </c>
      <c r="B383" t="inlineStr">
        <is>
          <t>Neighbouring grey level dependence matrix (2D)</t>
        </is>
      </c>
      <c r="C383" t="inlineStr">
        <is>
          <t>Low dependence low grey level emphasis</t>
        </is>
      </c>
      <c r="E383" t="inlineStr">
        <is>
          <t>3-5</t>
        </is>
      </c>
      <c r="F383" t="n">
        <v>0.0203</v>
      </c>
      <c r="G383" t="n">
        <v>0.0003</v>
      </c>
      <c r="I383" s="4">
        <f>IFERROR(IF(NOT(H383=""),ABS(ROUNDDOWN(F383-H383, 3 - (1+INT(LOG10(ABS(F383)))))),""),IF(AND(F383=0,NOT(F383="")),ABS(ROUNDDOWN(F383-H383,0)),""))</f>
        <v/>
      </c>
      <c r="J383" s="4">
        <f>IF(NOT(I383=""),IF(I383&lt;=G383,"match",IF(I383&lt;3*G383,"partial match","no match")),"")</f>
        <v/>
      </c>
      <c r="K383" t="inlineStr">
        <is>
          <t>ngl_ldlge_2D</t>
        </is>
      </c>
    </row>
    <row r="384" ht="15.75" customHeight="1" s="10">
      <c r="A384" t="inlineStr">
        <is>
          <t>configuration B</t>
        </is>
      </c>
      <c r="B384" t="inlineStr">
        <is>
          <t>Neighbouring grey level dependence matrix (2D)</t>
        </is>
      </c>
      <c r="C384" t="inlineStr">
        <is>
          <t>Low dependence high grey level emphasis</t>
        </is>
      </c>
      <c r="E384" t="inlineStr">
        <is>
          <t>3-5</t>
        </is>
      </c>
      <c r="F384" t="n">
        <v>78.90000000000001</v>
      </c>
      <c r="G384" t="n">
        <v>2.3</v>
      </c>
      <c r="I384" s="4">
        <f>IFERROR(IF(NOT(H384=""),ABS(ROUNDDOWN(F384-H384, 3 - (1+INT(LOG10(ABS(F384)))))),""),IF(AND(F384=0,NOT(F384="")),ABS(ROUNDDOWN(F384-H384,0)),""))</f>
        <v/>
      </c>
      <c r="J384" s="4">
        <f>IF(NOT(I384=""),IF(I384&lt;=G384,"match",IF(I384&lt;3*G384,"partial match","no match")),"")</f>
        <v/>
      </c>
      <c r="K384" t="inlineStr">
        <is>
          <t>ngl_ldhge_2D</t>
        </is>
      </c>
    </row>
    <row r="385" ht="15.75" customHeight="1" s="10">
      <c r="A385" t="inlineStr">
        <is>
          <t>configuration B</t>
        </is>
      </c>
      <c r="B385" t="inlineStr">
        <is>
          <t>Neighbouring grey level dependence matrix (2D)</t>
        </is>
      </c>
      <c r="C385" t="inlineStr">
        <is>
          <t>High dependence low grey level emphasis</t>
        </is>
      </c>
      <c r="E385" t="inlineStr">
        <is>
          <t>3-5</t>
        </is>
      </c>
      <c r="F385" t="n">
        <v>0.108</v>
      </c>
      <c r="G385" t="n">
        <v>0.003</v>
      </c>
      <c r="I385" s="4">
        <f>IFERROR(IF(NOT(H385=""),ABS(ROUNDDOWN(F385-H385, 3 - (1+INT(LOG10(ABS(F385)))))),""),IF(AND(F385=0,NOT(F385="")),ABS(ROUNDDOWN(F385-H385,0)),""))</f>
        <v/>
      </c>
      <c r="J385" s="4">
        <f>IF(NOT(I385=""),IF(I385&lt;=G385,"match",IF(I385&lt;3*G385,"partial match","no match")),"")</f>
        <v/>
      </c>
      <c r="K385" t="inlineStr">
        <is>
          <t>ngl_hdlge_2D</t>
        </is>
      </c>
    </row>
    <row r="386" ht="15.75" customHeight="1" s="10">
      <c r="A386" t="inlineStr">
        <is>
          <t>configuration B</t>
        </is>
      </c>
      <c r="B386" t="inlineStr">
        <is>
          <t>Neighbouring grey level dependence matrix (2D)</t>
        </is>
      </c>
      <c r="C386" t="inlineStr">
        <is>
          <t>High dependence high grey level emphasis</t>
        </is>
      </c>
      <c r="E386" t="inlineStr">
        <is>
          <t>3-5</t>
        </is>
      </c>
      <c r="F386" t="n">
        <v>7210</v>
      </c>
      <c r="G386" t="n">
        <v>130</v>
      </c>
      <c r="I386" s="4">
        <f>IFERROR(IF(NOT(H386=""),ABS(ROUNDDOWN(F386-H386, 3 - (1+INT(LOG10(ABS(F386)))))),""),IF(AND(F386=0,NOT(F386="")),ABS(ROUNDDOWN(F386-H386,0)),""))</f>
        <v/>
      </c>
      <c r="J386" s="4">
        <f>IF(NOT(I386=""),IF(I386&lt;=G386,"match",IF(I386&lt;3*G386,"partial match","no match")),"")</f>
        <v/>
      </c>
      <c r="K386" t="inlineStr">
        <is>
          <t>ngl_hdhge_2D</t>
        </is>
      </c>
    </row>
    <row r="387" ht="15.75" customHeight="1" s="10">
      <c r="A387" t="inlineStr">
        <is>
          <t>configuration B</t>
        </is>
      </c>
      <c r="B387" t="inlineStr">
        <is>
          <t>Neighbouring grey level dependence matrix (2D)</t>
        </is>
      </c>
      <c r="C387" t="inlineStr">
        <is>
          <t>Grey level non-uniformity</t>
        </is>
      </c>
      <c r="E387" t="inlineStr">
        <is>
          <t>3-5</t>
        </is>
      </c>
      <c r="F387" t="n">
        <v>216</v>
      </c>
      <c r="G387" t="n">
        <v>3</v>
      </c>
      <c r="I387" s="4">
        <f>IFERROR(IF(NOT(H387=""),ABS(ROUNDDOWN(F387-H387, 3 - (1+INT(LOG10(ABS(F387)))))),""),IF(AND(F387=0,NOT(F387="")),ABS(ROUNDDOWN(F387-H387,0)),""))</f>
        <v/>
      </c>
      <c r="J387" s="4">
        <f>IF(NOT(I387=""),IF(I387&lt;=G387,"match",IF(I387&lt;3*G387,"partial match","no match")),"")</f>
        <v/>
      </c>
      <c r="K387" t="inlineStr">
        <is>
          <t>ngl_glnu_2D</t>
        </is>
      </c>
    </row>
    <row r="388" ht="15.75" customHeight="1" s="10">
      <c r="A388" t="inlineStr">
        <is>
          <t>configuration B</t>
        </is>
      </c>
      <c r="B388" t="inlineStr">
        <is>
          <t>Neighbouring grey level dependence matrix (2D)</t>
        </is>
      </c>
      <c r="C388" t="inlineStr">
        <is>
          <t>Grey level non-uniformity normalised</t>
        </is>
      </c>
      <c r="E388" t="inlineStr">
        <is>
          <t>3-5</t>
        </is>
      </c>
      <c r="F388" t="n">
        <v>0.184</v>
      </c>
      <c r="G388" t="n">
        <v>0.001</v>
      </c>
      <c r="I388" s="4">
        <f>IFERROR(IF(NOT(H388=""),ABS(ROUNDDOWN(F388-H388, 3 - (1+INT(LOG10(ABS(F388)))))),""),IF(AND(F388=0,NOT(F388="")),ABS(ROUNDDOWN(F388-H388,0)),""))</f>
        <v/>
      </c>
      <c r="J388" s="4">
        <f>IF(NOT(I388=""),IF(I388&lt;=G388,"match",IF(I388&lt;3*G388,"partial match","no match")),"")</f>
        <v/>
      </c>
      <c r="K388" t="inlineStr">
        <is>
          <t>ngl_glnu_norm_2D</t>
        </is>
      </c>
    </row>
    <row r="389" ht="15.75" customHeight="1" s="10">
      <c r="A389" t="inlineStr">
        <is>
          <t>configuration B</t>
        </is>
      </c>
      <c r="B389" t="inlineStr">
        <is>
          <t>Neighbouring grey level dependence matrix (2D)</t>
        </is>
      </c>
      <c r="C389" t="inlineStr">
        <is>
          <t>Dependence count non-uniformity</t>
        </is>
      </c>
      <c r="E389" t="inlineStr">
        <is>
          <t>3-5</t>
        </is>
      </c>
      <c r="F389" t="n">
        <v>157</v>
      </c>
      <c r="G389" t="n">
        <v>1</v>
      </c>
      <c r="I389" s="4">
        <f>IFERROR(IF(NOT(H389=""),ABS(ROUNDDOWN(F389-H389, 3 - (1+INT(LOG10(ABS(F389)))))),""),IF(AND(F389=0,NOT(F389="")),ABS(ROUNDDOWN(F389-H389,0)),""))</f>
        <v/>
      </c>
      <c r="J389" s="4">
        <f>IF(NOT(I389=""),IF(I389&lt;=G389,"match",IF(I389&lt;3*G389,"partial match","no match")),"")</f>
        <v/>
      </c>
      <c r="K389" t="inlineStr">
        <is>
          <t>ngl_dcnu_2D</t>
        </is>
      </c>
    </row>
    <row r="390" ht="15.75" customHeight="1" s="10">
      <c r="A390" t="inlineStr">
        <is>
          <t>configuration B</t>
        </is>
      </c>
      <c r="B390" t="inlineStr">
        <is>
          <t>Neighbouring grey level dependence matrix (2D)</t>
        </is>
      </c>
      <c r="C390" t="inlineStr">
        <is>
          <t>Dependence count non-uniformity normalised</t>
        </is>
      </c>
      <c r="E390" t="inlineStr">
        <is>
          <t>3-5</t>
        </is>
      </c>
      <c r="F390" t="n">
        <v>0.179</v>
      </c>
      <c r="G390" t="n">
        <v>0.001</v>
      </c>
      <c r="I390" s="4">
        <f>IFERROR(IF(NOT(H390=""),ABS(ROUNDDOWN(F390-H390, 3 - (1+INT(LOG10(ABS(F390)))))),""),IF(AND(F390=0,NOT(F390="")),ABS(ROUNDDOWN(F390-H390,0)),""))</f>
        <v/>
      </c>
      <c r="J390" s="4">
        <f>IF(NOT(I390=""),IF(I390&lt;=G390,"match",IF(I390&lt;3*G390,"partial match","no match")),"")</f>
        <v/>
      </c>
      <c r="K390" t="inlineStr">
        <is>
          <t>ngl_dcnu_norm_2D</t>
        </is>
      </c>
    </row>
    <row r="391" ht="15.75" customHeight="1" s="10">
      <c r="A391" t="inlineStr">
        <is>
          <t>configuration B</t>
        </is>
      </c>
      <c r="B391" t="inlineStr">
        <is>
          <t>Neighbouring grey level dependence matrix (2D)</t>
        </is>
      </c>
      <c r="C391" t="inlineStr">
        <is>
          <t>Dependence count percentage</t>
        </is>
      </c>
      <c r="E391" t="inlineStr">
        <is>
          <t>3-5</t>
        </is>
      </c>
      <c r="F391" t="n">
        <v>1</v>
      </c>
      <c r="G391" t="n">
        <v>0</v>
      </c>
      <c r="I391" s="4">
        <f>IFERROR(IF(NOT(H391=""),ABS(ROUNDDOWN(F391-H391, 3 - (1+INT(LOG10(ABS(F391)))))),""),IF(AND(F391=0,NOT(F391="")),ABS(ROUNDDOWN(F391-H391,0)),""))</f>
        <v/>
      </c>
      <c r="J391" s="4">
        <f>IF(NOT(I391=""),IF(I391&lt;=G391,"match",IF(I391&lt;3*G391,"partial match","no match")),"")</f>
        <v/>
      </c>
      <c r="K391" t="inlineStr">
        <is>
          <t>ngl_dc_perc_2D</t>
        </is>
      </c>
    </row>
    <row r="392" ht="15.75" customHeight="1" s="10">
      <c r="A392" t="inlineStr">
        <is>
          <t>configuration B</t>
        </is>
      </c>
      <c r="B392" t="inlineStr">
        <is>
          <t>Neighbouring grey level dependence matrix (2D)</t>
        </is>
      </c>
      <c r="C392" t="inlineStr">
        <is>
          <t>Grey level variance</t>
        </is>
      </c>
      <c r="E392" t="inlineStr">
        <is>
          <t>3-5</t>
        </is>
      </c>
      <c r="F392" t="n">
        <v>25.3</v>
      </c>
      <c r="G392" t="n">
        <v>0.4</v>
      </c>
      <c r="I392" s="4">
        <f>IFERROR(IF(NOT(H392=""),ABS(ROUNDDOWN(F392-H392, 3 - (1+INT(LOG10(ABS(F392)))))),""),IF(AND(F392=0,NOT(F392="")),ABS(ROUNDDOWN(F392-H392,0)),""))</f>
        <v/>
      </c>
      <c r="J392" s="4">
        <f>IF(NOT(I392=""),IF(I392&lt;=G392,"match",IF(I392&lt;3*G392,"partial match","no match")),"")</f>
        <v/>
      </c>
      <c r="K392" t="inlineStr">
        <is>
          <t>ngl_gl_var_2D</t>
        </is>
      </c>
    </row>
    <row r="393" ht="15.75" customHeight="1" s="10">
      <c r="A393" t="inlineStr">
        <is>
          <t>configuration B</t>
        </is>
      </c>
      <c r="B393" t="inlineStr">
        <is>
          <t>Neighbouring grey level dependence matrix (2D)</t>
        </is>
      </c>
      <c r="C393" t="inlineStr">
        <is>
          <t>Dependence count variance</t>
        </is>
      </c>
      <c r="E393" t="inlineStr">
        <is>
          <t>3-5</t>
        </is>
      </c>
      <c r="F393" t="n">
        <v>4.02</v>
      </c>
      <c r="G393" t="n">
        <v>0.05</v>
      </c>
      <c r="I393" s="4">
        <f>IFERROR(IF(NOT(H393=""),ABS(ROUNDDOWN(F393-H393, 3 - (1+INT(LOG10(ABS(F393)))))),""),IF(AND(F393=0,NOT(F393="")),ABS(ROUNDDOWN(F393-H393,0)),""))</f>
        <v/>
      </c>
      <c r="J393" s="4">
        <f>IF(NOT(I393=""),IF(I393&lt;=G393,"match",IF(I393&lt;3*G393,"partial match","no match")),"")</f>
        <v/>
      </c>
      <c r="K393" t="inlineStr">
        <is>
          <t>ngl_dc_var_2D</t>
        </is>
      </c>
    </row>
    <row r="394" ht="15.75" customHeight="1" s="10">
      <c r="A394" t="inlineStr">
        <is>
          <t>configuration B</t>
        </is>
      </c>
      <c r="B394" t="inlineStr">
        <is>
          <t>Neighbouring grey level dependence matrix (2D)</t>
        </is>
      </c>
      <c r="C394" t="inlineStr">
        <is>
          <t>Dependence count entropy</t>
        </is>
      </c>
      <c r="E394" t="inlineStr">
        <is>
          <t>3-5</t>
        </is>
      </c>
      <c r="F394" t="n">
        <v>5.38</v>
      </c>
      <c r="G394" t="n">
        <v>0.01</v>
      </c>
      <c r="I394" s="4">
        <f>IFERROR(IF(NOT(H394=""),ABS(ROUNDDOWN(F394-H394, 3 - (1+INT(LOG10(ABS(F394)))))),""),IF(AND(F394=0,NOT(F394="")),ABS(ROUNDDOWN(F394-H394,0)),""))</f>
        <v/>
      </c>
      <c r="J394" s="4">
        <f>IF(NOT(I394=""),IF(I394&lt;=G394,"match",IF(I394&lt;3*G394,"partial match","no match")),"")</f>
        <v/>
      </c>
      <c r="K394" t="inlineStr">
        <is>
          <t>ngl_dc_entr_2D</t>
        </is>
      </c>
    </row>
    <row r="395" ht="15.75" customHeight="1" s="10">
      <c r="A395" t="inlineStr">
        <is>
          <t>configuration B</t>
        </is>
      </c>
      <c r="B395" t="inlineStr">
        <is>
          <t>Neighbouring grey level dependence matrix (2D)</t>
        </is>
      </c>
      <c r="C395" t="inlineStr">
        <is>
          <t>Dependence count energy</t>
        </is>
      </c>
      <c r="E395" t="inlineStr">
        <is>
          <t>3-5</t>
        </is>
      </c>
      <c r="F395" t="n">
        <v>0.0321</v>
      </c>
      <c r="G395" t="n">
        <v>0.0002</v>
      </c>
      <c r="I395" s="4">
        <f>IFERROR(IF(NOT(H395=""),ABS(ROUNDDOWN(F395-H395, 3 - (1+INT(LOG10(ABS(F395)))))),""),IF(AND(F395=0,NOT(F395="")),ABS(ROUNDDOWN(F395-H395,0)),""))</f>
        <v/>
      </c>
      <c r="J395" s="4">
        <f>IF(NOT(I395=""),IF(I395&lt;=G395,"match",IF(I395&lt;3*G395,"partial match","no match")),"")</f>
        <v/>
      </c>
      <c r="K395" t="inlineStr">
        <is>
          <t>ngl_dc_energy_2D</t>
        </is>
      </c>
    </row>
    <row r="396" ht="15.75" customHeight="1" s="10">
      <c r="A396" t="inlineStr">
        <is>
          <t>configuration B</t>
        </is>
      </c>
      <c r="B396" t="inlineStr">
        <is>
          <t>Neighbouring grey level dependence matrix (2.5D)</t>
        </is>
      </c>
      <c r="C396" t="inlineStr">
        <is>
          <t>Low dependence emphasis</t>
        </is>
      </c>
      <c r="E396" t="inlineStr">
        <is>
          <t>&lt; 3</t>
        </is>
      </c>
      <c r="I396" s="4">
        <f>IFERROR(IF(NOT(H396=""),ABS(ROUNDDOWN(F396-H396, 3 - (1+INT(LOG10(ABS(F396)))))),""),IF(AND(F396=0,NOT(F396="")),ABS(ROUNDDOWN(F396-H396,0)),""))</f>
        <v/>
      </c>
      <c r="J396" s="4">
        <f>IF(NOT(I396=""),IF(I396&lt;=G396,"match",IF(I396&lt;3*G396,"partial match","no match")),"")</f>
        <v/>
      </c>
      <c r="K396" t="inlineStr">
        <is>
          <t>ngl_lde_2_5D</t>
        </is>
      </c>
    </row>
    <row r="397" ht="15.75" customHeight="1" s="10">
      <c r="A397" t="inlineStr">
        <is>
          <t>configuration B</t>
        </is>
      </c>
      <c r="B397" t="inlineStr">
        <is>
          <t>Neighbouring grey level dependence matrix (2.5D)</t>
        </is>
      </c>
      <c r="C397" t="inlineStr">
        <is>
          <t>High dependence emphasis</t>
        </is>
      </c>
      <c r="E397" t="inlineStr">
        <is>
          <t>&lt; 3</t>
        </is>
      </c>
      <c r="I397" s="4">
        <f>IFERROR(IF(NOT(H397=""),ABS(ROUNDDOWN(F397-H397, 3 - (1+INT(LOG10(ABS(F397)))))),""),IF(AND(F397=0,NOT(F397="")),ABS(ROUNDDOWN(F397-H397,0)),""))</f>
        <v/>
      </c>
      <c r="J397" s="4">
        <f>IF(NOT(I397=""),IF(I397&lt;=G397,"match",IF(I397&lt;3*G397,"partial match","no match")),"")</f>
        <v/>
      </c>
      <c r="K397" t="inlineStr">
        <is>
          <t>ngl_hde_2_5D</t>
        </is>
      </c>
    </row>
    <row r="398" ht="15.75" customHeight="1" s="10">
      <c r="A398" t="inlineStr">
        <is>
          <t>configuration B</t>
        </is>
      </c>
      <c r="B398" t="inlineStr">
        <is>
          <t>Neighbouring grey level dependence matrix (2.5D)</t>
        </is>
      </c>
      <c r="C398" t="inlineStr">
        <is>
          <t>Low grey level count emphasis</t>
        </is>
      </c>
      <c r="E398" t="inlineStr">
        <is>
          <t>&lt; 3</t>
        </is>
      </c>
      <c r="I398" s="4">
        <f>IFERROR(IF(NOT(H398=""),ABS(ROUNDDOWN(F398-H398, 3 - (1+INT(LOG10(ABS(F398)))))),""),IF(AND(F398=0,NOT(F398="")),ABS(ROUNDDOWN(F398-H398,0)),""))</f>
        <v/>
      </c>
      <c r="J398" s="4">
        <f>IF(NOT(I398=""),IF(I398&lt;=G398,"match",IF(I398&lt;3*G398,"partial match","no match")),"")</f>
        <v/>
      </c>
      <c r="K398" t="inlineStr">
        <is>
          <t>ngl_lgce_2_5D</t>
        </is>
      </c>
    </row>
    <row r="399" ht="15.75" customHeight="1" s="10">
      <c r="A399" t="inlineStr">
        <is>
          <t>configuration B</t>
        </is>
      </c>
      <c r="B399" t="inlineStr">
        <is>
          <t>Neighbouring grey level dependence matrix (2.5D)</t>
        </is>
      </c>
      <c r="C399" t="inlineStr">
        <is>
          <t>High grey level count emphasis</t>
        </is>
      </c>
      <c r="E399" t="inlineStr">
        <is>
          <t>&lt; 3</t>
        </is>
      </c>
      <c r="I399" s="4">
        <f>IFERROR(IF(NOT(H399=""),ABS(ROUNDDOWN(F399-H399, 3 - (1+INT(LOG10(ABS(F399)))))),""),IF(AND(F399=0,NOT(F399="")),ABS(ROUNDDOWN(F399-H399,0)),""))</f>
        <v/>
      </c>
      <c r="J399" s="4">
        <f>IF(NOT(I399=""),IF(I399&lt;=G399,"match",IF(I399&lt;3*G399,"partial match","no match")),"")</f>
        <v/>
      </c>
      <c r="K399" t="inlineStr">
        <is>
          <t>ngl_hgce_2_5D</t>
        </is>
      </c>
    </row>
    <row r="400" ht="15.75" customHeight="1" s="10">
      <c r="A400" t="inlineStr">
        <is>
          <t>configuration B</t>
        </is>
      </c>
      <c r="B400" t="inlineStr">
        <is>
          <t>Neighbouring grey level dependence matrix (2.5D)</t>
        </is>
      </c>
      <c r="C400" t="inlineStr">
        <is>
          <t>Low dependence low grey level emphasis</t>
        </is>
      </c>
      <c r="E400" t="inlineStr">
        <is>
          <t>&lt; 3</t>
        </is>
      </c>
      <c r="I400" s="4">
        <f>IFERROR(IF(NOT(H400=""),ABS(ROUNDDOWN(F400-H400, 3 - (1+INT(LOG10(ABS(F400)))))),""),IF(AND(F400=0,NOT(F400="")),ABS(ROUNDDOWN(F400-H400,0)),""))</f>
        <v/>
      </c>
      <c r="J400" s="4">
        <f>IF(NOT(I400=""),IF(I400&lt;=G400,"match",IF(I400&lt;3*G400,"partial match","no match")),"")</f>
        <v/>
      </c>
      <c r="K400" t="inlineStr">
        <is>
          <t>ngl_ldlge_2_5D</t>
        </is>
      </c>
    </row>
    <row r="401" ht="15.75" customHeight="1" s="10">
      <c r="A401" t="inlineStr">
        <is>
          <t>configuration B</t>
        </is>
      </c>
      <c r="B401" t="inlineStr">
        <is>
          <t>Neighbouring grey level dependence matrix (2.5D)</t>
        </is>
      </c>
      <c r="C401" t="inlineStr">
        <is>
          <t>Low dependence high grey level emphasis</t>
        </is>
      </c>
      <c r="E401" t="inlineStr">
        <is>
          <t>&lt; 3</t>
        </is>
      </c>
      <c r="I401" s="4">
        <f>IFERROR(IF(NOT(H401=""),ABS(ROUNDDOWN(F401-H401, 3 - (1+INT(LOG10(ABS(F401)))))),""),IF(AND(F401=0,NOT(F401="")),ABS(ROUNDDOWN(F401-H401,0)),""))</f>
        <v/>
      </c>
      <c r="J401" s="4">
        <f>IF(NOT(I401=""),IF(I401&lt;=G401,"match",IF(I401&lt;3*G401,"partial match","no match")),"")</f>
        <v/>
      </c>
      <c r="K401" t="inlineStr">
        <is>
          <t>ngl_ldhge_2_5D</t>
        </is>
      </c>
    </row>
    <row r="402" ht="15.75" customHeight="1" s="10">
      <c r="A402" t="inlineStr">
        <is>
          <t>configuration B</t>
        </is>
      </c>
      <c r="B402" t="inlineStr">
        <is>
          <t>Neighbouring grey level dependence matrix (2.5D)</t>
        </is>
      </c>
      <c r="C402" t="inlineStr">
        <is>
          <t>High dependence low grey level emphasis</t>
        </is>
      </c>
      <c r="E402" t="inlineStr">
        <is>
          <t>&lt; 3</t>
        </is>
      </c>
      <c r="I402" s="4">
        <f>IFERROR(IF(NOT(H402=""),ABS(ROUNDDOWN(F402-H402, 3 - (1+INT(LOG10(ABS(F402)))))),""),IF(AND(F402=0,NOT(F402="")),ABS(ROUNDDOWN(F402-H402,0)),""))</f>
        <v/>
      </c>
      <c r="J402" s="4">
        <f>IF(NOT(I402=""),IF(I402&lt;=G402,"match",IF(I402&lt;3*G402,"partial match","no match")),"")</f>
        <v/>
      </c>
      <c r="K402" t="inlineStr">
        <is>
          <t>ngl_hdlge_2_5D</t>
        </is>
      </c>
    </row>
    <row r="403" ht="15.75" customHeight="1" s="10">
      <c r="A403" t="inlineStr">
        <is>
          <t>configuration B</t>
        </is>
      </c>
      <c r="B403" t="inlineStr">
        <is>
          <t>Neighbouring grey level dependence matrix (2.5D)</t>
        </is>
      </c>
      <c r="C403" t="inlineStr">
        <is>
          <t>High dependence high grey level emphasis</t>
        </is>
      </c>
      <c r="E403" t="inlineStr">
        <is>
          <t>&lt; 3</t>
        </is>
      </c>
      <c r="I403" s="4">
        <f>IFERROR(IF(NOT(H403=""),ABS(ROUNDDOWN(F403-H403, 3 - (1+INT(LOG10(ABS(F403)))))),""),IF(AND(F403=0,NOT(F403="")),ABS(ROUNDDOWN(F403-H403,0)),""))</f>
        <v/>
      </c>
      <c r="J403" s="4">
        <f>IF(NOT(I403=""),IF(I403&lt;=G403,"match",IF(I403&lt;3*G403,"partial match","no match")),"")</f>
        <v/>
      </c>
      <c r="K403" t="inlineStr">
        <is>
          <t>ngl_hdhge_2_5D</t>
        </is>
      </c>
    </row>
    <row r="404" ht="15.75" customHeight="1" s="10">
      <c r="A404" t="inlineStr">
        <is>
          <t>configuration B</t>
        </is>
      </c>
      <c r="B404" t="inlineStr">
        <is>
          <t>Neighbouring grey level dependence matrix (2.5D)</t>
        </is>
      </c>
      <c r="C404" t="inlineStr">
        <is>
          <t>Grey level non-uniformity</t>
        </is>
      </c>
      <c r="E404" t="inlineStr">
        <is>
          <t>&lt; 3</t>
        </is>
      </c>
      <c r="I404" s="4">
        <f>IFERROR(IF(NOT(H404=""),ABS(ROUNDDOWN(F404-H404, 3 - (1+INT(LOG10(ABS(F404)))))),""),IF(AND(F404=0,NOT(F404="")),ABS(ROUNDDOWN(F404-H404,0)),""))</f>
        <v/>
      </c>
      <c r="J404" s="4">
        <f>IF(NOT(I404=""),IF(I404&lt;=G404,"match",IF(I404&lt;3*G404,"partial match","no match")),"")</f>
        <v/>
      </c>
      <c r="K404" t="inlineStr">
        <is>
          <t>ngl_glnu_2_5D</t>
        </is>
      </c>
    </row>
    <row r="405" ht="15.75" customHeight="1" s="10">
      <c r="A405" t="inlineStr">
        <is>
          <t>configuration B</t>
        </is>
      </c>
      <c r="B405" t="inlineStr">
        <is>
          <t>Neighbouring grey level dependence matrix (2.5D)</t>
        </is>
      </c>
      <c r="C405" t="inlineStr">
        <is>
          <t>Grey level non-uniformity normalised</t>
        </is>
      </c>
      <c r="E405" t="inlineStr">
        <is>
          <t>&lt; 3</t>
        </is>
      </c>
      <c r="I405" s="4">
        <f>IFERROR(IF(NOT(H405=""),ABS(ROUNDDOWN(F405-H405, 3 - (1+INT(LOG10(ABS(F405)))))),""),IF(AND(F405=0,NOT(F405="")),ABS(ROUNDDOWN(F405-H405,0)),""))</f>
        <v/>
      </c>
      <c r="J405" s="4">
        <f>IF(NOT(I405=""),IF(I405&lt;=G405,"match",IF(I405&lt;3*G405,"partial match","no match")),"")</f>
        <v/>
      </c>
      <c r="K405" t="inlineStr">
        <is>
          <t>ngl_glnu_norm_2_5D</t>
        </is>
      </c>
    </row>
    <row r="406" ht="15.75" customHeight="1" s="10">
      <c r="A406" t="inlineStr">
        <is>
          <t>configuration B</t>
        </is>
      </c>
      <c r="B406" t="inlineStr">
        <is>
          <t>Neighbouring grey level dependence matrix (2.5D)</t>
        </is>
      </c>
      <c r="C406" t="inlineStr">
        <is>
          <t>Dependence count non-uniformity</t>
        </is>
      </c>
      <c r="E406" t="inlineStr">
        <is>
          <t>&lt; 3</t>
        </is>
      </c>
      <c r="I406" s="4">
        <f>IFERROR(IF(NOT(H406=""),ABS(ROUNDDOWN(F406-H406, 3 - (1+INT(LOG10(ABS(F406)))))),""),IF(AND(F406=0,NOT(F406="")),ABS(ROUNDDOWN(F406-H406,0)),""))</f>
        <v/>
      </c>
      <c r="J406" s="4">
        <f>IF(NOT(I406=""),IF(I406&lt;=G406,"match",IF(I406&lt;3*G406,"partial match","no match")),"")</f>
        <v/>
      </c>
      <c r="K406" t="inlineStr">
        <is>
          <t>ngl_dcnu_2_5D</t>
        </is>
      </c>
    </row>
    <row r="407" ht="15.75" customHeight="1" s="10">
      <c r="A407" t="inlineStr">
        <is>
          <t>configuration B</t>
        </is>
      </c>
      <c r="B407" t="inlineStr">
        <is>
          <t>Neighbouring grey level dependence matrix (2.5D)</t>
        </is>
      </c>
      <c r="C407" t="inlineStr">
        <is>
          <t>Dependence count non-uniformity normalised</t>
        </is>
      </c>
      <c r="E407" t="inlineStr">
        <is>
          <t>&lt; 3</t>
        </is>
      </c>
      <c r="I407" s="4">
        <f>IFERROR(IF(NOT(H407=""),ABS(ROUNDDOWN(F407-H407, 3 - (1+INT(LOG10(ABS(F407)))))),""),IF(AND(F407=0,NOT(F407="")),ABS(ROUNDDOWN(F407-H407,0)),""))</f>
        <v/>
      </c>
      <c r="J407" s="4">
        <f>IF(NOT(I407=""),IF(I407&lt;=G407,"match",IF(I407&lt;3*G407,"partial match","no match")),"")</f>
        <v/>
      </c>
      <c r="K407" t="inlineStr">
        <is>
          <t>ngl_dcnu_norm_2_5D</t>
        </is>
      </c>
    </row>
    <row r="408" ht="15.75" customHeight="1" s="10">
      <c r="A408" t="inlineStr">
        <is>
          <t>configuration B</t>
        </is>
      </c>
      <c r="B408" t="inlineStr">
        <is>
          <t>Neighbouring grey level dependence matrix (2.5D)</t>
        </is>
      </c>
      <c r="C408" t="inlineStr">
        <is>
          <t>Dependence count percentage</t>
        </is>
      </c>
      <c r="E408" t="inlineStr">
        <is>
          <t>&lt; 3</t>
        </is>
      </c>
      <c r="I408" s="4">
        <f>IFERROR(IF(NOT(H408=""),ABS(ROUNDDOWN(F408-H408, 3 - (1+INT(LOG10(ABS(F408)))))),""),IF(AND(F408=0,NOT(F408="")),ABS(ROUNDDOWN(F408-H408,0)),""))</f>
        <v/>
      </c>
      <c r="J408" s="4">
        <f>IF(NOT(I408=""),IF(I408&lt;=G408,"match",IF(I408&lt;3*G408,"partial match","no match")),"")</f>
        <v/>
      </c>
      <c r="K408" t="inlineStr">
        <is>
          <t>ngl_dc_perc_2_5D</t>
        </is>
      </c>
    </row>
    <row r="409" ht="15.75" customHeight="1" s="10">
      <c r="A409" t="inlineStr">
        <is>
          <t>configuration B</t>
        </is>
      </c>
      <c r="B409" t="inlineStr">
        <is>
          <t>Neighbouring grey level dependence matrix (2.5D)</t>
        </is>
      </c>
      <c r="C409" t="inlineStr">
        <is>
          <t>Grey level variance</t>
        </is>
      </c>
      <c r="E409" t="inlineStr">
        <is>
          <t>&lt; 3</t>
        </is>
      </c>
      <c r="I409" s="4">
        <f>IFERROR(IF(NOT(H409=""),ABS(ROUNDDOWN(F409-H409, 3 - (1+INT(LOG10(ABS(F409)))))),""),IF(AND(F409=0,NOT(F409="")),ABS(ROUNDDOWN(F409-H409,0)),""))</f>
        <v/>
      </c>
      <c r="J409" s="4">
        <f>IF(NOT(I409=""),IF(I409&lt;=G409,"match",IF(I409&lt;3*G409,"partial match","no match")),"")</f>
        <v/>
      </c>
      <c r="K409" t="inlineStr">
        <is>
          <t>ngl_gl_var_2_5D</t>
        </is>
      </c>
    </row>
    <row r="410" ht="15.75" customHeight="1" s="10">
      <c r="A410" t="inlineStr">
        <is>
          <t>configuration B</t>
        </is>
      </c>
      <c r="B410" t="inlineStr">
        <is>
          <t>Neighbouring grey level dependence matrix (2.5D)</t>
        </is>
      </c>
      <c r="C410" t="inlineStr">
        <is>
          <t>Dependence count variance</t>
        </is>
      </c>
      <c r="E410" t="inlineStr">
        <is>
          <t>&lt; 3</t>
        </is>
      </c>
      <c r="I410" s="4">
        <f>IFERROR(IF(NOT(H410=""),ABS(ROUNDDOWN(F410-H410, 3 - (1+INT(LOG10(ABS(F410)))))),""),IF(AND(F410=0,NOT(F410="")),ABS(ROUNDDOWN(F410-H410,0)),""))</f>
        <v/>
      </c>
      <c r="J410" s="4">
        <f>IF(NOT(I410=""),IF(I410&lt;=G410,"match",IF(I410&lt;3*G410,"partial match","no match")),"")</f>
        <v/>
      </c>
      <c r="K410" t="inlineStr">
        <is>
          <t>ngl_dc_var_2_5D</t>
        </is>
      </c>
    </row>
    <row r="411" ht="15.75" customHeight="1" s="10">
      <c r="A411" t="inlineStr">
        <is>
          <t>configuration B</t>
        </is>
      </c>
      <c r="B411" t="inlineStr">
        <is>
          <t>Neighbouring grey level dependence matrix (2.5D)</t>
        </is>
      </c>
      <c r="C411" t="inlineStr">
        <is>
          <t>Dependence count entropy</t>
        </is>
      </c>
      <c r="E411" t="inlineStr">
        <is>
          <t>&lt; 3</t>
        </is>
      </c>
      <c r="I411" s="4">
        <f>IFERROR(IF(NOT(H411=""),ABS(ROUNDDOWN(F411-H411, 3 - (1+INT(LOG10(ABS(F411)))))),""),IF(AND(F411=0,NOT(F411="")),ABS(ROUNDDOWN(F411-H411,0)),""))</f>
        <v/>
      </c>
      <c r="J411" s="4">
        <f>IF(NOT(I411=""),IF(I411&lt;=G411,"match",IF(I411&lt;3*G411,"partial match","no match")),"")</f>
        <v/>
      </c>
      <c r="K411" t="inlineStr">
        <is>
          <t>ngl_dc_entr_2_5D</t>
        </is>
      </c>
    </row>
    <row r="412" ht="15.75" customHeight="1" s="10">
      <c r="A412" t="inlineStr">
        <is>
          <t>configuration B</t>
        </is>
      </c>
      <c r="B412" t="inlineStr">
        <is>
          <t>Neighbouring grey level dependence matrix (2.5D)</t>
        </is>
      </c>
      <c r="C412" t="inlineStr">
        <is>
          <t>Dependence count energy</t>
        </is>
      </c>
      <c r="E412" t="inlineStr">
        <is>
          <t>&lt; 3</t>
        </is>
      </c>
      <c r="I412" s="4">
        <f>IFERROR(IF(NOT(H412=""),ABS(ROUNDDOWN(F412-H412, 3 - (1+INT(LOG10(ABS(F412)))))),""),IF(AND(F412=0,NOT(F412="")),ABS(ROUNDDOWN(F412-H412,0)),""))</f>
        <v/>
      </c>
      <c r="J412" s="4">
        <f>IF(NOT(I412=""),IF(I412&lt;=G412,"match",IF(I412&lt;3*G412,"partial match","no match")),"")</f>
        <v/>
      </c>
      <c r="K412" t="inlineStr">
        <is>
          <t>ngl_dc_energy_2_5D</t>
        </is>
      </c>
    </row>
  </sheetData>
  <conditionalFormatting sqref="J2:J412">
    <cfRule type="containsBlanks" priority="5" dxfId="3">
      <formula>LEN(TRIM(J2))=0</formula>
    </cfRule>
    <cfRule type="cellIs" priority="6" operator="equal" dxfId="2">
      <formula>"match"</formula>
    </cfRule>
    <cfRule type="cellIs" priority="7" operator="equal" dxfId="1">
      <formula>"partial match"</formula>
    </cfRule>
    <cfRule type="cellIs" priority="8" operator="equal" dxfId="0">
      <formula>"no match"</formula>
    </cfRule>
  </conditionalFormatting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431"/>
  <sheetViews>
    <sheetView topLeftCell="D10" workbookViewId="0">
      <selection activeCell="I276" sqref="I276"/>
    </sheetView>
  </sheetViews>
  <sheetFormatPr baseColWidth="8" defaultColWidth="14.42578125" defaultRowHeight="15.75" customHeight="1"/>
  <cols>
    <col width="43" customWidth="1" style="10" min="2" max="2"/>
    <col width="50.140625" customWidth="1" style="10" min="3" max="4"/>
    <col width="30.42578125" customWidth="1" style="10" min="11" max="11"/>
  </cols>
  <sheetData>
    <row r="1" ht="15" customHeight="1" s="10">
      <c r="A1" s="1" t="inlineStr">
        <is>
          <t>data_set</t>
        </is>
      </c>
      <c r="B1" s="1" t="inlineStr">
        <is>
          <t>family</t>
        </is>
      </c>
      <c r="C1" s="1" t="inlineStr">
        <is>
          <t>image_biomarker</t>
        </is>
      </c>
      <c r="D1" s="1" t="inlineStr">
        <is>
          <t>RadiomicsJ_NAME</t>
        </is>
      </c>
      <c r="E1" s="1" t="inlineStr">
        <is>
          <t>consensus</t>
        </is>
      </c>
      <c r="F1" s="1" t="inlineStr">
        <is>
          <t>benchmark_value</t>
        </is>
      </c>
      <c r="G1" s="1" t="inlineStr">
        <is>
          <t>tolerance</t>
        </is>
      </c>
      <c r="H1" s="1" t="inlineStr">
        <is>
          <t>your_result</t>
        </is>
      </c>
      <c r="I1" s="1" t="inlineStr">
        <is>
          <t>difference</t>
        </is>
      </c>
      <c r="J1" s="1" t="inlineStr">
        <is>
          <t>check</t>
        </is>
      </c>
      <c r="K1" s="1" t="inlineStr">
        <is>
          <t>tag</t>
        </is>
      </c>
      <c r="L1" t="inlineStr">
        <is>
          <t>reference_status</t>
        </is>
      </c>
    </row>
    <row r="2" ht="15" customHeight="1" s="10">
      <c r="A2" t="inlineStr">
        <is>
          <t>configuration C</t>
        </is>
      </c>
      <c r="B2" t="inlineStr">
        <is>
          <t>Diagnostics-initial image</t>
        </is>
      </c>
      <c r="C2" t="inlineStr">
        <is>
          <t>Image dimension x</t>
        </is>
      </c>
      <c r="D2" t="inlineStr">
        <is>
          <t>DiagnosticsInitialImageImageDimensionX</t>
        </is>
      </c>
      <c r="E2" t="inlineStr">
        <is>
          <t>≥ 10</t>
        </is>
      </c>
      <c r="F2" t="n">
        <v>204</v>
      </c>
      <c r="G2" t="n">
        <v>0</v>
      </c>
      <c r="H2" s="9" t="n">
        <v>204</v>
      </c>
      <c r="I2" s="4">
        <f>IFERROR(IF(NOT(H2=""),ABS(ROUNDDOWN(F2-H2, 3 - (1+INT(LOG10(ABS(F2)))))),""),IF(AND(F2=0,NOT(F2="")),ABS(ROUNDDOWN(F2-H2,0)),""))</f>
        <v/>
      </c>
      <c r="J2" s="4">
        <f>IF(NOT(I2=""),IF(I2&lt;=G2,"match",IF(I2&lt;3*G2,"partial match","no match")),"")</f>
        <v/>
      </c>
      <c r="K2" t="inlineStr">
        <is>
          <t>img_dim_x_init_img</t>
        </is>
      </c>
    </row>
    <row r="3" ht="15" customHeight="1" s="10">
      <c r="A3" t="inlineStr">
        <is>
          <t>configuration C</t>
        </is>
      </c>
      <c r="B3" t="inlineStr">
        <is>
          <t>Diagnostics-initial image</t>
        </is>
      </c>
      <c r="C3" t="inlineStr">
        <is>
          <t>Image dimension y</t>
        </is>
      </c>
      <c r="D3" t="inlineStr">
        <is>
          <t>DiagnosticsInitialImageImageDimensionY</t>
        </is>
      </c>
      <c r="E3" t="inlineStr">
        <is>
          <t>≥ 10</t>
        </is>
      </c>
      <c r="F3" t="n">
        <v>201</v>
      </c>
      <c r="G3" t="n">
        <v>0</v>
      </c>
      <c r="H3" s="9" t="n">
        <v>201</v>
      </c>
      <c r="I3" s="4">
        <f>IFERROR(IF(NOT(H3=""),ABS(ROUNDDOWN(F3-H3, 3 - (1+INT(LOG10(ABS(F3)))))),""),IF(AND(F3=0,NOT(F3="")),ABS(ROUNDDOWN(F3-H3,0)),""))</f>
        <v/>
      </c>
      <c r="J3" s="4">
        <f>IF(NOT(I3=""),IF(I3&lt;=G3,"match",IF(I3&lt;3*G3,"partial match","no match")),"")</f>
        <v/>
      </c>
      <c r="K3" t="inlineStr">
        <is>
          <t>img_dim_y_init_img</t>
        </is>
      </c>
    </row>
    <row r="4" ht="15" customHeight="1" s="10">
      <c r="A4" t="inlineStr">
        <is>
          <t>configuration C</t>
        </is>
      </c>
      <c r="B4" t="inlineStr">
        <is>
          <t>Diagnostics-initial image</t>
        </is>
      </c>
      <c r="C4" t="inlineStr">
        <is>
          <t>Image dimension z</t>
        </is>
      </c>
      <c r="D4" t="inlineStr">
        <is>
          <t>DiagnosticsInitialImageImageDimensionZ</t>
        </is>
      </c>
      <c r="E4" t="inlineStr">
        <is>
          <t>≥ 10</t>
        </is>
      </c>
      <c r="F4" t="n">
        <v>60</v>
      </c>
      <c r="G4" t="n">
        <v>0</v>
      </c>
      <c r="H4" s="9" t="n">
        <v>60</v>
      </c>
      <c r="I4" s="4">
        <f>IFERROR(IF(NOT(H4=""),ABS(ROUNDDOWN(F4-H4, 3 - (1+INT(LOG10(ABS(F4)))))),""),IF(AND(F4=0,NOT(F4="")),ABS(ROUNDDOWN(F4-H4,0)),""))</f>
        <v/>
      </c>
      <c r="J4" s="4">
        <f>IF(NOT(I4=""),IF(I4&lt;=G4,"match",IF(I4&lt;3*G4,"partial match","no match")),"")</f>
        <v/>
      </c>
      <c r="K4" t="inlineStr">
        <is>
          <t>img_dim_z_init_img</t>
        </is>
      </c>
    </row>
    <row r="5" ht="15" customHeight="1" s="10">
      <c r="A5" t="inlineStr">
        <is>
          <t>configuration C</t>
        </is>
      </c>
      <c r="B5" t="inlineStr">
        <is>
          <t>Diagnostics-initial image</t>
        </is>
      </c>
      <c r="C5" t="inlineStr">
        <is>
          <t>Voxel dimension x</t>
        </is>
      </c>
      <c r="D5" t="inlineStr">
        <is>
          <t>DiagnosticsInitialImageVoxelDimensionX</t>
        </is>
      </c>
      <c r="E5" t="inlineStr">
        <is>
          <t>≥ 10</t>
        </is>
      </c>
      <c r="F5" t="n">
        <v>0.977</v>
      </c>
      <c r="G5" t="n">
        <v>0</v>
      </c>
      <c r="H5" t="n">
        <v>0.976999998092651</v>
      </c>
      <c r="I5" s="4">
        <f>IFERROR(IF(NOT(H5=""),ABS(ROUNDDOWN(F5-H5, 3 - (1+INT(LOG10(ABS(F5)))))),""),IF(AND(F5=0,NOT(F5="")),ABS(ROUNDDOWN(F5-H5,0)),""))</f>
        <v/>
      </c>
      <c r="J5" s="4">
        <f>IF(NOT(I5=""),IF(I5&lt;=G5,"match",IF(I5&lt;3*G5,"partial match","no match")),"")</f>
        <v/>
      </c>
      <c r="K5" t="inlineStr">
        <is>
          <t>vox_dim_x_init_img</t>
        </is>
      </c>
    </row>
    <row r="6" ht="15" customHeight="1" s="10">
      <c r="A6" t="inlineStr">
        <is>
          <t>configuration C</t>
        </is>
      </c>
      <c r="B6" t="inlineStr">
        <is>
          <t>Diagnostics-initial image</t>
        </is>
      </c>
      <c r="C6" t="inlineStr">
        <is>
          <t>Voxel dimension y</t>
        </is>
      </c>
      <c r="D6" t="inlineStr">
        <is>
          <t>DiagnosticsInitialImageVoxelDimensionY</t>
        </is>
      </c>
      <c r="E6" t="inlineStr">
        <is>
          <t>≥ 10</t>
        </is>
      </c>
      <c r="F6" t="n">
        <v>0.977</v>
      </c>
      <c r="G6" t="n">
        <v>0</v>
      </c>
      <c r="H6" t="n">
        <v>0.976999998092651</v>
      </c>
      <c r="I6" s="4">
        <f>IFERROR(IF(NOT(H6=""),ABS(ROUNDDOWN(F6-H6, 3 - (1+INT(LOG10(ABS(F6)))))),""),IF(AND(F6=0,NOT(F6="")),ABS(ROUNDDOWN(F6-H6,0)),""))</f>
        <v/>
      </c>
      <c r="J6" s="4">
        <f>IF(NOT(I6=""),IF(I6&lt;=G6,"match",IF(I6&lt;3*G6,"partial match","no match")),"")</f>
        <v/>
      </c>
      <c r="K6" t="inlineStr">
        <is>
          <t>vox_dim_y_init_img</t>
        </is>
      </c>
    </row>
    <row r="7" ht="15" customHeight="1" s="10">
      <c r="A7" t="inlineStr">
        <is>
          <t>configuration C</t>
        </is>
      </c>
      <c r="B7" t="inlineStr">
        <is>
          <t>Diagnostics-initial image</t>
        </is>
      </c>
      <c r="C7" t="inlineStr">
        <is>
          <t>Voxel dimension z</t>
        </is>
      </c>
      <c r="D7" t="inlineStr">
        <is>
          <t>DiagnosticsInitialImageVoxelDimensionZ</t>
        </is>
      </c>
      <c r="E7" t="inlineStr">
        <is>
          <t>≥ 10</t>
        </is>
      </c>
      <c r="F7" t="n">
        <v>3</v>
      </c>
      <c r="G7" t="n">
        <v>0</v>
      </c>
      <c r="H7" t="n">
        <v>3</v>
      </c>
      <c r="I7" s="4">
        <f>IFERROR(IF(NOT(H7=""),ABS(ROUNDDOWN(F7-H7, 3 - (1+INT(LOG10(ABS(F7)))))),""),IF(AND(F7=0,NOT(F7="")),ABS(ROUNDDOWN(F7-H7,0)),""))</f>
        <v/>
      </c>
      <c r="J7" s="4">
        <f>IF(NOT(I7=""),IF(I7&lt;=G7,"match",IF(I7&lt;3*G7,"partial match","no match")),"")</f>
        <v/>
      </c>
      <c r="K7" t="inlineStr">
        <is>
          <t>vox_dim_z_init_img</t>
        </is>
      </c>
    </row>
    <row r="8" ht="15" customHeight="1" s="10">
      <c r="A8" t="inlineStr">
        <is>
          <t>configuration C</t>
        </is>
      </c>
      <c r="B8" t="inlineStr">
        <is>
          <t>Diagnostics-initial image</t>
        </is>
      </c>
      <c r="C8" t="inlineStr">
        <is>
          <t>Mean intensity</t>
        </is>
      </c>
      <c r="D8" t="inlineStr">
        <is>
          <t>DiagnosticsInitialImageMeanIntensity</t>
        </is>
      </c>
      <c r="E8" t="inlineStr">
        <is>
          <t>≥ 10</t>
        </is>
      </c>
      <c r="F8" t="n">
        <v>-266</v>
      </c>
      <c r="G8" t="n">
        <v>0</v>
      </c>
      <c r="H8" t="n">
        <v>-266.470367118655</v>
      </c>
      <c r="I8" s="4">
        <f>IFERROR(IF(NOT(H8=""),ABS(ROUNDDOWN(F8-H8, 3 - (1+INT(LOG10(ABS(F8)))))),""),IF(AND(F8=0,NOT(F8="")),ABS(ROUNDDOWN(F8-H8,0)),""))</f>
        <v/>
      </c>
      <c r="J8" s="4">
        <f>IF(NOT(I8=""),IF(I8&lt;=G8,"match",IF(I8&lt;3*G8,"partial match","no match")),"")</f>
        <v/>
      </c>
      <c r="K8" t="inlineStr">
        <is>
          <t>mean_int_init_img</t>
        </is>
      </c>
    </row>
    <row r="9" ht="15" customHeight="1" s="10">
      <c r="A9" t="inlineStr">
        <is>
          <t>configuration C</t>
        </is>
      </c>
      <c r="B9" t="inlineStr">
        <is>
          <t>Diagnostics-initial image</t>
        </is>
      </c>
      <c r="C9" t="inlineStr">
        <is>
          <t>Minimum intensity</t>
        </is>
      </c>
      <c r="D9" t="inlineStr">
        <is>
          <t>DiagnosticsInitialImageMinimumIntensity</t>
        </is>
      </c>
      <c r="E9" t="inlineStr">
        <is>
          <t>≥ 10</t>
        </is>
      </c>
      <c r="F9" t="n">
        <v>-1000</v>
      </c>
      <c r="G9" t="n">
        <v>0</v>
      </c>
      <c r="H9" t="n">
        <v>-1000</v>
      </c>
      <c r="I9" s="4">
        <f>IFERROR(IF(NOT(H9=""),ABS(ROUNDDOWN(F9-H9, 3 - (1+INT(LOG10(ABS(F9)))))),""),IF(AND(F9=0,NOT(F9="")),ABS(ROUNDDOWN(F9-H9,0)),""))</f>
        <v/>
      </c>
      <c r="J9" s="4">
        <f>IF(NOT(I9=""),IF(I9&lt;=G9,"match",IF(I9&lt;3*G9,"partial match","no match")),"")</f>
        <v/>
      </c>
      <c r="K9" t="inlineStr">
        <is>
          <t>min_int_init_img</t>
        </is>
      </c>
    </row>
    <row r="10" ht="15" customHeight="1" s="10">
      <c r="A10" t="inlineStr">
        <is>
          <t>configuration C</t>
        </is>
      </c>
      <c r="B10" t="inlineStr">
        <is>
          <t>Diagnostics-initial image</t>
        </is>
      </c>
      <c r="C10" t="inlineStr">
        <is>
          <t>Maximum intensity</t>
        </is>
      </c>
      <c r="D10" t="inlineStr">
        <is>
          <t>DiagnosticsInitialImageMaximumIntensity</t>
        </is>
      </c>
      <c r="E10" t="inlineStr">
        <is>
          <t>≥ 10</t>
        </is>
      </c>
      <c r="F10" t="n">
        <v>3065</v>
      </c>
      <c r="G10" t="n">
        <v>0</v>
      </c>
      <c r="H10" t="n">
        <v>3065</v>
      </c>
      <c r="I10" s="4">
        <f>IFERROR(IF(NOT(H10=""),ABS(ROUNDDOWN(F10-H10, 3 - (1+INT(LOG10(ABS(F10)))))),""),IF(AND(F10=0,NOT(F10="")),ABS(ROUNDDOWN(F10-H10,0)),""))</f>
        <v/>
      </c>
      <c r="J10" s="4">
        <f>IF(NOT(I10=""),IF(I10&lt;=G10,"match",IF(I10&lt;3*G10,"partial match","no match")),"")</f>
        <v/>
      </c>
      <c r="K10" t="inlineStr">
        <is>
          <t>max_int_init_img</t>
        </is>
      </c>
    </row>
    <row r="11" ht="15" customHeight="1" s="10">
      <c r="A11" t="inlineStr">
        <is>
          <t>configuration C</t>
        </is>
      </c>
      <c r="B11" t="inlineStr">
        <is>
          <t>Diagnostics-interpolated image</t>
        </is>
      </c>
      <c r="C11" t="inlineStr">
        <is>
          <t>Image dimension x</t>
        </is>
      </c>
      <c r="D11" t="inlineStr">
        <is>
          <t>DiagnosticsInterpolatedImageImageDimensionX</t>
        </is>
      </c>
      <c r="E11" t="inlineStr">
        <is>
          <t>≥ 10</t>
        </is>
      </c>
      <c r="F11" t="n">
        <v>100</v>
      </c>
      <c r="G11" t="n">
        <v>1</v>
      </c>
      <c r="H11" t="n">
        <v>100</v>
      </c>
      <c r="I11" s="4">
        <f>IFERROR(IF(NOT(H11=""),ABS(ROUNDDOWN(F11-H11, 3 - (1+INT(LOG10(ABS(F11)))))),""),IF(AND(F11=0,NOT(F11="")),ABS(ROUNDDOWN(F11-H11,0)),""))</f>
        <v/>
      </c>
      <c r="J11" s="4">
        <f>IF(NOT(I11=""),IF(I11&lt;=G11,"match",IF(I11&lt;3*G11,"partial match","no match")),"")</f>
        <v/>
      </c>
      <c r="K11" t="inlineStr">
        <is>
          <t>img_dim_x_interp_img</t>
        </is>
      </c>
    </row>
    <row r="12" ht="15" customHeight="1" s="10">
      <c r="A12" t="inlineStr">
        <is>
          <t>configuration C</t>
        </is>
      </c>
      <c r="B12" t="inlineStr">
        <is>
          <t>Diagnostics-interpolated image</t>
        </is>
      </c>
      <c r="C12" t="inlineStr">
        <is>
          <t>Image dimension y</t>
        </is>
      </c>
      <c r="D12" t="inlineStr">
        <is>
          <t>DiagnosticsInterpolatedImageImageDimensionY</t>
        </is>
      </c>
      <c r="E12" t="inlineStr">
        <is>
          <t>≥ 10</t>
        </is>
      </c>
      <c r="F12" t="n">
        <v>99</v>
      </c>
      <c r="G12" t="n">
        <v>0.8</v>
      </c>
      <c r="H12" t="n">
        <v>99</v>
      </c>
      <c r="I12" s="4">
        <f>IFERROR(IF(NOT(H12=""),ABS(ROUNDDOWN(F12-H12, 3 - (1+INT(LOG10(ABS(F12)))))),""),IF(AND(F12=0,NOT(F12="")),ABS(ROUNDDOWN(F12-H12,0)),""))</f>
        <v/>
      </c>
      <c r="J12" s="4">
        <f>IF(NOT(I12=""),IF(I12&lt;=G12,"match",IF(I12&lt;3*G12,"partial match","no match")),"")</f>
        <v/>
      </c>
      <c r="K12" t="inlineStr">
        <is>
          <t>img_dim_y_interp_img</t>
        </is>
      </c>
    </row>
    <row r="13" ht="15" customHeight="1" s="10">
      <c r="A13" t="inlineStr">
        <is>
          <t>configuration C</t>
        </is>
      </c>
      <c r="B13" t="inlineStr">
        <is>
          <t>Diagnostics-interpolated image</t>
        </is>
      </c>
      <c r="C13" t="inlineStr">
        <is>
          <t>Image dimension z</t>
        </is>
      </c>
      <c r="D13" t="inlineStr">
        <is>
          <t>DiagnosticsInterpolatedImageImageDimensionZ</t>
        </is>
      </c>
      <c r="E13" t="inlineStr">
        <is>
          <t>≥ 10</t>
        </is>
      </c>
      <c r="F13" t="n">
        <v>90</v>
      </c>
      <c r="G13" t="n">
        <v>0</v>
      </c>
      <c r="H13" t="n">
        <v>90</v>
      </c>
      <c r="I13" s="4">
        <f>IFERROR(IF(NOT(H13=""),ABS(ROUNDDOWN(F13-H13, 3 - (1+INT(LOG10(ABS(F13)))))),""),IF(AND(F13=0,NOT(F13="")),ABS(ROUNDDOWN(F13-H13,0)),""))</f>
        <v/>
      </c>
      <c r="J13" s="4">
        <f>IF(NOT(I13=""),IF(I13&lt;=G13,"match",IF(I13&lt;3*G13,"partial match","no match")),"")</f>
        <v/>
      </c>
      <c r="K13" t="inlineStr">
        <is>
          <t>img_dim_z_interp_img</t>
        </is>
      </c>
    </row>
    <row r="14" ht="15" customHeight="1" s="10">
      <c r="A14" t="inlineStr">
        <is>
          <t>configuration C</t>
        </is>
      </c>
      <c r="B14" t="inlineStr">
        <is>
          <t>Diagnostics-interpolated image</t>
        </is>
      </c>
      <c r="C14" t="inlineStr">
        <is>
          <t>Voxel dimension x</t>
        </is>
      </c>
      <c r="D14" t="inlineStr">
        <is>
          <t>DiagnosticsInterpolatedImageVoxelDimensionX</t>
        </is>
      </c>
      <c r="E14" t="inlineStr">
        <is>
          <t>≥ 10</t>
        </is>
      </c>
      <c r="F14" t="n">
        <v>2</v>
      </c>
      <c r="G14" t="n">
        <v>0</v>
      </c>
      <c r="H14" t="n">
        <v>2</v>
      </c>
      <c r="I14" s="4">
        <f>IFERROR(IF(NOT(H14=""),ABS(ROUNDDOWN(F14-H14, 3 - (1+INT(LOG10(ABS(F14)))))),""),IF(AND(F14=0,NOT(F14="")),ABS(ROUNDDOWN(F14-H14,0)),""))</f>
        <v/>
      </c>
      <c r="J14" s="4">
        <f>IF(NOT(I14=""),IF(I14&lt;=G14,"match",IF(I14&lt;3*G14,"partial match","no match")),"")</f>
        <v/>
      </c>
      <c r="K14" t="inlineStr">
        <is>
          <t>vox_dim_x_interp_img</t>
        </is>
      </c>
    </row>
    <row r="15" ht="15" customHeight="1" s="10">
      <c r="A15" t="inlineStr">
        <is>
          <t>configuration C</t>
        </is>
      </c>
      <c r="B15" t="inlineStr">
        <is>
          <t>Diagnostics-interpolated image</t>
        </is>
      </c>
      <c r="C15" t="inlineStr">
        <is>
          <t>Voxel dimension y</t>
        </is>
      </c>
      <c r="D15" t="inlineStr">
        <is>
          <t>DiagnosticsInterpolatedImageVoxelDimensionY</t>
        </is>
      </c>
      <c r="E15" t="inlineStr">
        <is>
          <t>≥ 10</t>
        </is>
      </c>
      <c r="F15" t="n">
        <v>2</v>
      </c>
      <c r="G15" t="n">
        <v>0</v>
      </c>
      <c r="H15" t="n">
        <v>2</v>
      </c>
      <c r="I15" s="4">
        <f>IFERROR(IF(NOT(H15=""),ABS(ROUNDDOWN(F15-H15, 3 - (1+INT(LOG10(ABS(F15)))))),""),IF(AND(F15=0,NOT(F15="")),ABS(ROUNDDOWN(F15-H15,0)),""))</f>
        <v/>
      </c>
      <c r="J15" s="4">
        <f>IF(NOT(I15=""),IF(I15&lt;=G15,"match",IF(I15&lt;3*G15,"partial match","no match")),"")</f>
        <v/>
      </c>
      <c r="K15" t="inlineStr">
        <is>
          <t>vox_dim_y_interp_img</t>
        </is>
      </c>
    </row>
    <row r="16" ht="15" customHeight="1" s="10">
      <c r="A16" t="inlineStr">
        <is>
          <t>configuration C</t>
        </is>
      </c>
      <c r="B16" t="inlineStr">
        <is>
          <t>Diagnostics-interpolated image</t>
        </is>
      </c>
      <c r="C16" t="inlineStr">
        <is>
          <t>Voxel dimension z</t>
        </is>
      </c>
      <c r="D16" t="inlineStr">
        <is>
          <t>DiagnosticsInterpolatedImageVoxelDimensionZ</t>
        </is>
      </c>
      <c r="E16" t="inlineStr">
        <is>
          <t>≥ 10</t>
        </is>
      </c>
      <c r="F16" t="n">
        <v>2</v>
      </c>
      <c r="G16" t="n">
        <v>0</v>
      </c>
      <c r="H16" t="n">
        <v>2</v>
      </c>
      <c r="I16" s="4">
        <f>IFERROR(IF(NOT(H16=""),ABS(ROUNDDOWN(F16-H16, 3 - (1+INT(LOG10(ABS(F16)))))),""),IF(AND(F16=0,NOT(F16="")),ABS(ROUNDDOWN(F16-H16,0)),""))</f>
        <v/>
      </c>
      <c r="J16" s="4">
        <f>IF(NOT(I16=""),IF(I16&lt;=G16,"match",IF(I16&lt;3*G16,"partial match","no match")),"")</f>
        <v/>
      </c>
      <c r="K16" t="inlineStr">
        <is>
          <t>vox_dim_z_interp_img</t>
        </is>
      </c>
    </row>
    <row r="17" ht="15" customHeight="1" s="10">
      <c r="A17" t="inlineStr">
        <is>
          <t>configuration C</t>
        </is>
      </c>
      <c r="B17" t="inlineStr">
        <is>
          <t>Diagnostics-interpolated image</t>
        </is>
      </c>
      <c r="C17" t="inlineStr">
        <is>
          <t>Mean intensity</t>
        </is>
      </c>
      <c r="D17" t="inlineStr">
        <is>
          <t>DiagnosticsInterpolatedImageMeanIntensity</t>
        </is>
      </c>
      <c r="E17" t="inlineStr">
        <is>
          <t>6-9</t>
        </is>
      </c>
      <c r="F17" t="n">
        <v>-270</v>
      </c>
      <c r="G17" t="n">
        <v>3</v>
      </c>
      <c r="H17" t="n">
        <v>-269.30318344032</v>
      </c>
      <c r="I17" s="4">
        <f>IFERROR(IF(NOT(H17=""),ABS(ROUNDDOWN(F17-H17, 3 - (1+INT(LOG10(ABS(F17)))))),""),IF(AND(F17=0,NOT(F17="")),ABS(ROUNDDOWN(F17-H17,0)),""))</f>
        <v/>
      </c>
      <c r="J17" s="4">
        <f>IF(NOT(I17=""),IF(I17&lt;=G17,"match",IF(I17&lt;3*G17,"partial match","no match")),"")</f>
        <v/>
      </c>
      <c r="K17" t="inlineStr">
        <is>
          <t>mean_int_interp_img</t>
        </is>
      </c>
    </row>
    <row r="18" ht="15" customHeight="1" s="10">
      <c r="A18" t="inlineStr">
        <is>
          <t>configuration C</t>
        </is>
      </c>
      <c r="B18" t="inlineStr">
        <is>
          <t>Diagnostics-interpolated image</t>
        </is>
      </c>
      <c r="C18" t="inlineStr">
        <is>
          <t>Minimum intensity</t>
        </is>
      </c>
      <c r="D18" t="inlineStr">
        <is>
          <t>DiagnosticsInterpolatedImageMinimumIntensity</t>
        </is>
      </c>
      <c r="E18" t="inlineStr">
        <is>
          <t>6-9</t>
        </is>
      </c>
      <c r="F18" t="n">
        <v>-1000</v>
      </c>
      <c r="G18" t="n">
        <v>0</v>
      </c>
      <c r="H18" t="n">
        <v>-1000</v>
      </c>
      <c r="I18" s="4">
        <f>IFERROR(IF(NOT(H18=""),ABS(ROUNDDOWN(F18-H18, 3 - (1+INT(LOG10(ABS(F18)))))),""),IF(AND(F18=0,NOT(F18="")),ABS(ROUNDDOWN(F18-H18,0)),""))</f>
        <v/>
      </c>
      <c r="J18" s="4">
        <f>IF(NOT(I18=""),IF(I18&lt;=G18,"match",IF(I18&lt;3*G18,"partial match","no match")),"")</f>
        <v/>
      </c>
      <c r="K18" t="inlineStr">
        <is>
          <t>min_int_interp_img</t>
        </is>
      </c>
    </row>
    <row r="19" ht="15" customHeight="1" s="10">
      <c r="A19" t="inlineStr">
        <is>
          <t>configuration C</t>
        </is>
      </c>
      <c r="B19" t="inlineStr">
        <is>
          <t>Diagnostics-interpolated image</t>
        </is>
      </c>
      <c r="C19" t="inlineStr">
        <is>
          <t>Maximum intensity</t>
        </is>
      </c>
      <c r="D19" t="inlineStr">
        <is>
          <t>DiagnosticsInterpolatedImageMaximumIntensity</t>
        </is>
      </c>
      <c r="E19" t="inlineStr">
        <is>
          <t>6-9</t>
        </is>
      </c>
      <c r="F19" t="n">
        <v>1854</v>
      </c>
      <c r="G19" t="n">
        <v>30</v>
      </c>
      <c r="H19" t="n">
        <v>1748.79296875</v>
      </c>
      <c r="I19" s="4">
        <f>IFERROR(IF(NOT(H19=""),ABS(ROUNDDOWN(F19-H19, 3 - (1+INT(LOG10(ABS(F19)))))),""),IF(AND(F19=0,NOT(F19="")),ABS(ROUNDDOWN(F19-H19,0)),""))</f>
        <v/>
      </c>
      <c r="J19" s="4">
        <f>IF(NOT(I19=""),IF(I19&lt;=G19,"match",IF(I19&lt;3*G19,"partial match","no match")),"")</f>
        <v/>
      </c>
      <c r="K19" t="inlineStr">
        <is>
          <t>max_int_interp_img</t>
        </is>
      </c>
    </row>
    <row r="20" ht="15" customHeight="1" s="10">
      <c r="A20" t="inlineStr">
        <is>
          <t>configuration C</t>
        </is>
      </c>
      <c r="B20" t="inlineStr">
        <is>
          <t>Diagnostics-initial ROI</t>
        </is>
      </c>
      <c r="C20" t="inlineStr">
        <is>
          <t>Int. mask dimension x</t>
        </is>
      </c>
      <c r="D20" t="inlineStr">
        <is>
          <t>DiagnosticsInitialROIMaskDimensionX</t>
        </is>
      </c>
      <c r="E20" t="inlineStr">
        <is>
          <t>≥ 10</t>
        </is>
      </c>
      <c r="F20" t="n">
        <v>204</v>
      </c>
      <c r="G20" t="n">
        <v>0</v>
      </c>
      <c r="H20" t="n">
        <v>204</v>
      </c>
      <c r="I20" s="4">
        <f>IFERROR(IF(NOT(H20=""),ABS(ROUNDDOWN(F20-H20, 3 - (1+INT(LOG10(ABS(F20)))))),""),IF(AND(F20=0,NOT(F20="")),ABS(ROUNDDOWN(F20-H20,0)),""))</f>
        <v/>
      </c>
      <c r="J20" s="4">
        <f>IF(NOT(I20=""),IF(I20&lt;=G20,"match",IF(I20&lt;3*G20,"partial match","no match")),"")</f>
        <v/>
      </c>
      <c r="K20" t="inlineStr">
        <is>
          <t>int_mask_dim_x_init_roi</t>
        </is>
      </c>
    </row>
    <row r="21" ht="15" customHeight="1" s="10">
      <c r="A21" t="inlineStr">
        <is>
          <t>configuration C</t>
        </is>
      </c>
      <c r="B21" t="inlineStr">
        <is>
          <t>Diagnostics-initial ROI</t>
        </is>
      </c>
      <c r="C21" t="inlineStr">
        <is>
          <t>Int. mask dimension y</t>
        </is>
      </c>
      <c r="D21" t="inlineStr">
        <is>
          <t>DiagnosticsInitialROIMaskDimensionY</t>
        </is>
      </c>
      <c r="E21" t="inlineStr">
        <is>
          <t>≥ 10</t>
        </is>
      </c>
      <c r="F21" t="n">
        <v>201</v>
      </c>
      <c r="G21" t="n">
        <v>0</v>
      </c>
      <c r="H21" t="n">
        <v>201</v>
      </c>
      <c r="I21" s="4">
        <f>IFERROR(IF(NOT(H21=""),ABS(ROUNDDOWN(F21-H21, 3 - (1+INT(LOG10(ABS(F21)))))),""),IF(AND(F21=0,NOT(F21="")),ABS(ROUNDDOWN(F21-H21,0)),""))</f>
        <v/>
      </c>
      <c r="J21" s="4">
        <f>IF(NOT(I21=""),IF(I21&lt;=G21,"match",IF(I21&lt;3*G21,"partial match","no match")),"")</f>
        <v/>
      </c>
      <c r="K21" t="inlineStr">
        <is>
          <t>int_mask_dim_y_init_roi</t>
        </is>
      </c>
    </row>
    <row r="22" ht="15" customHeight="1" s="10">
      <c r="A22" t="inlineStr">
        <is>
          <t>configuration C</t>
        </is>
      </c>
      <c r="B22" t="inlineStr">
        <is>
          <t>Diagnostics-initial ROI</t>
        </is>
      </c>
      <c r="C22" t="inlineStr">
        <is>
          <t>Int. mask dimension z</t>
        </is>
      </c>
      <c r="D22" t="inlineStr">
        <is>
          <t>DiagnosticsInitialROIMaskDimensionZ</t>
        </is>
      </c>
      <c r="E22" t="inlineStr">
        <is>
          <t>≥ 10</t>
        </is>
      </c>
      <c r="F22" t="n">
        <v>60</v>
      </c>
      <c r="G22" t="n">
        <v>0</v>
      </c>
      <c r="H22" t="n">
        <v>60</v>
      </c>
      <c r="I22" s="4">
        <f>IFERROR(IF(NOT(H22=""),ABS(ROUNDDOWN(F22-H22, 3 - (1+INT(LOG10(ABS(F22)))))),""),IF(AND(F22=0,NOT(F22="")),ABS(ROUNDDOWN(F22-H22,0)),""))</f>
        <v/>
      </c>
      <c r="J22" s="4">
        <f>IF(NOT(I22=""),IF(I22&lt;=G22,"match",IF(I22&lt;3*G22,"partial match","no match")),"")</f>
        <v/>
      </c>
      <c r="K22" t="inlineStr">
        <is>
          <t>int_mask_dim_z_init_roi</t>
        </is>
      </c>
    </row>
    <row r="23" ht="15" customHeight="1" s="10">
      <c r="A23" t="inlineStr">
        <is>
          <t>configuration C</t>
        </is>
      </c>
      <c r="B23" t="inlineStr">
        <is>
          <t>Diagnostics-initial ROI</t>
        </is>
      </c>
      <c r="C23" t="inlineStr">
        <is>
          <t>Int. mask bounding box dimension x</t>
        </is>
      </c>
      <c r="D23" t="inlineStr">
        <is>
          <t>DiagnosticsInitialROIMaskBoundingBoxDimensionX</t>
        </is>
      </c>
      <c r="E23" t="inlineStr">
        <is>
          <t>6-9</t>
        </is>
      </c>
      <c r="F23" t="n">
        <v>100</v>
      </c>
      <c r="G23" t="n">
        <v>0</v>
      </c>
      <c r="H23" t="n">
        <v>100</v>
      </c>
      <c r="I23" s="4">
        <f>IFERROR(IF(NOT(H23=""),ABS(ROUNDDOWN(F23-H23, 3 - (1+INT(LOG10(ABS(F23)))))),""),IF(AND(F23=0,NOT(F23="")),ABS(ROUNDDOWN(F23-H23,0)),""))</f>
        <v/>
      </c>
      <c r="J23" s="4">
        <f>IF(NOT(I23=""),IF(I23&lt;=G23,"match",IF(I23&lt;3*G23,"partial match","no match")),"")</f>
        <v/>
      </c>
      <c r="K23" t="inlineStr">
        <is>
          <t>int_mask_bb_dim_x_init_roi</t>
        </is>
      </c>
    </row>
    <row r="24" ht="15" customHeight="1" s="10">
      <c r="A24" t="inlineStr">
        <is>
          <t>configuration C</t>
        </is>
      </c>
      <c r="B24" t="inlineStr">
        <is>
          <t>Diagnostics-initial ROI</t>
        </is>
      </c>
      <c r="C24" t="inlineStr">
        <is>
          <t>Int. mask bounding box dimension y</t>
        </is>
      </c>
      <c r="D24" t="inlineStr">
        <is>
          <t>DiagnosticsInitialROIMaskBoundingBoxDimensionY</t>
        </is>
      </c>
      <c r="E24" t="inlineStr">
        <is>
          <t>6-9</t>
        </is>
      </c>
      <c r="F24" t="n">
        <v>99</v>
      </c>
      <c r="G24" t="n">
        <v>0</v>
      </c>
      <c r="H24" t="n">
        <v>99</v>
      </c>
      <c r="I24" s="4">
        <f>IFERROR(IF(NOT(H24=""),ABS(ROUNDDOWN(F24-H24, 3 - (1+INT(LOG10(ABS(F24)))))),""),IF(AND(F24=0,NOT(F24="")),ABS(ROUNDDOWN(F24-H24,0)),""))</f>
        <v/>
      </c>
      <c r="J24" s="4">
        <f>IF(NOT(I24=""),IF(I24&lt;=G24,"match",IF(I24&lt;3*G24,"partial match","no match")),"")</f>
        <v/>
      </c>
      <c r="K24" t="inlineStr">
        <is>
          <t>int_mask_bb_dim_y_init_roi</t>
        </is>
      </c>
    </row>
    <row r="25" ht="15" customHeight="1" s="10">
      <c r="A25" t="inlineStr">
        <is>
          <t>configuration C</t>
        </is>
      </c>
      <c r="B25" t="inlineStr">
        <is>
          <t>Diagnostics-initial ROI</t>
        </is>
      </c>
      <c r="C25" t="inlineStr">
        <is>
          <t>Int. mask bounding box dimension z</t>
        </is>
      </c>
      <c r="D25" t="inlineStr">
        <is>
          <t>DiagnosticsInitialROIMaskBoundingBoxDimensionZ</t>
        </is>
      </c>
      <c r="E25" t="inlineStr">
        <is>
          <t>6-9</t>
        </is>
      </c>
      <c r="F25" t="n">
        <v>26</v>
      </c>
      <c r="G25" t="n">
        <v>0</v>
      </c>
      <c r="H25" t="n">
        <v>26</v>
      </c>
      <c r="I25" s="4">
        <f>IFERROR(IF(NOT(H25=""),ABS(ROUNDDOWN(F25-H25, 3 - (1+INT(LOG10(ABS(F25)))))),""),IF(AND(F25=0,NOT(F25="")),ABS(ROUNDDOWN(F25-H25,0)),""))</f>
        <v/>
      </c>
      <c r="J25" s="4">
        <f>IF(NOT(I25=""),IF(I25&lt;=G25,"match",IF(I25&lt;3*G25,"partial match","no match")),"")</f>
        <v/>
      </c>
      <c r="K25" t="inlineStr">
        <is>
          <t>int_mask_bb_dim_z_init_roi</t>
        </is>
      </c>
    </row>
    <row r="26" ht="15" customHeight="1" s="10">
      <c r="A26" t="inlineStr">
        <is>
          <t>configuration C</t>
        </is>
      </c>
      <c r="B26" t="inlineStr">
        <is>
          <t>Diagnostics-initial ROI</t>
        </is>
      </c>
      <c r="C26" t="inlineStr">
        <is>
          <t>Morph. mask bounding box dimension x</t>
        </is>
      </c>
      <c r="D26" t="inlineStr">
        <is>
          <t>DiagnosticsInitialROIMorphMaskBoundingBoxDimensionX</t>
        </is>
      </c>
      <c r="E26" t="inlineStr">
        <is>
          <t>6-9</t>
        </is>
      </c>
      <c r="F26" t="n">
        <v>100</v>
      </c>
      <c r="G26" t="n">
        <v>0</v>
      </c>
      <c r="I26" s="4">
        <f>IFERROR(IF(NOT(H26=""),ABS(ROUNDDOWN(F26-H26, 3 - (1+INT(LOG10(ABS(F26)))))),""),IF(AND(F26=0,NOT(F26="")),ABS(ROUNDDOWN(F26-H26,0)),""))</f>
        <v/>
      </c>
      <c r="J26" s="4">
        <f>IF(NOT(I26=""),IF(I26&lt;=G26,"match",IF(I26&lt;3*G26,"partial match","no match")),"")</f>
        <v/>
      </c>
      <c r="K26" t="inlineStr">
        <is>
          <t>morph_mask_bb_dim_x_init_roi</t>
        </is>
      </c>
    </row>
    <row r="27" ht="15" customHeight="1" s="10">
      <c r="A27" t="inlineStr">
        <is>
          <t>configuration C</t>
        </is>
      </c>
      <c r="B27" t="inlineStr">
        <is>
          <t>Diagnostics-initial ROI</t>
        </is>
      </c>
      <c r="C27" t="inlineStr">
        <is>
          <t>Morph. mask bounding box dimension y</t>
        </is>
      </c>
      <c r="D27" t="inlineStr">
        <is>
          <t>DiagnosticsInitialROIMorphMaskBoundingBoxDimensionY</t>
        </is>
      </c>
      <c r="E27" t="inlineStr">
        <is>
          <t>6-9</t>
        </is>
      </c>
      <c r="F27" t="n">
        <v>99</v>
      </c>
      <c r="G27" t="n">
        <v>0</v>
      </c>
      <c r="I27" s="4">
        <f>IFERROR(IF(NOT(H27=""),ABS(ROUNDDOWN(F27-H27, 3 - (1+INT(LOG10(ABS(F27)))))),""),IF(AND(F27=0,NOT(F27="")),ABS(ROUNDDOWN(F27-H27,0)),""))</f>
        <v/>
      </c>
      <c r="J27" s="4">
        <f>IF(NOT(I27=""),IF(I27&lt;=G27,"match",IF(I27&lt;3*G27,"partial match","no match")),"")</f>
        <v/>
      </c>
      <c r="K27" t="inlineStr">
        <is>
          <t>morph_mask_bb_dim_y_init_roi</t>
        </is>
      </c>
    </row>
    <row r="28" ht="15" customHeight="1" s="10">
      <c r="A28" t="inlineStr">
        <is>
          <t>configuration C</t>
        </is>
      </c>
      <c r="B28" t="inlineStr">
        <is>
          <t>Diagnostics-initial ROI</t>
        </is>
      </c>
      <c r="C28" t="inlineStr">
        <is>
          <t>Morph. mask bounding box dimension z</t>
        </is>
      </c>
      <c r="D28" t="inlineStr">
        <is>
          <t>DiagnosticsInitialROIMorphMaskBoundingBoxDimensionZ</t>
        </is>
      </c>
      <c r="E28" t="inlineStr">
        <is>
          <t>6-9</t>
        </is>
      </c>
      <c r="F28" t="n">
        <v>26</v>
      </c>
      <c r="G28" t="n">
        <v>0</v>
      </c>
      <c r="I28" s="4">
        <f>IFERROR(IF(NOT(H28=""),ABS(ROUNDDOWN(F28-H28, 3 - (1+INT(LOG10(ABS(F28)))))),""),IF(AND(F28=0,NOT(F28="")),ABS(ROUNDDOWN(F28-H28,0)),""))</f>
        <v/>
      </c>
      <c r="J28" s="4">
        <f>IF(NOT(I28=""),IF(I28&lt;=G28,"match",IF(I28&lt;3*G28,"partial match","no match")),"")</f>
        <v/>
      </c>
      <c r="K28" t="inlineStr">
        <is>
          <t>morph_mask_bb_dim_z_init_roi</t>
        </is>
      </c>
    </row>
    <row r="29" ht="15" customHeight="1" s="10">
      <c r="A29" t="inlineStr">
        <is>
          <t>configuration C</t>
        </is>
      </c>
      <c r="B29" t="inlineStr">
        <is>
          <t>Diagnostics-initial ROI</t>
        </is>
      </c>
      <c r="C29" t="inlineStr">
        <is>
          <t>Int. mask voxel count</t>
        </is>
      </c>
      <c r="D29" t="inlineStr">
        <is>
          <t>DiagnosticsInitialROIIntMaskVoxelCount</t>
        </is>
      </c>
      <c r="E29" t="inlineStr">
        <is>
          <t>6-9</t>
        </is>
      </c>
      <c r="F29" t="n">
        <v>125256</v>
      </c>
      <c r="G29" t="n">
        <v>0</v>
      </c>
      <c r="H29" t="n">
        <v>125256</v>
      </c>
      <c r="I29" s="4">
        <f>IFERROR(IF(NOT(H29=""),ABS(ROUNDDOWN(F29-H29, 3 - (1+INT(LOG10(ABS(F29)))))),""),IF(AND(F29=0,NOT(F29="")),ABS(ROUNDDOWN(F29-H29,0)),""))</f>
        <v/>
      </c>
      <c r="J29" s="4">
        <f>IF(NOT(I29=""),IF(I29&lt;=G29,"match",IF(I29&lt;3*G29,"partial match","no match")),"")</f>
        <v/>
      </c>
      <c r="K29" t="inlineStr">
        <is>
          <t>int_mask_vox_count_init_roi</t>
        </is>
      </c>
    </row>
    <row r="30" ht="15" customHeight="1" s="10">
      <c r="A30" t="inlineStr">
        <is>
          <t>configuration C</t>
        </is>
      </c>
      <c r="B30" t="inlineStr">
        <is>
          <t>Diagnostics-initial ROI</t>
        </is>
      </c>
      <c r="C30" t="inlineStr">
        <is>
          <t>Morph. mask voxel count</t>
        </is>
      </c>
      <c r="D30" t="inlineStr">
        <is>
          <t>DiagnosticsInitialROIMorphMaskVoxelCount</t>
        </is>
      </c>
      <c r="E30" t="inlineStr">
        <is>
          <t>6-9</t>
        </is>
      </c>
      <c r="F30" t="n">
        <v>125256</v>
      </c>
      <c r="G30" t="n">
        <v>0</v>
      </c>
      <c r="I30" s="4">
        <f>IFERROR(IF(NOT(H30=""),ABS(ROUNDDOWN(F30-H30, 3 - (1+INT(LOG10(ABS(F30)))))),""),IF(AND(F30=0,NOT(F30="")),ABS(ROUNDDOWN(F30-H30,0)),""))</f>
        <v/>
      </c>
      <c r="J30" s="4">
        <f>IF(NOT(I30=""),IF(I30&lt;=G30,"match",IF(I30&lt;3*G30,"partial match","no match")),"")</f>
        <v/>
      </c>
      <c r="K30" t="inlineStr">
        <is>
          <t>morph_mask_vox_count_init_roi</t>
        </is>
      </c>
    </row>
    <row r="31" ht="15" customHeight="1" s="10">
      <c r="A31" t="inlineStr">
        <is>
          <t>configuration C</t>
        </is>
      </c>
      <c r="B31" t="inlineStr">
        <is>
          <t>Diagnostics-initial ROI</t>
        </is>
      </c>
      <c r="C31" t="inlineStr">
        <is>
          <t>Int. mask mean intensity</t>
        </is>
      </c>
      <c r="D31" t="inlineStr">
        <is>
          <t>DiagnosticsInitialROIIntMaskMeanIntensity</t>
        </is>
      </c>
      <c r="E31" t="inlineStr">
        <is>
          <t>6-9</t>
        </is>
      </c>
      <c r="F31" t="n">
        <v>-46.9</v>
      </c>
      <c r="G31" t="n">
        <v>0</v>
      </c>
      <c r="H31" t="n">
        <v>-46.8827</v>
      </c>
      <c r="I31" s="4">
        <f>IFERROR(IF(NOT(H31=""),ABS(ROUNDDOWN(F31-H31, 3 - (1+INT(LOG10(ABS(F31)))))),""),IF(AND(F31=0,NOT(F31="")),ABS(ROUNDDOWN(F31-H31,0)),""))</f>
        <v/>
      </c>
      <c r="J31" s="4">
        <f>IF(NOT(I31=""),IF(I31&lt;=G31,"match",IF(I31&lt;3*G31,"partial match","no match")),"")</f>
        <v/>
      </c>
      <c r="K31" t="inlineStr">
        <is>
          <t>int_mask_mean_int_init_roi</t>
        </is>
      </c>
    </row>
    <row r="32" ht="15" customHeight="1" s="10">
      <c r="A32" t="inlineStr">
        <is>
          <t>configuration C</t>
        </is>
      </c>
      <c r="B32" t="inlineStr">
        <is>
          <t>Diagnostics-initial ROI</t>
        </is>
      </c>
      <c r="C32" t="inlineStr">
        <is>
          <t>Int. mask minimum intensity</t>
        </is>
      </c>
      <c r="D32" t="inlineStr">
        <is>
          <t>DiagnosticsInitialROIIntMaskMinimumIntensity</t>
        </is>
      </c>
      <c r="E32" t="inlineStr">
        <is>
          <t>≥ 10</t>
        </is>
      </c>
      <c r="F32" t="n">
        <v>-1000</v>
      </c>
      <c r="G32" t="n">
        <v>0</v>
      </c>
      <c r="H32" t="n">
        <v>-1000</v>
      </c>
      <c r="I32" s="4">
        <f>IFERROR(IF(NOT(H32=""),ABS(ROUNDDOWN(F32-H32, 3 - (1+INT(LOG10(ABS(F32)))))),""),IF(AND(F32=0,NOT(F32="")),ABS(ROUNDDOWN(F32-H32,0)),""))</f>
        <v/>
      </c>
      <c r="J32" s="4">
        <f>IF(NOT(I32=""),IF(I32&lt;=G32,"match",IF(I32&lt;3*G32,"partial match","no match")),"")</f>
        <v/>
      </c>
      <c r="K32" t="inlineStr">
        <is>
          <t>int_mask_min_int_init_roi</t>
        </is>
      </c>
    </row>
    <row r="33" ht="15" customHeight="1" s="10">
      <c r="A33" t="inlineStr">
        <is>
          <t>configuration C</t>
        </is>
      </c>
      <c r="B33" t="inlineStr">
        <is>
          <t>Diagnostics-initial ROI</t>
        </is>
      </c>
      <c r="C33" t="inlineStr">
        <is>
          <t>Int. mask maximum intensity</t>
        </is>
      </c>
      <c r="D33" t="inlineStr">
        <is>
          <t>DiagnosticsInitialROIIntMaskMaximumIntensity</t>
        </is>
      </c>
      <c r="E33" t="inlineStr">
        <is>
          <t>≥ 10</t>
        </is>
      </c>
      <c r="F33" t="n">
        <v>723</v>
      </c>
      <c r="G33" t="n">
        <v>0</v>
      </c>
      <c r="H33" t="n">
        <v>723</v>
      </c>
      <c r="I33" s="4">
        <f>IFERROR(IF(NOT(H33=""),ABS(ROUNDDOWN(F33-H33, 3 - (1+INT(LOG10(ABS(F33)))))),""),IF(AND(F33=0,NOT(F33="")),ABS(ROUNDDOWN(F33-H33,0)),""))</f>
        <v/>
      </c>
      <c r="J33" s="4">
        <f>IF(NOT(I33=""),IF(I33&lt;=G33,"match",IF(I33&lt;3*G33,"partial match","no match")),"")</f>
        <v/>
      </c>
      <c r="K33" t="inlineStr">
        <is>
          <t>int_mask_max_int_init_roi</t>
        </is>
      </c>
    </row>
    <row r="34" ht="15" customHeight="1" s="10">
      <c r="A34" t="inlineStr">
        <is>
          <t>configuration C</t>
        </is>
      </c>
      <c r="B34" t="inlineStr">
        <is>
          <t>Diagnostics-interpolated ROI</t>
        </is>
      </c>
      <c r="C34" t="inlineStr">
        <is>
          <t>Int. mask dimension x</t>
        </is>
      </c>
      <c r="D34" t="inlineStr">
        <is>
          <t>DiagnosticsInterpolatedROIIntMaskDimensionX</t>
        </is>
      </c>
      <c r="E34" t="inlineStr">
        <is>
          <t>6-9</t>
        </is>
      </c>
      <c r="F34" t="n">
        <v>100</v>
      </c>
      <c r="G34" t="n">
        <v>1</v>
      </c>
      <c r="H34" t="n">
        <v>100</v>
      </c>
      <c r="I34" s="4">
        <f>IFERROR(IF(NOT(H34=""),ABS(ROUNDDOWN(F34-H34, 3 - (1+INT(LOG10(ABS(F34)))))),""),IF(AND(F34=0,NOT(F34="")),ABS(ROUNDDOWN(F34-H34,0)),""))</f>
        <v/>
      </c>
      <c r="J34" s="4">
        <f>IF(NOT(I34=""),IF(I34&lt;=G34,"match",IF(I34&lt;3*G34,"partial match","no match")),"")</f>
        <v/>
      </c>
      <c r="K34" t="inlineStr">
        <is>
          <t>int_mask_dim_x_interp_roi</t>
        </is>
      </c>
    </row>
    <row r="35" ht="15" customHeight="1" s="10">
      <c r="A35" t="inlineStr">
        <is>
          <t>configuration C</t>
        </is>
      </c>
      <c r="B35" t="inlineStr">
        <is>
          <t>Diagnostics-interpolated ROI</t>
        </is>
      </c>
      <c r="C35" t="inlineStr">
        <is>
          <t>Int. mask dimension y</t>
        </is>
      </c>
      <c r="D35" t="inlineStr">
        <is>
          <t>DiagnosticsInterpolatedROIIntMaskDimensionY</t>
        </is>
      </c>
      <c r="E35" t="inlineStr">
        <is>
          <t>6-9</t>
        </is>
      </c>
      <c r="F35" t="n">
        <v>99</v>
      </c>
      <c r="G35" t="n">
        <v>0.8</v>
      </c>
      <c r="H35" t="n">
        <v>99</v>
      </c>
      <c r="I35" s="4">
        <f>IFERROR(IF(NOT(H35=""),ABS(ROUNDDOWN(F35-H35, 3 - (1+INT(LOG10(ABS(F35)))))),""),IF(AND(F35=0,NOT(F35="")),ABS(ROUNDDOWN(F35-H35,0)),""))</f>
        <v/>
      </c>
      <c r="J35" s="4">
        <f>IF(NOT(I35=""),IF(I35&lt;=G35,"match",IF(I35&lt;3*G35,"partial match","no match")),"")</f>
        <v/>
      </c>
      <c r="K35" t="inlineStr">
        <is>
          <t>int_mask_dim_y_interp_roi</t>
        </is>
      </c>
    </row>
    <row r="36" ht="15" customHeight="1" s="10">
      <c r="A36" t="inlineStr">
        <is>
          <t>configuration C</t>
        </is>
      </c>
      <c r="B36" t="inlineStr">
        <is>
          <t>Diagnostics-interpolated ROI</t>
        </is>
      </c>
      <c r="C36" t="inlineStr">
        <is>
          <t>Int. mask dimension z</t>
        </is>
      </c>
      <c r="D36" t="inlineStr">
        <is>
          <t>DiagnosticsInterpolatedROIIntMaskDimensionZ</t>
        </is>
      </c>
      <c r="E36" t="inlineStr">
        <is>
          <t>6-9</t>
        </is>
      </c>
      <c r="F36" t="n">
        <v>90</v>
      </c>
      <c r="G36" t="n">
        <v>0</v>
      </c>
      <c r="H36" t="n">
        <v>90</v>
      </c>
      <c r="I36" s="4">
        <f>IFERROR(IF(NOT(H36=""),ABS(ROUNDDOWN(F36-H36, 3 - (1+INT(LOG10(ABS(F36)))))),""),IF(AND(F36=0,NOT(F36="")),ABS(ROUNDDOWN(F36-H36,0)),""))</f>
        <v/>
      </c>
      <c r="J36" s="4">
        <f>IF(NOT(I36=""),IF(I36&lt;=G36,"match",IF(I36&lt;3*G36,"partial match","no match")),"")</f>
        <v/>
      </c>
      <c r="K36" t="inlineStr">
        <is>
          <t>int_mask_dim_z_interp_roi</t>
        </is>
      </c>
    </row>
    <row r="37" ht="15" customHeight="1" s="10">
      <c r="A37" t="inlineStr">
        <is>
          <t>configuration C</t>
        </is>
      </c>
      <c r="B37" t="inlineStr">
        <is>
          <t>Diagnostics-interpolated ROI</t>
        </is>
      </c>
      <c r="C37" t="inlineStr">
        <is>
          <t>Int. mask bounding box dimension x</t>
        </is>
      </c>
      <c r="D37" t="inlineStr">
        <is>
          <t>DiagnosticsInterpolatedROIIntMaskBoundingBoxDimensionX</t>
        </is>
      </c>
      <c r="E37" t="inlineStr">
        <is>
          <t>6-9</t>
        </is>
      </c>
      <c r="F37" t="n">
        <v>49</v>
      </c>
      <c r="G37" t="n">
        <v>0.2</v>
      </c>
      <c r="H37" t="n">
        <v>49</v>
      </c>
      <c r="I37" s="4">
        <f>IFERROR(IF(NOT(H37=""),ABS(ROUNDDOWN(F37-H37, 3 - (1+INT(LOG10(ABS(F37)))))),""),IF(AND(F37=0,NOT(F37="")),ABS(ROUNDDOWN(F37-H37,0)),""))</f>
        <v/>
      </c>
      <c r="J37" s="4">
        <f>IF(NOT(I37=""),IF(I37&lt;=G37,"match",IF(I37&lt;3*G37,"partial match","no match")),"")</f>
        <v/>
      </c>
      <c r="K37" t="inlineStr">
        <is>
          <t>int_mask_bb_dim_x_interp_roi</t>
        </is>
      </c>
    </row>
    <row r="38" ht="15" customHeight="1" s="10">
      <c r="A38" t="inlineStr">
        <is>
          <t>configuration C</t>
        </is>
      </c>
      <c r="B38" t="inlineStr">
        <is>
          <t>Diagnostics-interpolated ROI</t>
        </is>
      </c>
      <c r="C38" t="inlineStr">
        <is>
          <t>Int. mask bounding box dimension y</t>
        </is>
      </c>
      <c r="D38" t="inlineStr">
        <is>
          <t>DiagnosticsInterpolatedROIIntMaskBoundingBoxDimensionY</t>
        </is>
      </c>
      <c r="E38" t="inlineStr">
        <is>
          <t>6-9</t>
        </is>
      </c>
      <c r="F38" t="n">
        <v>49</v>
      </c>
      <c r="G38" t="n">
        <v>0.3</v>
      </c>
      <c r="H38" t="n">
        <v>49</v>
      </c>
      <c r="I38" s="4">
        <f>IFERROR(IF(NOT(H38=""),ABS(ROUNDDOWN(F38-H38, 3 - (1+INT(LOG10(ABS(F38)))))),""),IF(AND(F38=0,NOT(F38="")),ABS(ROUNDDOWN(F38-H38,0)),""))</f>
        <v/>
      </c>
      <c r="J38" s="4">
        <f>IF(NOT(I38=""),IF(I38&lt;=G38,"match",IF(I38&lt;3*G38,"partial match","no match")),"")</f>
        <v/>
      </c>
      <c r="K38" t="inlineStr">
        <is>
          <t>int_mask_bb_dim_y_interp_roi</t>
        </is>
      </c>
    </row>
    <row r="39" ht="15" customHeight="1" s="10">
      <c r="A39" t="inlineStr">
        <is>
          <t>configuration C</t>
        </is>
      </c>
      <c r="B39" t="inlineStr">
        <is>
          <t>Diagnostics-interpolated ROI</t>
        </is>
      </c>
      <c r="C39" t="inlineStr">
        <is>
          <t>Int. mask bounding box dimension z</t>
        </is>
      </c>
      <c r="D39" t="inlineStr">
        <is>
          <t>DiagnosticsInterpolatedROIIntMaskBoundingBoxDimensionZ</t>
        </is>
      </c>
      <c r="E39" t="inlineStr">
        <is>
          <t>6-9</t>
        </is>
      </c>
      <c r="F39" t="n">
        <v>40</v>
      </c>
      <c r="G39" t="n">
        <v>0</v>
      </c>
      <c r="H39" t="n">
        <v>39</v>
      </c>
      <c r="I39" s="4">
        <f>IFERROR(IF(NOT(H39=""),ABS(ROUNDDOWN(F39-H39, 3 - (1+INT(LOG10(ABS(F39)))))),""),IF(AND(F39=0,NOT(F39="")),ABS(ROUNDDOWN(F39-H39,0)),""))</f>
        <v/>
      </c>
      <c r="J39" s="4">
        <f>IF(NOT(I39=""),IF(I39&lt;=G39,"match",IF(I39&lt;3*G39,"partial match","no match")),"")</f>
        <v/>
      </c>
      <c r="K39" t="inlineStr">
        <is>
          <t>int_mask_bb_dim_z_interp_roi</t>
        </is>
      </c>
    </row>
    <row r="40" ht="15" customHeight="1" s="10">
      <c r="A40" t="inlineStr">
        <is>
          <t>configuration C</t>
        </is>
      </c>
      <c r="B40" t="inlineStr">
        <is>
          <t>Diagnostics-interpolated ROI</t>
        </is>
      </c>
      <c r="C40" t="inlineStr">
        <is>
          <t>Morph. mask bounding box dimension x</t>
        </is>
      </c>
      <c r="D40" t="inlineStr">
        <is>
          <t>DiagnosticsInterpolatedROIMorphMaskBoundingBoxDimensionX</t>
        </is>
      </c>
      <c r="E40" t="inlineStr">
        <is>
          <t>6-9</t>
        </is>
      </c>
      <c r="F40" t="n">
        <v>49</v>
      </c>
      <c r="G40" t="n">
        <v>0.2</v>
      </c>
      <c r="I40" s="4">
        <f>IFERROR(IF(NOT(H40=""),ABS(ROUNDDOWN(F40-H40, 3 - (1+INT(LOG10(ABS(F40)))))),""),IF(AND(F40=0,NOT(F40="")),ABS(ROUNDDOWN(F40-H40,0)),""))</f>
        <v/>
      </c>
      <c r="J40" s="4">
        <f>IF(NOT(I40=""),IF(I40&lt;=G40,"match",IF(I40&lt;3*G40,"partial match","no match")),"")</f>
        <v/>
      </c>
      <c r="K40" t="inlineStr">
        <is>
          <t>morph_mask_bb_dim_x_interp_roi</t>
        </is>
      </c>
    </row>
    <row r="41" ht="15" customHeight="1" s="10">
      <c r="A41" t="inlineStr">
        <is>
          <t>configuration C</t>
        </is>
      </c>
      <c r="B41" t="inlineStr">
        <is>
          <t>Diagnostics-interpolated ROI</t>
        </is>
      </c>
      <c r="C41" t="inlineStr">
        <is>
          <t>Morph. mask bounding box dimension y</t>
        </is>
      </c>
      <c r="D41" t="inlineStr">
        <is>
          <t>DiagnosticsInterpolatedROIMorphMaskBoundingBoxDimensionY</t>
        </is>
      </c>
      <c r="E41" t="inlineStr">
        <is>
          <t>6-9</t>
        </is>
      </c>
      <c r="F41" t="n">
        <v>49</v>
      </c>
      <c r="G41" t="n">
        <v>0.3</v>
      </c>
      <c r="I41" s="4">
        <f>IFERROR(IF(NOT(H41=""),ABS(ROUNDDOWN(F41-H41, 3 - (1+INT(LOG10(ABS(F41)))))),""),IF(AND(F41=0,NOT(F41="")),ABS(ROUNDDOWN(F41-H41,0)),""))</f>
        <v/>
      </c>
      <c r="J41" s="4">
        <f>IF(NOT(I41=""),IF(I41&lt;=G41,"match",IF(I41&lt;3*G41,"partial match","no match")),"")</f>
        <v/>
      </c>
      <c r="K41" t="inlineStr">
        <is>
          <t>morph_mask_bb_dim_y_interp_roi</t>
        </is>
      </c>
    </row>
    <row r="42" ht="15" customHeight="1" s="10">
      <c r="A42" t="inlineStr">
        <is>
          <t>configuration C</t>
        </is>
      </c>
      <c r="B42" t="inlineStr">
        <is>
          <t>Diagnostics-interpolated ROI</t>
        </is>
      </c>
      <c r="C42" t="inlineStr">
        <is>
          <t>Morph. mask bounding box dimension z</t>
        </is>
      </c>
      <c r="D42" t="inlineStr">
        <is>
          <t>DiagnosticsInterpolatedROIMorphMaskBoundingBoxDimensionZ</t>
        </is>
      </c>
      <c r="E42" t="inlineStr">
        <is>
          <t>6-9</t>
        </is>
      </c>
      <c r="F42" t="n">
        <v>40</v>
      </c>
      <c r="G42" t="n">
        <v>0</v>
      </c>
      <c r="I42" s="4">
        <f>IFERROR(IF(NOT(H42=""),ABS(ROUNDDOWN(F42-H42, 3 - (1+INT(LOG10(ABS(F42)))))),""),IF(AND(F42=0,NOT(F42="")),ABS(ROUNDDOWN(F42-H42,0)),""))</f>
        <v/>
      </c>
      <c r="J42" s="4">
        <f>IF(NOT(I42=""),IF(I42&lt;=G42,"match",IF(I42&lt;3*G42,"partial match","no match")),"")</f>
        <v/>
      </c>
      <c r="K42" t="inlineStr">
        <is>
          <t>morph_mask_bb_dim_z_interp_roi</t>
        </is>
      </c>
    </row>
    <row r="43" ht="15" customHeight="1" s="10">
      <c r="A43" t="inlineStr">
        <is>
          <t>configuration C</t>
        </is>
      </c>
      <c r="B43" t="inlineStr">
        <is>
          <t>Diagnostics-interpolated ROI</t>
        </is>
      </c>
      <c r="C43" t="inlineStr">
        <is>
          <t>Int. mask voxel count</t>
        </is>
      </c>
      <c r="D43" t="inlineStr">
        <is>
          <t>DiagnosticsInterpolatedROIIntMaskVoxelCount</t>
        </is>
      </c>
      <c r="E43" t="inlineStr">
        <is>
          <t>6-9</t>
        </is>
      </c>
      <c r="F43" t="n">
        <v>45985</v>
      </c>
      <c r="G43" t="n">
        <v>100</v>
      </c>
      <c r="H43" t="n">
        <v>45701</v>
      </c>
      <c r="I43" s="4">
        <f>IFERROR(IF(NOT(H43=""),ABS(ROUNDDOWN(F43-H43, 3 - (1+INT(LOG10(ABS(F43)))))),""),IF(AND(F43=0,NOT(F43="")),ABS(ROUNDDOWN(F43-H43,0)),""))</f>
        <v/>
      </c>
      <c r="J43" s="4">
        <f>IF(NOT(I43=""),IF(I43&lt;=G43,"match",IF(I43&lt;3*G43,"partial match","no match")),"")</f>
        <v/>
      </c>
      <c r="K43" t="inlineStr">
        <is>
          <t>int_mask_vox_count_interp_roi</t>
        </is>
      </c>
    </row>
    <row r="44" ht="15" customHeight="1" s="10">
      <c r="A44" t="inlineStr">
        <is>
          <t>configuration C</t>
        </is>
      </c>
      <c r="B44" t="inlineStr">
        <is>
          <t>Diagnostics-interpolated ROI</t>
        </is>
      </c>
      <c r="C44" t="inlineStr">
        <is>
          <t>Morph. mask voxel count</t>
        </is>
      </c>
      <c r="D44" t="inlineStr">
        <is>
          <t>DiagnosticsInterpolatedROIMorphMaskVoxelCount</t>
        </is>
      </c>
      <c r="E44" t="inlineStr">
        <is>
          <t>6-9</t>
        </is>
      </c>
      <c r="F44" t="n">
        <v>45985</v>
      </c>
      <c r="G44" t="n">
        <v>100</v>
      </c>
      <c r="I44" s="4">
        <f>IFERROR(IF(NOT(H44=""),ABS(ROUNDDOWN(F44-H44, 3 - (1+INT(LOG10(ABS(F44)))))),""),IF(AND(F44=0,NOT(F44="")),ABS(ROUNDDOWN(F44-H44,0)),""))</f>
        <v/>
      </c>
      <c r="J44" s="4">
        <f>IF(NOT(I44=""),IF(I44&lt;=G44,"match",IF(I44&lt;3*G44,"partial match","no match")),"")</f>
        <v/>
      </c>
      <c r="K44" t="inlineStr">
        <is>
          <t>morph_mask_vox_count_interp_roi</t>
        </is>
      </c>
    </row>
    <row r="45" ht="15" customHeight="1" s="10">
      <c r="A45" t="inlineStr">
        <is>
          <t>configuration C</t>
        </is>
      </c>
      <c r="B45" t="inlineStr">
        <is>
          <t>Diagnostics-interpolated ROI</t>
        </is>
      </c>
      <c r="C45" t="inlineStr">
        <is>
          <t>Int. mask mean intensity</t>
        </is>
      </c>
      <c r="D45" t="inlineStr">
        <is>
          <t>DiagnosticsInterpolatedROIIntMaskMeanIntensity</t>
        </is>
      </c>
      <c r="E45" t="inlineStr">
        <is>
          <t>6-9</t>
        </is>
      </c>
      <c r="F45" t="n">
        <v>-48.9</v>
      </c>
      <c r="G45" t="n">
        <v>0.1</v>
      </c>
      <c r="H45" t="n">
        <v>-46.6396533751665</v>
      </c>
      <c r="I45" s="4">
        <f>IFERROR(IF(NOT(H45=""),ABS(ROUNDDOWN(F45-H45, 3 - (1+INT(LOG10(ABS(F45)))))),""),IF(AND(F45=0,NOT(F45="")),ABS(ROUNDDOWN(F45-H45,0)),""))</f>
        <v/>
      </c>
      <c r="J45" s="4">
        <f>IF(NOT(I45=""),IF(I45&lt;=G45,"match",IF(I45&lt;3*G45,"partial match","no match")),"")</f>
        <v/>
      </c>
      <c r="K45" t="inlineStr">
        <is>
          <t>int_mask_mean_int_interp_roi</t>
        </is>
      </c>
    </row>
    <row r="46" ht="15" customHeight="1" s="10">
      <c r="A46" t="inlineStr">
        <is>
          <t>configuration C</t>
        </is>
      </c>
      <c r="B46" t="inlineStr">
        <is>
          <t>Diagnostics-interpolated ROI</t>
        </is>
      </c>
      <c r="C46" t="inlineStr">
        <is>
          <t>Int. mask minimum intensity</t>
        </is>
      </c>
      <c r="D46" t="inlineStr">
        <is>
          <t>DiagnosticsInterpolatedROIIntMaskMinimumIntensity</t>
        </is>
      </c>
      <c r="E46" t="inlineStr">
        <is>
          <t>6-9</t>
        </is>
      </c>
      <c r="F46" t="n">
        <v>-939</v>
      </c>
      <c r="G46" t="n">
        <v>1</v>
      </c>
      <c r="H46" t="n">
        <v>-949.345336914062</v>
      </c>
      <c r="I46" s="4">
        <f>IFERROR(IF(NOT(H46=""),ABS(ROUNDDOWN(F46-H46, 3 - (1+INT(LOG10(ABS(F46)))))),""),IF(AND(F46=0,NOT(F46="")),ABS(ROUNDDOWN(F46-H46,0)),""))</f>
        <v/>
      </c>
      <c r="J46" s="4">
        <f>IF(NOT(I46=""),IF(I46&lt;=G46,"match",IF(I46&lt;3*G46,"partial match","no match")),"")</f>
        <v/>
      </c>
      <c r="K46" t="inlineStr">
        <is>
          <t>int_mask_min_int_interp_roi</t>
        </is>
      </c>
    </row>
    <row r="47" ht="15" customHeight="1" s="10">
      <c r="A47" t="inlineStr">
        <is>
          <t>configuration C</t>
        </is>
      </c>
      <c r="B47" t="inlineStr">
        <is>
          <t>Diagnostics-interpolated ROI</t>
        </is>
      </c>
      <c r="C47" t="inlineStr">
        <is>
          <t>Int. mask maximum intensity</t>
        </is>
      </c>
      <c r="D47" t="inlineStr">
        <is>
          <t>DiagnosticsInterpolatedROIIntMaskMaximumIntensity</t>
        </is>
      </c>
      <c r="E47" t="inlineStr">
        <is>
          <t>≥ 10</t>
        </is>
      </c>
      <c r="F47" t="n">
        <v>521</v>
      </c>
      <c r="G47" t="n">
        <v>4</v>
      </c>
      <c r="H47" t="n">
        <v>641.559265136718</v>
      </c>
      <c r="I47" s="4">
        <f>IFERROR(IF(NOT(H47=""),ABS(ROUNDDOWN(F47-H47, 3 - (1+INT(LOG10(ABS(F47)))))),""),IF(AND(F47=0,NOT(F47="")),ABS(ROUNDDOWN(F47-H47,0)),""))</f>
        <v/>
      </c>
      <c r="J47" s="4">
        <f>IF(NOT(I47=""),IF(I47&lt;=G47,"match",IF(I47&lt;3*G47,"partial match","no match")),"")</f>
        <v/>
      </c>
      <c r="K47" t="inlineStr">
        <is>
          <t>int_mask_max_int_interp_roi</t>
        </is>
      </c>
    </row>
    <row r="48" ht="15" customHeight="1" s="10">
      <c r="A48" t="inlineStr">
        <is>
          <t>configuration C</t>
        </is>
      </c>
      <c r="B48" t="inlineStr">
        <is>
          <t>Diagnostics-resegmented ROI</t>
        </is>
      </c>
      <c r="C48" t="inlineStr">
        <is>
          <t>Int. mask dimension x</t>
        </is>
      </c>
      <c r="D48" t="inlineStr">
        <is>
          <t>DiagnosticsResegmentedROIIntMaskDimensionX</t>
        </is>
      </c>
      <c r="E48" t="inlineStr">
        <is>
          <t>6-9</t>
        </is>
      </c>
      <c r="F48" t="n">
        <v>100</v>
      </c>
      <c r="G48" t="n">
        <v>1</v>
      </c>
      <c r="H48" t="n">
        <v>100</v>
      </c>
      <c r="I48" s="4">
        <f>IFERROR(IF(NOT(H48=""),ABS(ROUNDDOWN(F48-H48, 3 - (1+INT(LOG10(ABS(F48)))))),""),IF(AND(F48=0,NOT(F48="")),ABS(ROUNDDOWN(F48-H48,0)),""))</f>
        <v/>
      </c>
      <c r="J48" s="4">
        <f>IF(NOT(I48=""),IF(I48&lt;=G48,"match",IF(I48&lt;3*G48,"partial match","no match")),"")</f>
        <v/>
      </c>
      <c r="K48" t="inlineStr">
        <is>
          <t>int_mask_dim_x_reseg_roi</t>
        </is>
      </c>
    </row>
    <row r="49" ht="15" customHeight="1" s="10">
      <c r="A49" t="inlineStr">
        <is>
          <t>configuration C</t>
        </is>
      </c>
      <c r="B49" t="inlineStr">
        <is>
          <t>Diagnostics-resegmented ROI</t>
        </is>
      </c>
      <c r="C49" t="inlineStr">
        <is>
          <t>Int. mask dimension y</t>
        </is>
      </c>
      <c r="D49" t="inlineStr">
        <is>
          <t>DiagnosticsResegmentedROIIntMaskDimensionY</t>
        </is>
      </c>
      <c r="E49" t="inlineStr">
        <is>
          <t>6-9</t>
        </is>
      </c>
      <c r="F49" t="n">
        <v>99</v>
      </c>
      <c r="G49" t="n">
        <v>0.8</v>
      </c>
      <c r="H49" t="n">
        <v>99</v>
      </c>
      <c r="I49" s="4">
        <f>IFERROR(IF(NOT(H49=""),ABS(ROUNDDOWN(F49-H49, 3 - (1+INT(LOG10(ABS(F49)))))),""),IF(AND(F49=0,NOT(F49="")),ABS(ROUNDDOWN(F49-H49,0)),""))</f>
        <v/>
      </c>
      <c r="J49" s="4">
        <f>IF(NOT(I49=""),IF(I49&lt;=G49,"match",IF(I49&lt;3*G49,"partial match","no match")),"")</f>
        <v/>
      </c>
      <c r="K49" t="inlineStr">
        <is>
          <t>int_mask_dim_y_reseg_roi</t>
        </is>
      </c>
    </row>
    <row r="50" ht="15" customHeight="1" s="10">
      <c r="A50" t="inlineStr">
        <is>
          <t>configuration C</t>
        </is>
      </c>
      <c r="B50" t="inlineStr">
        <is>
          <t>Diagnostics-resegmented ROI</t>
        </is>
      </c>
      <c r="C50" t="inlineStr">
        <is>
          <t>Int. mask dimension z</t>
        </is>
      </c>
      <c r="D50" t="inlineStr">
        <is>
          <t>DiagnosticsResegmentedROIIntMaskDimensionZ</t>
        </is>
      </c>
      <c r="E50" t="inlineStr">
        <is>
          <t>6-9</t>
        </is>
      </c>
      <c r="F50" t="n">
        <v>90</v>
      </c>
      <c r="G50" t="n">
        <v>0</v>
      </c>
      <c r="H50" t="n">
        <v>90</v>
      </c>
      <c r="I50" s="4">
        <f>IFERROR(IF(NOT(H50=""),ABS(ROUNDDOWN(F50-H50, 3 - (1+INT(LOG10(ABS(F50)))))),""),IF(AND(F50=0,NOT(F50="")),ABS(ROUNDDOWN(F50-H50,0)),""))</f>
        <v/>
      </c>
      <c r="J50" s="4">
        <f>IF(NOT(I50=""),IF(I50&lt;=G50,"match",IF(I50&lt;3*G50,"partial match","no match")),"")</f>
        <v/>
      </c>
      <c r="K50" t="inlineStr">
        <is>
          <t>int_mask_dim_z_reseg_roi</t>
        </is>
      </c>
    </row>
    <row r="51" ht="15" customHeight="1" s="10">
      <c r="A51" t="inlineStr">
        <is>
          <t>configuration C</t>
        </is>
      </c>
      <c r="B51" t="inlineStr">
        <is>
          <t>Diagnostics-resegmented ROI</t>
        </is>
      </c>
      <c r="C51" t="inlineStr">
        <is>
          <t>Int. mask bounding box dimension x</t>
        </is>
      </c>
      <c r="D51" t="inlineStr">
        <is>
          <t>DiagnosticsResegmentedROIIntMaskBoundingBoxDimensionX</t>
        </is>
      </c>
      <c r="E51" t="inlineStr">
        <is>
          <t>6-9</t>
        </is>
      </c>
      <c r="F51" t="n">
        <v>49</v>
      </c>
      <c r="G51" t="n">
        <v>0.3</v>
      </c>
      <c r="H51" t="n">
        <v>49</v>
      </c>
      <c r="I51" s="4">
        <f>IFERROR(IF(NOT(H51=""),ABS(ROUNDDOWN(F51-H51, 3 - (1+INT(LOG10(ABS(F51)))))),""),IF(AND(F51=0,NOT(F51="")),ABS(ROUNDDOWN(F51-H51,0)),""))</f>
        <v/>
      </c>
      <c r="J51" s="4">
        <f>IF(NOT(I51=""),IF(I51&lt;=G51,"match",IF(I51&lt;3*G51,"partial match","no match")),"")</f>
        <v/>
      </c>
      <c r="K51" t="inlineStr">
        <is>
          <t>int_mask_bb_dim_x_reseg_roi</t>
        </is>
      </c>
    </row>
    <row r="52" ht="15" customHeight="1" s="10">
      <c r="A52" t="inlineStr">
        <is>
          <t>configuration C</t>
        </is>
      </c>
      <c r="B52" t="inlineStr">
        <is>
          <t>Diagnostics-resegmented ROI</t>
        </is>
      </c>
      <c r="C52" t="inlineStr">
        <is>
          <t>Int. mask bounding box dimension y</t>
        </is>
      </c>
      <c r="D52" t="inlineStr">
        <is>
          <t>DiagnosticsResegmentedROIIntMaskBoundingBoxDimensionY</t>
        </is>
      </c>
      <c r="E52" t="inlineStr">
        <is>
          <t>6-9</t>
        </is>
      </c>
      <c r="F52" t="n">
        <v>49</v>
      </c>
      <c r="G52" t="n">
        <v>0.3</v>
      </c>
      <c r="H52" t="n">
        <v>49</v>
      </c>
      <c r="I52" s="4">
        <f>IFERROR(IF(NOT(H52=""),ABS(ROUNDDOWN(F52-H52, 3 - (1+INT(LOG10(ABS(F52)))))),""),IF(AND(F52=0,NOT(F52="")),ABS(ROUNDDOWN(F52-H52,0)),""))</f>
        <v/>
      </c>
      <c r="J52" s="4">
        <f>IF(NOT(I52=""),IF(I52&lt;=G52,"match",IF(I52&lt;3*G52,"partial match","no match")),"")</f>
        <v/>
      </c>
      <c r="K52" t="inlineStr">
        <is>
          <t>int_mask_bb_dim_y_reseg_roi</t>
        </is>
      </c>
    </row>
    <row r="53" ht="15" customHeight="1" s="10">
      <c r="A53" t="inlineStr">
        <is>
          <t>configuration C</t>
        </is>
      </c>
      <c r="B53" t="inlineStr">
        <is>
          <t>Diagnostics-resegmented ROI</t>
        </is>
      </c>
      <c r="C53" t="inlineStr">
        <is>
          <t>Int. mask bounding box dimension z</t>
        </is>
      </c>
      <c r="D53" t="inlineStr">
        <is>
          <t>DiagnosticsResegmentedROIIntMaskBoundingBoxDimensionZ</t>
        </is>
      </c>
      <c r="E53" t="inlineStr">
        <is>
          <t>6-9</t>
        </is>
      </c>
      <c r="F53" t="n">
        <v>40</v>
      </c>
      <c r="G53" t="n">
        <v>0.3</v>
      </c>
      <c r="H53" t="n">
        <v>39</v>
      </c>
      <c r="I53" s="4">
        <f>IFERROR(IF(NOT(H53=""),ABS(ROUNDDOWN(F53-H53, 3 - (1+INT(LOG10(ABS(F53)))))),""),IF(AND(F53=0,NOT(F53="")),ABS(ROUNDDOWN(F53-H53,0)),""))</f>
        <v/>
      </c>
      <c r="J53" s="4">
        <f>IF(NOT(I53=""),IF(I53&lt;=G53,"match",IF(I53&lt;3*G53,"partial match","no match")),"")</f>
        <v/>
      </c>
      <c r="K53" t="inlineStr">
        <is>
          <t>int_mask_bb_dim_z_reseg_roi</t>
        </is>
      </c>
    </row>
    <row r="54" ht="15" customHeight="1" s="10">
      <c r="A54" t="inlineStr">
        <is>
          <t>configuration C</t>
        </is>
      </c>
      <c r="B54" t="inlineStr">
        <is>
          <t>Diagnostics-resegmented ROI</t>
        </is>
      </c>
      <c r="C54" t="inlineStr">
        <is>
          <t>Morph. mask bounding box dimension x</t>
        </is>
      </c>
      <c r="D54" t="inlineStr">
        <is>
          <t>DiagnosticsResegmentedROIMorphMaskBoundingBoxDimensionX</t>
        </is>
      </c>
      <c r="E54" t="inlineStr">
        <is>
          <t>6-9</t>
        </is>
      </c>
      <c r="F54" t="n">
        <v>49</v>
      </c>
      <c r="G54" t="n">
        <v>0.3</v>
      </c>
      <c r="H54" t="n">
        <v>49</v>
      </c>
      <c r="I54" s="4">
        <f>IFERROR(IF(NOT(H54=""),ABS(ROUNDDOWN(F54-H54, 3 - (1+INT(LOG10(ABS(F54)))))),""),IF(AND(F54=0,NOT(F54="")),ABS(ROUNDDOWN(F54-H54,0)),""))</f>
        <v/>
      </c>
      <c r="J54" s="4">
        <f>IF(NOT(I54=""),IF(I54&lt;=G54,"match",IF(I54&lt;3*G54,"partial match","no match")),"")</f>
        <v/>
      </c>
      <c r="K54" t="inlineStr">
        <is>
          <t>morph_mask_bb_dim_x_reseg_roi</t>
        </is>
      </c>
    </row>
    <row r="55" ht="15" customHeight="1" s="10">
      <c r="A55" t="inlineStr">
        <is>
          <t>configuration C</t>
        </is>
      </c>
      <c r="B55" t="inlineStr">
        <is>
          <t>Diagnostics-resegmented ROI</t>
        </is>
      </c>
      <c r="C55" t="inlineStr">
        <is>
          <t>Morph. mask bounding box dimension y</t>
        </is>
      </c>
      <c r="D55" t="inlineStr">
        <is>
          <t>DiagnosticsResegmentedROIMorphMaskBoundingBoxDimensionY</t>
        </is>
      </c>
      <c r="E55" t="inlineStr">
        <is>
          <t>6-9</t>
        </is>
      </c>
      <c r="F55" t="n">
        <v>49</v>
      </c>
      <c r="G55" t="n">
        <v>0.3</v>
      </c>
      <c r="H55" t="n">
        <v>49</v>
      </c>
      <c r="I55" s="4">
        <f>IFERROR(IF(NOT(H55=""),ABS(ROUNDDOWN(F55-H55, 3 - (1+INT(LOG10(ABS(F55)))))),""),IF(AND(F55=0,NOT(F55="")),ABS(ROUNDDOWN(F55-H55,0)),""))</f>
        <v/>
      </c>
      <c r="J55" s="4">
        <f>IF(NOT(I55=""),IF(I55&lt;=G55,"match",IF(I55&lt;3*G55,"partial match","no match")),"")</f>
        <v/>
      </c>
      <c r="K55" t="inlineStr">
        <is>
          <t>morph_mask_bb_dim_y_reseg_roi</t>
        </is>
      </c>
    </row>
    <row r="56" ht="15" customHeight="1" s="10">
      <c r="A56" t="inlineStr">
        <is>
          <t>configuration C</t>
        </is>
      </c>
      <c r="B56" t="inlineStr">
        <is>
          <t>Diagnostics-resegmented ROI</t>
        </is>
      </c>
      <c r="C56" t="inlineStr">
        <is>
          <t>Morph. mask bounding box dimension z</t>
        </is>
      </c>
      <c r="D56" t="inlineStr">
        <is>
          <t>DiagnosticsResegmentedROIMorphMaskBoundingBoxDimensionZ</t>
        </is>
      </c>
      <c r="E56" t="inlineStr">
        <is>
          <t>6-9</t>
        </is>
      </c>
      <c r="F56" t="n">
        <v>40</v>
      </c>
      <c r="G56" t="n">
        <v>0.3</v>
      </c>
      <c r="H56" t="n">
        <v>39</v>
      </c>
      <c r="I56" s="4">
        <f>IFERROR(IF(NOT(H56=""),ABS(ROUNDDOWN(F56-H56, 3 - (1+INT(LOG10(ABS(F56)))))),""),IF(AND(F56=0,NOT(F56="")),ABS(ROUNDDOWN(F56-H56,0)),""))</f>
        <v/>
      </c>
      <c r="J56" s="4">
        <f>IF(NOT(I56=""),IF(I56&lt;=G56,"match",IF(I56&lt;3*G56,"partial match","no match")),"")</f>
        <v/>
      </c>
      <c r="K56" t="inlineStr">
        <is>
          <t>morph_mask_bb_dim_z_reseg_roi</t>
        </is>
      </c>
    </row>
    <row r="57" ht="15" customHeight="1" s="10">
      <c r="A57" t="inlineStr">
        <is>
          <t>configuration C</t>
        </is>
      </c>
      <c r="B57" t="inlineStr">
        <is>
          <t>Diagnostics-resegmented ROI</t>
        </is>
      </c>
      <c r="C57" t="inlineStr">
        <is>
          <t>Int. mask voxel count</t>
        </is>
      </c>
      <c r="D57" t="inlineStr">
        <is>
          <t>DiagnosticsResegmentedROIIntMaskVoxelCount</t>
        </is>
      </c>
      <c r="E57" t="inlineStr">
        <is>
          <t>6-9</t>
        </is>
      </c>
      <c r="F57" t="n">
        <v>45981</v>
      </c>
      <c r="G57" t="n">
        <v>800</v>
      </c>
      <c r="H57" t="n">
        <v>45694</v>
      </c>
      <c r="I57" s="4">
        <f>IFERROR(IF(NOT(H57=""),ABS(ROUNDDOWN(F57-H57, 3 - (1+INT(LOG10(ABS(F57)))))),""),IF(AND(F57=0,NOT(F57="")),ABS(ROUNDDOWN(F57-H57,0)),""))</f>
        <v/>
      </c>
      <c r="J57" s="4">
        <f>IF(NOT(I57=""),IF(I57&lt;=G57,"match",IF(I57&lt;3*G57,"partial match","no match")),"")</f>
        <v/>
      </c>
      <c r="K57" t="inlineStr">
        <is>
          <t>int_mask_vox_count_reseg_roi</t>
        </is>
      </c>
    </row>
    <row r="58" ht="15" customHeight="1" s="10">
      <c r="A58" t="inlineStr">
        <is>
          <t>configuration C</t>
        </is>
      </c>
      <c r="B58" t="inlineStr">
        <is>
          <t>Diagnostics-resegmented ROI</t>
        </is>
      </c>
      <c r="C58" t="inlineStr">
        <is>
          <t>Morph. mask voxel count</t>
        </is>
      </c>
      <c r="D58" t="inlineStr">
        <is>
          <t>DiagnosticsResegmentedROIMorphMaskVoxelCount</t>
        </is>
      </c>
      <c r="E58" t="inlineStr">
        <is>
          <t>6-9</t>
        </is>
      </c>
      <c r="F58" t="n">
        <v>45985</v>
      </c>
      <c r="G58" t="n">
        <v>800</v>
      </c>
      <c r="I58" s="4">
        <f>IFERROR(IF(NOT(H58=""),ABS(ROUNDDOWN(F58-H58, 3 - (1+INT(LOG10(ABS(F58)))))),""),IF(AND(F58=0,NOT(F58="")),ABS(ROUNDDOWN(F58-H58,0)),""))</f>
        <v/>
      </c>
      <c r="J58" s="4">
        <f>IF(NOT(I58=""),IF(I58&lt;=G58,"match",IF(I58&lt;3*G58,"partial match","no match")),"")</f>
        <v/>
      </c>
      <c r="K58" t="inlineStr">
        <is>
          <t>morph_mask_vox_count_reseg_roi</t>
        </is>
      </c>
    </row>
    <row r="59" ht="15" customHeight="1" s="10">
      <c r="A59" t="inlineStr">
        <is>
          <t>configuration C</t>
        </is>
      </c>
      <c r="B59" t="inlineStr">
        <is>
          <t>Diagnostics-resegmented ROI</t>
        </is>
      </c>
      <c r="C59" t="inlineStr">
        <is>
          <t>Int. mask mean intensity</t>
        </is>
      </c>
      <c r="D59" t="inlineStr">
        <is>
          <t>DiagnosticsResegmentedROIIntMaskMeanIntensity</t>
        </is>
      </c>
      <c r="E59" t="inlineStr">
        <is>
          <t>6-9</t>
        </is>
      </c>
      <c r="F59" t="n">
        <v>-49</v>
      </c>
      <c r="G59" t="n">
        <v>2.8</v>
      </c>
      <c r="H59" t="n">
        <v>-46.7315990519997</v>
      </c>
      <c r="I59" s="4">
        <f>IFERROR(IF(NOT(H59=""),ABS(ROUNDDOWN(F59-H59, 3 - (1+INT(LOG10(ABS(F59)))))),""),IF(AND(F59=0,NOT(F59="")),ABS(ROUNDDOWN(F59-H59,0)),""))</f>
        <v/>
      </c>
      <c r="J59" s="4">
        <f>IF(NOT(I59=""),IF(I59&lt;=G59,"match",IF(I59&lt;3*G59,"partial match","no match")),"")</f>
        <v/>
      </c>
      <c r="K59" t="inlineStr">
        <is>
          <t>int_mask_mean_int_reseg_roi</t>
        </is>
      </c>
    </row>
    <row r="60" ht="15" customHeight="1" s="10">
      <c r="A60" t="inlineStr">
        <is>
          <t>configuration C</t>
        </is>
      </c>
      <c r="B60" t="inlineStr">
        <is>
          <t>Diagnostics-resegmented ROI</t>
        </is>
      </c>
      <c r="C60" t="inlineStr">
        <is>
          <t>Int. mask minimum intensity</t>
        </is>
      </c>
      <c r="D60" t="inlineStr">
        <is>
          <t>DiagnosticsResegmentedROIIntMaskMinimumIntensity</t>
        </is>
      </c>
      <c r="E60" t="inlineStr">
        <is>
          <t>6-9</t>
        </is>
      </c>
      <c r="F60" t="n">
        <v>-939</v>
      </c>
      <c r="G60" t="n">
        <v>4</v>
      </c>
      <c r="H60" t="n">
        <v>-949.345336914062</v>
      </c>
      <c r="I60" s="4">
        <f>IFERROR(IF(NOT(H60=""),ABS(ROUNDDOWN(F60-H60, 3 - (1+INT(LOG10(ABS(F60)))))),""),IF(AND(F60=0,NOT(F60="")),ABS(ROUNDDOWN(F60-H60,0)),""))</f>
        <v/>
      </c>
      <c r="J60" s="4">
        <f>IF(NOT(I60=""),IF(I60&lt;=G60,"match",IF(I60&lt;3*G60,"partial match","no match")),"")</f>
        <v/>
      </c>
      <c r="K60" t="inlineStr">
        <is>
          <t>int_mask_min_int_reseg_roi</t>
        </is>
      </c>
    </row>
    <row r="61" ht="15" customHeight="1" s="10">
      <c r="A61" t="inlineStr">
        <is>
          <t>configuration C</t>
        </is>
      </c>
      <c r="B61" t="inlineStr">
        <is>
          <t>Diagnostics-resegmented ROI</t>
        </is>
      </c>
      <c r="C61" t="inlineStr">
        <is>
          <t>Int. mask maximum intensity</t>
        </is>
      </c>
      <c r="D61" t="inlineStr">
        <is>
          <t>DiagnosticsResegmentedROIIntMaskMaximumIntensity</t>
        </is>
      </c>
      <c r="E61" t="inlineStr">
        <is>
          <t>≥ 10</t>
        </is>
      </c>
      <c r="F61" t="n">
        <v>393</v>
      </c>
      <c r="G61" t="n">
        <v>11</v>
      </c>
      <c r="H61" t="n">
        <v>388.252563476562</v>
      </c>
      <c r="I61" s="4">
        <f>IFERROR(IF(NOT(H61=""),ABS(ROUNDDOWN(F61-H61, 3 - (1+INT(LOG10(ABS(F61)))))),""),IF(AND(F61=0,NOT(F61="")),ABS(ROUNDDOWN(F61-H61,0)),""))</f>
        <v/>
      </c>
      <c r="J61" s="4">
        <f>IF(NOT(I61=""),IF(I61&lt;=G61,"match",IF(I61&lt;3*G61,"partial match","no match")),"")</f>
        <v/>
      </c>
      <c r="K61" t="inlineStr">
        <is>
          <t>int_mask_max_int_reseg_roi</t>
        </is>
      </c>
    </row>
    <row r="62" ht="15" customHeight="1" s="10">
      <c r="A62" t="inlineStr">
        <is>
          <t>configuration C</t>
        </is>
      </c>
      <c r="B62" t="inlineStr">
        <is>
          <t>Morphology</t>
        </is>
      </c>
      <c r="C62" t="inlineStr">
        <is>
          <t>Volume (mesh-based)</t>
        </is>
      </c>
      <c r="D62" t="inlineStr">
        <is>
          <t>VolumeMesh</t>
        </is>
      </c>
      <c r="E62" t="inlineStr">
        <is>
          <t>6-9</t>
        </is>
      </c>
      <c r="F62" t="n">
        <v>367000</v>
      </c>
      <c r="G62" t="n">
        <v>6000</v>
      </c>
      <c r="H62" s="6" t="n">
        <v>355149</v>
      </c>
      <c r="I62" s="4">
        <f>IFERROR(IF(NOT(H62=""),ABS(ROUNDDOWN(F62-H62, 3 - (1+INT(LOG10(ABS(F62)))))),""),IF(AND(F62=0,NOT(F62="")),ABS(ROUNDDOWN(F62-H62,0)),""))</f>
        <v/>
      </c>
      <c r="J62" s="4">
        <f>IF(NOT(I62=""),IF(I62&lt;=G62,"match",IF(I62&lt;3*G62,"partial match","no match")),"")</f>
        <v/>
      </c>
      <c r="K62" t="inlineStr">
        <is>
          <t>morph_volume</t>
        </is>
      </c>
    </row>
    <row r="63" ht="15" customHeight="1" s="10">
      <c r="A63" t="inlineStr">
        <is>
          <t>configuration C</t>
        </is>
      </c>
      <c r="B63" t="inlineStr">
        <is>
          <t>Morphology</t>
        </is>
      </c>
      <c r="C63" t="inlineStr">
        <is>
          <t>Volume (counting)</t>
        </is>
      </c>
      <c r="D63" t="inlineStr">
        <is>
          <t>VolumeVoxelCounting</t>
        </is>
      </c>
      <c r="E63" t="inlineStr">
        <is>
          <t>6-9</t>
        </is>
      </c>
      <c r="F63" t="n">
        <v>368000</v>
      </c>
      <c r="G63" t="n">
        <v>6000</v>
      </c>
      <c r="H63" s="6" t="n">
        <v>365552</v>
      </c>
      <c r="I63" s="4">
        <f>IFERROR(IF(NOT(H63=""),ABS(ROUNDDOWN(F63-H63, 3 - (1+INT(LOG10(ABS(F63)))))),""),IF(AND(F63=0,NOT(F63="")),ABS(ROUNDDOWN(F63-H63,0)),""))</f>
        <v/>
      </c>
      <c r="J63" s="4">
        <f>IF(NOT(I63=""),IF(I63&lt;=G63,"match",IF(I63&lt;3*G63,"partial match","no match")),"")</f>
        <v/>
      </c>
      <c r="K63" t="inlineStr">
        <is>
          <t>morph_vol_approx</t>
        </is>
      </c>
    </row>
    <row r="64" ht="15" customHeight="1" s="10">
      <c r="A64" t="inlineStr">
        <is>
          <t>configuration C</t>
        </is>
      </c>
      <c r="B64" t="inlineStr">
        <is>
          <t>Morphology</t>
        </is>
      </c>
      <c r="C64" t="inlineStr">
        <is>
          <t>Surface area</t>
        </is>
      </c>
      <c r="D64" t="inlineStr">
        <is>
          <t>SurfaceAreaMesh</t>
        </is>
      </c>
      <c r="E64" t="inlineStr">
        <is>
          <t>6-9</t>
        </is>
      </c>
      <c r="F64" t="n">
        <v>34300</v>
      </c>
      <c r="G64" t="n">
        <v>400</v>
      </c>
      <c r="H64" s="6" t="n">
        <v>33260.9801542162</v>
      </c>
      <c r="I64" s="4">
        <f>IFERROR(IF(NOT(H64=""),ABS(ROUNDDOWN(F64-H64, 3 - (1+INT(LOG10(ABS(F64)))))),""),IF(AND(F64=0,NOT(F64="")),ABS(ROUNDDOWN(F64-H64,0)),""))</f>
        <v/>
      </c>
      <c r="J64" s="4">
        <f>IF(NOT(I64=""),IF(I64&lt;=G64,"match",IF(I64&lt;3*G64,"partial match","no match")),"")</f>
        <v/>
      </c>
      <c r="K64" t="inlineStr">
        <is>
          <t>morph_area_mesh</t>
        </is>
      </c>
    </row>
    <row r="65" ht="15" customHeight="1" s="10">
      <c r="A65" t="inlineStr">
        <is>
          <t>configuration C</t>
        </is>
      </c>
      <c r="B65" t="inlineStr">
        <is>
          <t>Morphology</t>
        </is>
      </c>
      <c r="C65" t="inlineStr">
        <is>
          <t>Surface to volume ratio</t>
        </is>
      </c>
      <c r="D65" t="inlineStr">
        <is>
          <t>SurfaceToVolumeRatio</t>
        </is>
      </c>
      <c r="E65" t="inlineStr">
        <is>
          <t>6-9</t>
        </is>
      </c>
      <c r="F65" t="n">
        <v>0.0934</v>
      </c>
      <c r="G65" t="n">
        <v>0.0007</v>
      </c>
      <c r="H65" s="6" t="n">
        <v>0.09365359371479649</v>
      </c>
      <c r="I65" s="4">
        <f>IFERROR(IF(NOT(H65=""),ABS(ROUNDDOWN(F65-H65, 3 - (1+INT(LOG10(ABS(F65)))))),""),IF(AND(F65=0,NOT(F65="")),ABS(ROUNDDOWN(F65-H65,0)),""))</f>
        <v/>
      </c>
      <c r="J65" s="4">
        <f>IF(NOT(I65=""),IF(I65&lt;=G65,"match",IF(I65&lt;3*G65,"partial match","no match")),"")</f>
        <v/>
      </c>
      <c r="K65" t="inlineStr">
        <is>
          <t>morph_av</t>
        </is>
      </c>
    </row>
    <row r="66" ht="15" customHeight="1" s="10">
      <c r="A66" t="inlineStr">
        <is>
          <t>configuration C</t>
        </is>
      </c>
      <c r="B66" t="inlineStr">
        <is>
          <t>Morphology</t>
        </is>
      </c>
      <c r="C66" t="inlineStr">
        <is>
          <t>Compactness 1</t>
        </is>
      </c>
      <c r="D66" t="inlineStr">
        <is>
          <t>Compactness1</t>
        </is>
      </c>
      <c r="E66" t="inlineStr">
        <is>
          <t>6-9</t>
        </is>
      </c>
      <c r="F66" t="n">
        <v>0.0326</v>
      </c>
      <c r="G66" t="n">
        <v>0.0002</v>
      </c>
      <c r="H66" s="6" t="n">
        <v>0.0330318650158655</v>
      </c>
      <c r="I66" s="4">
        <f>IFERROR(IF(NOT(H66=""),ABS(ROUNDDOWN(F66-H66, 3 - (1+INT(LOG10(ABS(F66)))))),""),IF(AND(F66=0,NOT(F66="")),ABS(ROUNDDOWN(F66-H66,0)),""))</f>
        <v/>
      </c>
      <c r="J66" s="4">
        <f>IF(NOT(I66=""),IF(I66&lt;=G66,"match",IF(I66&lt;3*G66,"partial match","no match")),"")</f>
        <v/>
      </c>
      <c r="K66" t="inlineStr">
        <is>
          <t>morph_comp_1</t>
        </is>
      </c>
      <c r="L66" t="inlineStr">
        <is>
          <t>not-in-ibsi1-manual</t>
        </is>
      </c>
    </row>
    <row r="67" ht="15" customHeight="1" s="10">
      <c r="A67" t="inlineStr">
        <is>
          <t>configuration C</t>
        </is>
      </c>
      <c r="B67" t="inlineStr">
        <is>
          <t>Morphology</t>
        </is>
      </c>
      <c r="C67" t="inlineStr">
        <is>
          <t>Compactness 2</t>
        </is>
      </c>
      <c r="D67" t="inlineStr">
        <is>
          <t>Compactness2</t>
        </is>
      </c>
      <c r="E67" t="inlineStr">
        <is>
          <t>6-9</t>
        </is>
      </c>
      <c r="F67" t="n">
        <v>0.378</v>
      </c>
      <c r="G67" t="n">
        <v>0.004</v>
      </c>
      <c r="H67" s="6" t="n">
        <v>0.387675572069961</v>
      </c>
      <c r="I67" s="4">
        <f>IFERROR(IF(NOT(H67=""),ABS(ROUNDDOWN(F67-H67, 3 - (1+INT(LOG10(ABS(F67)))))),""),IF(AND(F67=0,NOT(F67="")),ABS(ROUNDDOWN(F67-H67,0)),""))</f>
        <v/>
      </c>
      <c r="J67" s="4">
        <f>IF(NOT(I67=""),IF(I67&lt;=G67,"match",IF(I67&lt;3*G67,"partial match","no match")),"")</f>
        <v/>
      </c>
      <c r="K67" t="inlineStr">
        <is>
          <t>morph_comp_2</t>
        </is>
      </c>
    </row>
    <row r="68" ht="15" customHeight="1" s="10">
      <c r="A68" t="inlineStr">
        <is>
          <t>configuration C</t>
        </is>
      </c>
      <c r="B68" t="inlineStr">
        <is>
          <t>Morphology</t>
        </is>
      </c>
      <c r="C68" t="inlineStr">
        <is>
          <t>Spherical disproportion</t>
        </is>
      </c>
      <c r="D68" t="inlineStr">
        <is>
          <t>SphericalDisproportion</t>
        </is>
      </c>
      <c r="E68" t="inlineStr">
        <is>
          <t>6-9</t>
        </is>
      </c>
      <c r="F68" t="n">
        <v>1.38</v>
      </c>
      <c r="G68" t="n">
        <v>0.01</v>
      </c>
      <c r="H68" s="6" t="n">
        <v>1.37144118649661</v>
      </c>
      <c r="I68" s="4">
        <f>IFERROR(IF(NOT(H68=""),ABS(ROUNDDOWN(F68-H68, 3 - (1+INT(LOG10(ABS(F68)))))),""),IF(AND(F68=0,NOT(F68="")),ABS(ROUNDDOWN(F68-H68,0)),""))</f>
        <v/>
      </c>
      <c r="J68" s="4">
        <f>IF(NOT(I68=""),IF(I68&lt;=G68,"match",IF(I68&lt;3*G68,"partial match","no match")),"")</f>
        <v/>
      </c>
      <c r="K68" t="inlineStr">
        <is>
          <t>morph_sph_dispr</t>
        </is>
      </c>
    </row>
    <row r="69" ht="15" customHeight="1" s="10">
      <c r="A69" t="inlineStr">
        <is>
          <t>configuration C</t>
        </is>
      </c>
      <c r="B69" t="inlineStr">
        <is>
          <t>Morphology</t>
        </is>
      </c>
      <c r="C69" t="inlineStr">
        <is>
          <t>Sphericity</t>
        </is>
      </c>
      <c r="D69" t="inlineStr">
        <is>
          <t>Sphericity</t>
        </is>
      </c>
      <c r="E69" t="inlineStr">
        <is>
          <t>6-9</t>
        </is>
      </c>
      <c r="F69" t="n">
        <v>0.723</v>
      </c>
      <c r="G69" t="n">
        <v>0.003</v>
      </c>
      <c r="H69" s="6" t="n">
        <v>0.729159959498175</v>
      </c>
      <c r="I69" s="4">
        <f>IFERROR(IF(NOT(H69=""),ABS(ROUNDDOWN(F69-H69, 3 - (1+INT(LOG10(ABS(F69)))))),""),IF(AND(F69=0,NOT(F69="")),ABS(ROUNDDOWN(F69-H69,0)),""))</f>
        <v/>
      </c>
      <c r="J69" s="4">
        <f>IF(NOT(I69=""),IF(I69&lt;=G69,"match",IF(I69&lt;3*G69,"partial match","no match")),"")</f>
        <v/>
      </c>
      <c r="K69" t="inlineStr">
        <is>
          <t>morph_sphericity</t>
        </is>
      </c>
    </row>
    <row r="70" ht="15" customHeight="1" s="10">
      <c r="A70" t="inlineStr">
        <is>
          <t>configuration C</t>
        </is>
      </c>
      <c r="B70" t="inlineStr">
        <is>
          <t>Morphology</t>
        </is>
      </c>
      <c r="C70" t="inlineStr">
        <is>
          <t>Asphericity</t>
        </is>
      </c>
      <c r="D70" t="inlineStr">
        <is>
          <t>Asphericity</t>
        </is>
      </c>
      <c r="E70" t="inlineStr">
        <is>
          <t>6-9</t>
        </is>
      </c>
      <c r="F70" t="n">
        <v>0.383</v>
      </c>
      <c r="G70" t="n">
        <v>0.004</v>
      </c>
      <c r="H70" s="6" t="n">
        <v>0.371441186496612</v>
      </c>
      <c r="I70" s="4">
        <f>IFERROR(IF(NOT(H70=""),ABS(ROUNDDOWN(F70-H70, 3 - (1+INT(LOG10(ABS(F70)))))),""),IF(AND(F70=0,NOT(F70="")),ABS(ROUNDDOWN(F70-H70,0)),""))</f>
        <v/>
      </c>
      <c r="J70" s="4">
        <f>IF(NOT(I70=""),IF(I70&lt;=G70,"match",IF(I70&lt;3*G70,"partial match","no match")),"")</f>
        <v/>
      </c>
      <c r="K70" t="inlineStr">
        <is>
          <t>morph_asphericity</t>
        </is>
      </c>
    </row>
    <row r="71" ht="15" customHeight="1" s="10">
      <c r="A71" t="inlineStr">
        <is>
          <t>configuration C</t>
        </is>
      </c>
      <c r="B71" t="inlineStr">
        <is>
          <t>Morphology</t>
        </is>
      </c>
      <c r="C71" t="inlineStr">
        <is>
          <t>Centre of mass shift</t>
        </is>
      </c>
      <c r="D71" t="inlineStr">
        <is>
          <t>CentreOfMassShift</t>
        </is>
      </c>
      <c r="E71" t="inlineStr">
        <is>
          <t>6-9</t>
        </is>
      </c>
      <c r="F71" t="n">
        <v>45.6</v>
      </c>
      <c r="G71" t="n">
        <v>2.8</v>
      </c>
      <c r="H71" s="6" t="n">
        <v>46.9100985189169</v>
      </c>
      <c r="I71" s="4">
        <f>IFERROR(IF(NOT(H71=""),ABS(ROUNDDOWN(F71-H71, 3 - (1+INT(LOG10(ABS(F71)))))),""),IF(AND(F71=0,NOT(F71="")),ABS(ROUNDDOWN(F71-H71,0)),""))</f>
        <v/>
      </c>
      <c r="J71" s="4">
        <f>IF(NOT(I71=""),IF(I71&lt;=G71,"match",IF(I71&lt;3*G71,"partial match","no match")),"")</f>
        <v/>
      </c>
      <c r="K71" t="inlineStr">
        <is>
          <t>morph_com</t>
        </is>
      </c>
    </row>
    <row r="72" ht="15" customHeight="1" s="10">
      <c r="A72" t="inlineStr">
        <is>
          <t>configuration C</t>
        </is>
      </c>
      <c r="B72" t="inlineStr">
        <is>
          <t>Morphology</t>
        </is>
      </c>
      <c r="C72" t="inlineStr">
        <is>
          <t>Maximum 3D diameter</t>
        </is>
      </c>
      <c r="D72" t="inlineStr">
        <is>
          <t>Maximum3DDiameter</t>
        </is>
      </c>
      <c r="E72" t="inlineStr">
        <is>
          <t>6-9</t>
        </is>
      </c>
      <c r="F72" t="n">
        <v>125</v>
      </c>
      <c r="G72" t="n">
        <v>1</v>
      </c>
      <c r="H72" s="6" t="n">
        <v>123.98387145996</v>
      </c>
      <c r="I72" s="4">
        <f>IFERROR(IF(NOT(H72=""),ABS(ROUNDDOWN(F72-H72, 3 - (1+INT(LOG10(ABS(F72)))))),""),IF(AND(F72=0,NOT(F72="")),ABS(ROUNDDOWN(F72-H72,0)),""))</f>
        <v/>
      </c>
      <c r="J72" s="4">
        <f>IF(NOT(I72=""),IF(I72&lt;=G72,"match",IF(I72&lt;3*G72,"partial match","no match")),"")</f>
        <v/>
      </c>
      <c r="K72" t="inlineStr">
        <is>
          <t>morph_diam</t>
        </is>
      </c>
    </row>
    <row r="73" ht="15" customHeight="1" s="10">
      <c r="A73" t="inlineStr">
        <is>
          <t>configuration C</t>
        </is>
      </c>
      <c r="B73" t="inlineStr">
        <is>
          <t>Morphology</t>
        </is>
      </c>
      <c r="C73" t="inlineStr">
        <is>
          <t>Major axis length</t>
        </is>
      </c>
      <c r="D73" t="inlineStr">
        <is>
          <t>MajorAxisLength</t>
        </is>
      </c>
      <c r="E73" t="inlineStr">
        <is>
          <t>6-9</t>
        </is>
      </c>
      <c r="F73" t="n">
        <v>93.3</v>
      </c>
      <c r="G73" t="n">
        <v>0.5</v>
      </c>
      <c r="H73" s="6" t="n">
        <v>92.9405796231916</v>
      </c>
      <c r="I73" s="4">
        <f>IFERROR(IF(NOT(H73=""),ABS(ROUNDDOWN(F73-H73, 3 - (1+INT(LOG10(ABS(F73)))))),""),IF(AND(F73=0,NOT(F73="")),ABS(ROUNDDOWN(F73-H73,0)),""))</f>
        <v/>
      </c>
      <c r="J73" s="4">
        <f>IF(NOT(I73=""),IF(I73&lt;=G73,"match",IF(I73&lt;3*G73,"partial match","no match")),"")</f>
        <v/>
      </c>
      <c r="K73" t="inlineStr">
        <is>
          <t>morph_pca_maj_axis</t>
        </is>
      </c>
    </row>
    <row r="74" ht="15" customHeight="1" s="10">
      <c r="A74" t="inlineStr">
        <is>
          <t>configuration C</t>
        </is>
      </c>
      <c r="B74" t="inlineStr">
        <is>
          <t>Morphology</t>
        </is>
      </c>
      <c r="C74" t="inlineStr">
        <is>
          <t>Minor axis length</t>
        </is>
      </c>
      <c r="D74" t="inlineStr">
        <is>
          <t>MinorAxisLength</t>
        </is>
      </c>
      <c r="E74" t="inlineStr">
        <is>
          <t>6-9</t>
        </is>
      </c>
      <c r="F74" t="n">
        <v>82</v>
      </c>
      <c r="G74" t="n">
        <v>0.5</v>
      </c>
      <c r="H74" s="6" t="n">
        <v>82.4084667245739</v>
      </c>
      <c r="I74" s="4">
        <f>IFERROR(IF(NOT(H74=""),ABS(ROUNDDOWN(F74-H74, 3 - (1+INT(LOG10(ABS(F74)))))),""),IF(AND(F74=0,NOT(F74="")),ABS(ROUNDDOWN(F74-H74,0)),""))</f>
        <v/>
      </c>
      <c r="J74" s="4">
        <f>IF(NOT(I74=""),IF(I74&lt;=G74,"match",IF(I74&lt;3*G74,"partial match","no match")),"")</f>
        <v/>
      </c>
      <c r="K74" t="inlineStr">
        <is>
          <t>morph_pca_min_axis</t>
        </is>
      </c>
    </row>
    <row r="75" ht="15" customHeight="1" s="10">
      <c r="A75" t="inlineStr">
        <is>
          <t>configuration C</t>
        </is>
      </c>
      <c r="B75" t="inlineStr">
        <is>
          <t>Morphology</t>
        </is>
      </c>
      <c r="C75" t="inlineStr">
        <is>
          <t>Least axis length</t>
        </is>
      </c>
      <c r="D75" t="inlineStr">
        <is>
          <t>LeastAxisLength</t>
        </is>
      </c>
      <c r="E75" t="inlineStr">
        <is>
          <t>6-9</t>
        </is>
      </c>
      <c r="F75" t="n">
        <v>70.90000000000001</v>
      </c>
      <c r="G75" t="n">
        <v>0.4</v>
      </c>
      <c r="H75" s="6" t="n">
        <v>70.42227526266031</v>
      </c>
      <c r="I75" s="4">
        <f>IFERROR(IF(NOT(H75=""),ABS(ROUNDDOWN(F75-H75, 3 - (1+INT(LOG10(ABS(F75)))))),""),IF(AND(F75=0,NOT(F75="")),ABS(ROUNDDOWN(F75-H75,0)),""))</f>
        <v/>
      </c>
      <c r="J75" s="4">
        <f>IF(NOT(I75=""),IF(I75&lt;=G75,"match",IF(I75&lt;3*G75,"partial match","no match")),"")</f>
        <v/>
      </c>
      <c r="K75" t="inlineStr">
        <is>
          <t>morph_pca_least_axis</t>
        </is>
      </c>
    </row>
    <row r="76" ht="15" customHeight="1" s="10">
      <c r="A76" t="inlineStr">
        <is>
          <t>configuration C</t>
        </is>
      </c>
      <c r="B76" t="inlineStr">
        <is>
          <t>Morphology</t>
        </is>
      </c>
      <c r="C76" t="inlineStr">
        <is>
          <t>Elongation</t>
        </is>
      </c>
      <c r="D76" t="inlineStr">
        <is>
          <t>Elongation</t>
        </is>
      </c>
      <c r="E76" t="inlineStr">
        <is>
          <t>6-9</t>
        </is>
      </c>
      <c r="F76" t="n">
        <v>0.879</v>
      </c>
      <c r="G76" t="n">
        <v>0.001</v>
      </c>
      <c r="H76" s="6" t="n">
        <v>0.886679070204662</v>
      </c>
      <c r="I76" s="4">
        <f>IFERROR(IF(NOT(H76=""),ABS(ROUNDDOWN(F76-H76, 3 - (1+INT(LOG10(ABS(F76)))))),""),IF(AND(F76=0,NOT(F76="")),ABS(ROUNDDOWN(F76-H76,0)),""))</f>
        <v/>
      </c>
      <c r="J76" s="4">
        <f>IF(NOT(I76=""),IF(I76&lt;=G76,"match",IF(I76&lt;3*G76,"partial match","no match")),"")</f>
        <v/>
      </c>
      <c r="K76" t="inlineStr">
        <is>
          <t>morph_pca_elongation</t>
        </is>
      </c>
    </row>
    <row r="77" ht="15" customHeight="1" s="10">
      <c r="A77" t="inlineStr">
        <is>
          <t>configuration C</t>
        </is>
      </c>
      <c r="B77" t="inlineStr">
        <is>
          <t>Morphology</t>
        </is>
      </c>
      <c r="C77" t="inlineStr">
        <is>
          <t>Flatness</t>
        </is>
      </c>
      <c r="D77" t="inlineStr">
        <is>
          <t>Flatness</t>
        </is>
      </c>
      <c r="E77" t="inlineStr">
        <is>
          <t>6-9</t>
        </is>
      </c>
      <c r="F77" t="n">
        <v>0.76</v>
      </c>
      <c r="G77" t="n">
        <v>0.001</v>
      </c>
      <c r="H77" s="6" t="n">
        <v>0.757712890840286</v>
      </c>
      <c r="I77" s="4">
        <f>IFERROR(IF(NOT(H77=""),ABS(ROUNDDOWN(F77-H77, 3 - (1+INT(LOG10(ABS(F77)))))),""),IF(AND(F77=0,NOT(F77="")),ABS(ROUNDDOWN(F77-H77,0)),""))</f>
        <v/>
      </c>
      <c r="J77" s="4">
        <f>IF(NOT(I77=""),IF(I77&lt;=G77,"match",IF(I77&lt;3*G77,"partial match","no match")),"")</f>
        <v/>
      </c>
      <c r="K77" t="inlineStr">
        <is>
          <t>morph_pca_flatness</t>
        </is>
      </c>
    </row>
    <row r="78" ht="15" customHeight="1" s="10">
      <c r="A78" t="inlineStr">
        <is>
          <t>configuration C</t>
        </is>
      </c>
      <c r="B78" t="inlineStr">
        <is>
          <t>Morphology</t>
        </is>
      </c>
      <c r="C78" t="inlineStr">
        <is>
          <t>Volume density (AABB)</t>
        </is>
      </c>
      <c r="D78" t="inlineStr">
        <is>
          <t>VolumeDensity_AxisAlignedBoundingBox</t>
        </is>
      </c>
      <c r="E78" t="inlineStr">
        <is>
          <t>3-5</t>
        </is>
      </c>
      <c r="F78" t="n">
        <v>0.478</v>
      </c>
      <c r="G78" t="n">
        <v>0.003</v>
      </c>
      <c r="H78" s="6" t="n">
        <v>0.129411301721395</v>
      </c>
      <c r="I78" s="4">
        <f>IFERROR(IF(NOT(H78=""),ABS(ROUNDDOWN(F78-H78, 3 - (1+INT(LOG10(ABS(F78)))))),""),IF(AND(F78=0,NOT(F78="")),ABS(ROUNDDOWN(F78-H78,0)),""))</f>
        <v/>
      </c>
      <c r="J78" s="4">
        <f>IF(NOT(I78=""),IF(I78&lt;=G78,"match",IF(I78&lt;3*G78,"partial match","no match")),"")</f>
        <v/>
      </c>
      <c r="K78" t="inlineStr">
        <is>
          <t>morph_vol_dens_aabb</t>
        </is>
      </c>
    </row>
    <row r="79" ht="15" customHeight="1" s="10">
      <c r="A79" t="inlineStr">
        <is>
          <t>configuration C</t>
        </is>
      </c>
      <c r="B79" t="inlineStr">
        <is>
          <t>Morphology</t>
        </is>
      </c>
      <c r="C79" t="inlineStr">
        <is>
          <t>Area density (AABB)</t>
        </is>
      </c>
      <c r="D79" t="inlineStr">
        <is>
          <t>AreaDensity_AxisAlignedBoundingBox</t>
        </is>
      </c>
      <c r="E79" t="inlineStr">
        <is>
          <t>6-9</t>
        </is>
      </c>
      <c r="F79" t="n">
        <v>0.678</v>
      </c>
      <c r="G79" t="n">
        <v>0.003</v>
      </c>
      <c r="H79" s="6" t="n">
        <v>0.282126148525084</v>
      </c>
      <c r="I79" s="4">
        <f>IFERROR(IF(NOT(H79=""),ABS(ROUNDDOWN(F79-H79, 3 - (1+INT(LOG10(ABS(F79)))))),""),IF(AND(F79=0,NOT(F79="")),ABS(ROUNDDOWN(F79-H79,0)),""))</f>
        <v/>
      </c>
      <c r="J79" s="4">
        <f>IF(NOT(I79=""),IF(I79&lt;=G79,"match",IF(I79&lt;3*G79,"partial match","no match")),"")</f>
        <v/>
      </c>
      <c r="K79" t="inlineStr">
        <is>
          <t>morph_area_dens_aabb</t>
        </is>
      </c>
    </row>
    <row r="80" ht="15" customHeight="1" s="10">
      <c r="A80" t="inlineStr">
        <is>
          <t>configuration C</t>
        </is>
      </c>
      <c r="B80" t="inlineStr">
        <is>
          <t>Morphology</t>
        </is>
      </c>
      <c r="C80" t="inlineStr">
        <is>
          <t>Volume density (OMBB)</t>
        </is>
      </c>
      <c r="D80" t="inlineStr">
        <is>
          <t>VolumeDensity_OrientedMinimumBoundingBox</t>
        </is>
      </c>
      <c r="E80" t="inlineStr">
        <is>
          <t>&lt; 3</t>
        </is>
      </c>
      <c r="H80" s="6" t="n"/>
      <c r="I80" s="4">
        <f>IFERROR(IF(NOT(H80=""),ABS(ROUNDDOWN(F80-H80, 3 - (1+INT(LOG10(ABS(F80)))))),""),IF(AND(F80=0,NOT(F80="")),ABS(ROUNDDOWN(F80-H80,0)),""))</f>
        <v/>
      </c>
      <c r="J80" s="4">
        <f>IF(NOT(I80=""),IF(I80&lt;=G80,"match",IF(I80&lt;3*G80,"partial match","no match")),"")</f>
        <v/>
      </c>
      <c r="K80" t="inlineStr">
        <is>
          <t>morph_vol_dens_ombb</t>
        </is>
      </c>
    </row>
    <row r="81" ht="15" customHeight="1" s="10">
      <c r="A81" t="inlineStr">
        <is>
          <t>configuration C</t>
        </is>
      </c>
      <c r="B81" t="inlineStr">
        <is>
          <t>Morphology</t>
        </is>
      </c>
      <c r="C81" t="inlineStr">
        <is>
          <t>Area density (OMBB)</t>
        </is>
      </c>
      <c r="D81" t="inlineStr">
        <is>
          <t>AreaDensity_OrientedMinimumBoundingBox</t>
        </is>
      </c>
      <c r="E81" t="inlineStr">
        <is>
          <t>&lt; 3</t>
        </is>
      </c>
      <c r="H81" s="6" t="n"/>
      <c r="I81" s="4">
        <f>IFERROR(IF(NOT(H81=""),ABS(ROUNDDOWN(F81-H81, 3 - (1+INT(LOG10(ABS(F81)))))),""),IF(AND(F81=0,NOT(F81="")),ABS(ROUNDDOWN(F81-H81,0)),""))</f>
        <v/>
      </c>
      <c r="J81" s="4">
        <f>IF(NOT(I81=""),IF(I81&lt;=G81,"match",IF(I81&lt;3*G81,"partial match","no match")),"")</f>
        <v/>
      </c>
      <c r="K81" t="inlineStr">
        <is>
          <t>morph_area_dens_ombb</t>
        </is>
      </c>
    </row>
    <row r="82" ht="15" customHeight="1" s="10">
      <c r="A82" t="inlineStr">
        <is>
          <t>configuration C</t>
        </is>
      </c>
      <c r="B82" t="inlineStr">
        <is>
          <t>Morphology</t>
        </is>
      </c>
      <c r="C82" t="inlineStr">
        <is>
          <t>Volume density (AEE)</t>
        </is>
      </c>
      <c r="D82" t="inlineStr">
        <is>
          <t>VolumeDensity_ApproximateEnclosingEllipsoid</t>
        </is>
      </c>
      <c r="E82" t="inlineStr">
        <is>
          <t>3-5</t>
        </is>
      </c>
      <c r="F82" t="n">
        <v>1.29</v>
      </c>
      <c r="G82" t="n">
        <v>0.01</v>
      </c>
      <c r="H82" s="6" t="n">
        <v>1.25754840547957</v>
      </c>
      <c r="I82" s="4">
        <f>IFERROR(IF(NOT(H82=""),ABS(ROUNDDOWN(F82-H82, 3 - (1+INT(LOG10(ABS(F82)))))),""),IF(AND(F82=0,NOT(F82="")),ABS(ROUNDDOWN(F82-H82,0)),""))</f>
        <v/>
      </c>
      <c r="J82" s="4">
        <f>IF(NOT(I82=""),IF(I82&lt;=G82,"match",IF(I82&lt;3*G82,"partial match","no match")),"")</f>
        <v/>
      </c>
      <c r="K82" t="inlineStr">
        <is>
          <t>morph_vol_dens_aee</t>
        </is>
      </c>
    </row>
    <row r="83" ht="15" customHeight="1" s="10">
      <c r="A83" t="inlineStr">
        <is>
          <t>configuration C</t>
        </is>
      </c>
      <c r="B83" t="inlineStr">
        <is>
          <t>Morphology</t>
        </is>
      </c>
      <c r="C83" t="inlineStr">
        <is>
          <t>Area density (AEE)</t>
        </is>
      </c>
      <c r="D83" t="inlineStr">
        <is>
          <t>AreaDensity_ApproximateEnclosingEllipsoid</t>
        </is>
      </c>
      <c r="E83" t="inlineStr">
        <is>
          <t>3-5</t>
        </is>
      </c>
      <c r="F83" t="n">
        <v>1.62</v>
      </c>
      <c r="G83" t="n">
        <v>0.01</v>
      </c>
      <c r="H83" s="6" t="n">
        <v>1.56227674889997</v>
      </c>
      <c r="I83" s="4">
        <f>IFERROR(IF(NOT(H83=""),ABS(ROUNDDOWN(F83-H83, 3 - (1+INT(LOG10(ABS(F83)))))),""),IF(AND(F83=0,NOT(F83="")),ABS(ROUNDDOWN(F83-H83,0)),""))</f>
        <v/>
      </c>
      <c r="J83" s="4">
        <f>IF(NOT(I83=""),IF(I83&lt;=G83,"match",IF(I83&lt;3*G83,"partial match","no match")),"")</f>
        <v/>
      </c>
      <c r="K83" t="inlineStr">
        <is>
          <t>morph_area_dens_aee</t>
        </is>
      </c>
    </row>
    <row r="84" ht="15" customHeight="1" s="10">
      <c r="A84" t="inlineStr">
        <is>
          <t>configuration C</t>
        </is>
      </c>
      <c r="B84" t="inlineStr">
        <is>
          <t>Morphology</t>
        </is>
      </c>
      <c r="C84" t="inlineStr">
        <is>
          <t>Volume density (MVEE)</t>
        </is>
      </c>
      <c r="D84" t="inlineStr">
        <is>
          <t>VolumeDensity_MinimumVolumeEnclosingEllipsoid</t>
        </is>
      </c>
      <c r="E84" t="inlineStr">
        <is>
          <t>&lt; 3</t>
        </is>
      </c>
      <c r="H84" s="6" t="n"/>
      <c r="I84" s="4">
        <f>IFERROR(IF(NOT(H84=""),ABS(ROUNDDOWN(F84-H84, 3 - (1+INT(LOG10(ABS(F84)))))),""),IF(AND(F84=0,NOT(F84="")),ABS(ROUNDDOWN(F84-H84,0)),""))</f>
        <v/>
      </c>
      <c r="J84" s="4">
        <f>IF(NOT(I84=""),IF(I84&lt;=G84,"match",IF(I84&lt;3*G84,"partial match","no match")),"")</f>
        <v/>
      </c>
      <c r="K84" t="inlineStr">
        <is>
          <t>morph_vol_dens_mvee</t>
        </is>
      </c>
    </row>
    <row r="85" ht="15" customHeight="1" s="10">
      <c r="A85" t="inlineStr">
        <is>
          <t>configuration C</t>
        </is>
      </c>
      <c r="B85" t="inlineStr">
        <is>
          <t>Morphology</t>
        </is>
      </c>
      <c r="C85" t="inlineStr">
        <is>
          <t>Area density (MVEE)</t>
        </is>
      </c>
      <c r="D85" t="inlineStr">
        <is>
          <t>AreaDensity_MinimumVolumeEnclosingEllipsoid</t>
        </is>
      </c>
      <c r="E85" t="inlineStr">
        <is>
          <t>&lt; 3</t>
        </is>
      </c>
      <c r="H85" s="6" t="n"/>
      <c r="I85" s="4">
        <f>IFERROR(IF(NOT(H85=""),ABS(ROUNDDOWN(F85-H85, 3 - (1+INT(LOG10(ABS(F85)))))),""),IF(AND(F85=0,NOT(F85="")),ABS(ROUNDDOWN(F85-H85,0)),""))</f>
        <v/>
      </c>
      <c r="J85" s="4">
        <f>IF(NOT(I85=""),IF(I85&lt;=G85,"match",IF(I85&lt;3*G85,"partial match","no match")),"")</f>
        <v/>
      </c>
      <c r="K85" t="inlineStr">
        <is>
          <t>morph_area_dens_mvee</t>
        </is>
      </c>
    </row>
    <row r="86" ht="15" customHeight="1" s="10">
      <c r="A86" t="inlineStr">
        <is>
          <t>configuration C</t>
        </is>
      </c>
      <c r="B86" t="inlineStr">
        <is>
          <t>Morphology</t>
        </is>
      </c>
      <c r="C86" t="inlineStr">
        <is>
          <t>Volume density (convex hull)</t>
        </is>
      </c>
      <c r="D86" t="inlineStr">
        <is>
          <t>VolumeDensity_ConvexHull</t>
        </is>
      </c>
      <c r="E86" t="inlineStr">
        <is>
          <t>3-5</t>
        </is>
      </c>
      <c r="F86" t="n">
        <v>0.834</v>
      </c>
      <c r="G86" t="n">
        <v>0.002</v>
      </c>
      <c r="H86" s="6" t="n">
        <v>0.76811294958082</v>
      </c>
      <c r="I86" s="4">
        <f>IFERROR(IF(NOT(H86=""),ABS(ROUNDDOWN(F86-H86, 3 - (1+INT(LOG10(ABS(F86)))))),""),IF(AND(F86=0,NOT(F86="")),ABS(ROUNDDOWN(F86-H86,0)),""))</f>
        <v/>
      </c>
      <c r="J86" s="4">
        <f>IF(NOT(I86=""),IF(I86&lt;=G86,"match",IF(I86&lt;3*G86,"partial match","no match")),"")</f>
        <v/>
      </c>
      <c r="K86" t="inlineStr">
        <is>
          <t>morph_vol_dens_conv_hull</t>
        </is>
      </c>
    </row>
    <row r="87" ht="15" customHeight="1" s="10">
      <c r="A87" t="inlineStr">
        <is>
          <t>configuration C</t>
        </is>
      </c>
      <c r="B87" t="inlineStr">
        <is>
          <t>Morphology</t>
        </is>
      </c>
      <c r="C87" t="inlineStr">
        <is>
          <t>Area density (convex hull)</t>
        </is>
      </c>
      <c r="D87" t="inlineStr">
        <is>
          <t>AreaDensity_ConvexHull</t>
        </is>
      </c>
      <c r="E87" t="inlineStr">
        <is>
          <t>3-5</t>
        </is>
      </c>
      <c r="F87" t="n">
        <v>1.13</v>
      </c>
      <c r="G87" t="n">
        <v>0.01</v>
      </c>
      <c r="H87" s="6" t="n">
        <v>1.03116937228126</v>
      </c>
      <c r="I87" s="4">
        <f>IFERROR(IF(NOT(H87=""),ABS(ROUNDDOWN(F87-H87, 3 - (1+INT(LOG10(ABS(F87)))))),""),IF(AND(F87=0,NOT(F87="")),ABS(ROUNDDOWN(F87-H87,0)),""))</f>
        <v/>
      </c>
      <c r="J87" s="4">
        <f>IF(NOT(I87=""),IF(I87&lt;=G87,"match",IF(I87&lt;3*G87,"partial match","no match")),"")</f>
        <v/>
      </c>
      <c r="K87" t="inlineStr">
        <is>
          <t>morph_area_dens_conv_hull</t>
        </is>
      </c>
    </row>
    <row r="88" ht="15" customHeight="1" s="10">
      <c r="A88" t="inlineStr">
        <is>
          <t>configuration C</t>
        </is>
      </c>
      <c r="B88" t="inlineStr">
        <is>
          <t>Morphology</t>
        </is>
      </c>
      <c r="C88" t="inlineStr">
        <is>
          <t>Integrated intensity</t>
        </is>
      </c>
      <c r="D88" t="inlineStr">
        <is>
          <t>IntegratedIntensity</t>
        </is>
      </c>
      <c r="E88" t="inlineStr">
        <is>
          <t>6-9</t>
        </is>
      </c>
      <c r="F88" t="n">
        <v>-18000000</v>
      </c>
      <c r="G88" t="n">
        <v>1400000</v>
      </c>
      <c r="H88" s="8" t="n">
        <v>-16596680.6717186</v>
      </c>
      <c r="I88" s="4">
        <f>IFERROR(IF(NOT(H88=""),ABS(ROUNDDOWN(F88-H88, 3 - (1+INT(LOG10(ABS(F88)))))),""),IF(AND(F88=0,NOT(F88="")),ABS(ROUNDDOWN(F88-H88,0)),""))</f>
        <v/>
      </c>
      <c r="J88" s="4">
        <f>IF(NOT(I88=""),IF(I88&lt;=G88,"match",IF(I88&lt;3*G88,"partial match","no match")),"")</f>
        <v/>
      </c>
      <c r="K88" t="inlineStr">
        <is>
          <t>morph_integ_int</t>
        </is>
      </c>
    </row>
    <row r="89" ht="15" customHeight="1" s="10">
      <c r="A89" t="inlineStr">
        <is>
          <t>configuration C</t>
        </is>
      </c>
      <c r="B89" t="inlineStr">
        <is>
          <t>Morphology</t>
        </is>
      </c>
      <c r="C89" t="inlineStr">
        <is>
          <t>Moran's I index</t>
        </is>
      </c>
      <c r="D89" t="inlineStr">
        <is>
          <t>MoransIIndex</t>
        </is>
      </c>
      <c r="E89" t="inlineStr">
        <is>
          <t>3-5</t>
        </is>
      </c>
      <c r="F89" t="n">
        <v>0.0824</v>
      </c>
      <c r="G89" t="n">
        <v>0.0003</v>
      </c>
      <c r="H89" s="6" t="n">
        <v>0.08122476818161289</v>
      </c>
      <c r="I89" s="4">
        <f>IFERROR(IF(NOT(H89=""),ABS(ROUNDDOWN(F89-H89, 3 - (1+INT(LOG10(ABS(F89)))))),""),IF(AND(F89=0,NOT(F89="")),ABS(ROUNDDOWN(F89-H89,0)),""))</f>
        <v/>
      </c>
      <c r="J89" s="4">
        <f>IF(NOT(I89=""),IF(I89&lt;=G89,"match",IF(I89&lt;3*G89,"partial match","no match")),"")</f>
        <v/>
      </c>
      <c r="K89" t="inlineStr">
        <is>
          <t>morph_moran_i</t>
        </is>
      </c>
    </row>
    <row r="90" ht="15" customHeight="1" s="10">
      <c r="A90" t="inlineStr">
        <is>
          <t>configuration C</t>
        </is>
      </c>
      <c r="B90" t="inlineStr">
        <is>
          <t>Morphology</t>
        </is>
      </c>
      <c r="C90" t="inlineStr">
        <is>
          <t>Geary's C measure</t>
        </is>
      </c>
      <c r="D90" t="inlineStr">
        <is>
          <t>GearysCMeasure</t>
        </is>
      </c>
      <c r="E90" t="inlineStr">
        <is>
          <t>3-5</t>
        </is>
      </c>
      <c r="F90" t="n">
        <v>0.846</v>
      </c>
      <c r="G90" t="n">
        <v>0.001</v>
      </c>
      <c r="H90" s="6" t="n">
        <v>0.846686283823455</v>
      </c>
      <c r="I90" s="4">
        <f>IFERROR(IF(NOT(H90=""),ABS(ROUNDDOWN(F90-H90, 3 - (1+INT(LOG10(ABS(F90)))))),""),IF(AND(F90=0,NOT(F90="")),ABS(ROUNDDOWN(F90-H90,0)),""))</f>
        <v/>
      </c>
      <c r="J90" s="4">
        <f>IF(NOT(I90=""),IF(I90&lt;=G90,"match",IF(I90&lt;3*G90,"partial match","no match")),"")</f>
        <v/>
      </c>
      <c r="K90" t="inlineStr">
        <is>
          <t>morph_geary_c</t>
        </is>
      </c>
    </row>
    <row r="91" ht="15" customHeight="1" s="10">
      <c r="A91" t="inlineStr">
        <is>
          <t>configuration C</t>
        </is>
      </c>
      <c r="B91" t="inlineStr">
        <is>
          <t>Local intensity</t>
        </is>
      </c>
      <c r="C91" t="inlineStr">
        <is>
          <t>Local intensity peak</t>
        </is>
      </c>
      <c r="D91" t="inlineStr">
        <is>
          <t>LocalIntensityPeak</t>
        </is>
      </c>
      <c r="E91" t="inlineStr">
        <is>
          <t>3-5</t>
        </is>
      </c>
      <c r="F91" t="n">
        <v>169</v>
      </c>
      <c r="G91" t="n">
        <v>10</v>
      </c>
      <c r="H91" s="11" t="n">
        <v>172.847994501997</v>
      </c>
      <c r="I91" s="4">
        <f>IFERROR(IF(NOT(H91=""),ABS(ROUNDDOWN(F91-H91, 3 - (1+INT(LOG10(ABS(F91)))))),""),IF(AND(F91=0,NOT(F91="")),ABS(ROUNDDOWN(F91-H91,0)),""))</f>
        <v/>
      </c>
      <c r="J91" s="4">
        <f>IF(NOT(I91=""),IF(I91&lt;=G91,"match",IF(I91&lt;3*G91,"partial match","no match")),"")</f>
        <v/>
      </c>
      <c r="K91" t="inlineStr">
        <is>
          <t>loc_peak_loc</t>
        </is>
      </c>
    </row>
    <row r="92" ht="15" customHeight="1" s="10">
      <c r="A92" t="inlineStr">
        <is>
          <t>configuration C</t>
        </is>
      </c>
      <c r="B92" t="inlineStr">
        <is>
          <t>Local intensity</t>
        </is>
      </c>
      <c r="C92" t="inlineStr">
        <is>
          <t>Global intensity peak</t>
        </is>
      </c>
      <c r="D92" s="11" t="inlineStr">
        <is>
          <t>GlobalIntensityPeak</t>
        </is>
      </c>
      <c r="E92" t="inlineStr">
        <is>
          <t>3-5</t>
        </is>
      </c>
      <c r="F92" t="n">
        <v>180</v>
      </c>
      <c r="G92" t="n">
        <v>5</v>
      </c>
      <c r="H92" s="11" t="n">
        <v>172.847994501997</v>
      </c>
      <c r="I92" s="4">
        <f>IFERROR(IF(NOT(H92=""),ABS(ROUNDDOWN(F92-H92, 3 - (1+INT(LOG10(ABS(F92)))))),""),IF(AND(F92=0,NOT(F92="")),ABS(ROUNDDOWN(F92-H92,0)),""))</f>
        <v/>
      </c>
      <c r="J92" s="4">
        <f>IF(NOT(I92=""),IF(I92&lt;=G92,"match",IF(I92&lt;3*G92,"partial match","no match")),"")</f>
        <v/>
      </c>
      <c r="K92" t="inlineStr">
        <is>
          <t>loc_peak_glob</t>
        </is>
      </c>
    </row>
    <row r="93" ht="15" customHeight="1" s="10">
      <c r="A93" t="inlineStr">
        <is>
          <t>configuration C</t>
        </is>
      </c>
      <c r="B93" t="inlineStr">
        <is>
          <t>Statistics</t>
        </is>
      </c>
      <c r="C93" t="inlineStr">
        <is>
          <t>Mean</t>
        </is>
      </c>
      <c r="D93" t="inlineStr">
        <is>
          <t>Mean</t>
        </is>
      </c>
      <c r="E93" t="inlineStr">
        <is>
          <t>6-9</t>
        </is>
      </c>
      <c r="F93" t="n">
        <v>-49</v>
      </c>
      <c r="G93" t="n">
        <v>2.9</v>
      </c>
      <c r="H93" s="6" t="n">
        <v>-46.7315990519997</v>
      </c>
      <c r="I93" s="4">
        <f>IFERROR(IF(NOT(H93=""),ABS(ROUNDDOWN(F93-H93, 3 - (1+INT(LOG10(ABS(F93)))))),""),IF(AND(F93=0,NOT(F93="")),ABS(ROUNDDOWN(F93-H93,0)),""))</f>
        <v/>
      </c>
      <c r="J93" s="4">
        <f>IF(NOT(I93=""),IF(I93&lt;=G93,"match",IF(I93&lt;3*G93,"partial match","no match")),"")</f>
        <v/>
      </c>
      <c r="K93" t="inlineStr">
        <is>
          <t>stat_mean</t>
        </is>
      </c>
    </row>
    <row r="94" ht="15" customHeight="1" s="10">
      <c r="A94" t="inlineStr">
        <is>
          <t>configuration C</t>
        </is>
      </c>
      <c r="B94" t="inlineStr">
        <is>
          <t>Statistics</t>
        </is>
      </c>
      <c r="C94" t="inlineStr">
        <is>
          <t>Variance</t>
        </is>
      </c>
      <c r="D94" t="inlineStr">
        <is>
          <t>Variance</t>
        </is>
      </c>
      <c r="E94" t="inlineStr">
        <is>
          <t>6-9</t>
        </is>
      </c>
      <c r="F94" t="n">
        <v>50600</v>
      </c>
      <c r="G94" t="n">
        <v>1400</v>
      </c>
      <c r="H94" s="6" t="n">
        <v>49864.4102079318</v>
      </c>
      <c r="I94" s="4">
        <f>IFERROR(IF(NOT(H94=""),ABS(ROUNDDOWN(F94-H94, 3 - (1+INT(LOG10(ABS(F94)))))),""),IF(AND(F94=0,NOT(F94="")),ABS(ROUNDDOWN(F94-H94,0)),""))</f>
        <v/>
      </c>
      <c r="J94" s="4">
        <f>IF(NOT(I94=""),IF(I94&lt;=G94,"match",IF(I94&lt;3*G94,"partial match","no match")),"")</f>
        <v/>
      </c>
      <c r="K94" t="inlineStr">
        <is>
          <t>stat_var</t>
        </is>
      </c>
    </row>
    <row r="95" ht="15" customHeight="1" s="10">
      <c r="A95" t="inlineStr">
        <is>
          <t>configuration C</t>
        </is>
      </c>
      <c r="B95" t="inlineStr">
        <is>
          <t>Statistics</t>
        </is>
      </c>
      <c r="C95" t="inlineStr">
        <is>
          <t>Skewness</t>
        </is>
      </c>
      <c r="D95" t="inlineStr">
        <is>
          <t>Skewness</t>
        </is>
      </c>
      <c r="E95" t="inlineStr">
        <is>
          <t>6-9</t>
        </is>
      </c>
      <c r="F95" t="n">
        <v>-2.14</v>
      </c>
      <c r="G95" t="n">
        <v>0.05</v>
      </c>
      <c r="H95" s="6" t="n">
        <v>-2.18243855478991</v>
      </c>
      <c r="I95" s="4">
        <f>IFERROR(IF(NOT(H95=""),ABS(ROUNDDOWN(F95-H95, 3 - (1+INT(LOG10(ABS(F95)))))),""),IF(AND(F95=0,NOT(F95="")),ABS(ROUNDDOWN(F95-H95,0)),""))</f>
        <v/>
      </c>
      <c r="J95" s="4">
        <f>IF(NOT(I95=""),IF(I95&lt;=G95,"match",IF(I95&lt;3*G95,"partial match","no match")),"")</f>
        <v/>
      </c>
      <c r="K95" t="inlineStr">
        <is>
          <t>stat_skew</t>
        </is>
      </c>
    </row>
    <row r="96" ht="15" customHeight="1" s="10">
      <c r="A96" t="inlineStr">
        <is>
          <t>configuration C</t>
        </is>
      </c>
      <c r="B96" t="inlineStr">
        <is>
          <t>Statistics</t>
        </is>
      </c>
      <c r="C96" t="inlineStr">
        <is>
          <t>(Excess) kurtosis</t>
        </is>
      </c>
      <c r="D96" t="inlineStr">
        <is>
          <t>Kurtosis</t>
        </is>
      </c>
      <c r="E96" t="inlineStr">
        <is>
          <t>6-9</t>
        </is>
      </c>
      <c r="F96" t="n">
        <v>3.53</v>
      </c>
      <c r="G96" t="n">
        <v>0.23</v>
      </c>
      <c r="H96" s="6">
        <f>6.7348533024191-3</f>
        <v/>
      </c>
      <c r="I96" s="4">
        <f>IFERROR(IF(NOT(H96=""),ABS(ROUNDDOWN(F96-H96, 3 - (1+INT(LOG10(ABS(F96)))))),""),IF(AND(F96=0,NOT(F96="")),ABS(ROUNDDOWN(F96-H96,0)),""))</f>
        <v/>
      </c>
      <c r="J96" s="4">
        <f>IF(NOT(I96=""),IF(I96&lt;=G96,"match",IF(I96&lt;3*G96,"partial match","no match")),"")</f>
        <v/>
      </c>
      <c r="K96" t="inlineStr">
        <is>
          <t>stat_kurt</t>
        </is>
      </c>
    </row>
    <row r="97" ht="15" customHeight="1" s="10">
      <c r="A97" t="inlineStr">
        <is>
          <t>configuration C</t>
        </is>
      </c>
      <c r="B97" t="inlineStr">
        <is>
          <t>Statistics</t>
        </is>
      </c>
      <c r="C97" t="inlineStr">
        <is>
          <t>Median</t>
        </is>
      </c>
      <c r="D97" t="inlineStr">
        <is>
          <t>Median</t>
        </is>
      </c>
      <c r="E97" t="inlineStr">
        <is>
          <t>6-9</t>
        </is>
      </c>
      <c r="F97" t="n">
        <v>40</v>
      </c>
      <c r="G97" t="n">
        <v>0.4</v>
      </c>
      <c r="H97" s="6" t="n">
        <v>40.3397502899169</v>
      </c>
      <c r="I97" s="4">
        <f>IFERROR(IF(NOT(H97=""),ABS(ROUNDDOWN(F97-H97, 3 - (1+INT(LOG10(ABS(F97)))))),""),IF(AND(F97=0,NOT(F97="")),ABS(ROUNDDOWN(F97-H97,0)),""))</f>
        <v/>
      </c>
      <c r="J97" s="4">
        <f>IF(NOT(I97=""),IF(I97&lt;=G97,"match",IF(I97&lt;3*G97,"partial match","no match")),"")</f>
        <v/>
      </c>
      <c r="K97" t="inlineStr">
        <is>
          <t>stat_median</t>
        </is>
      </c>
    </row>
    <row r="98" ht="15" customHeight="1" s="10">
      <c r="A98" t="inlineStr">
        <is>
          <t>configuration C</t>
        </is>
      </c>
      <c r="B98" t="inlineStr">
        <is>
          <t>Statistics</t>
        </is>
      </c>
      <c r="C98" t="inlineStr">
        <is>
          <t>Minimum</t>
        </is>
      </c>
      <c r="D98" t="inlineStr">
        <is>
          <t>Minimum</t>
        </is>
      </c>
      <c r="E98" t="inlineStr">
        <is>
          <t>6-9</t>
        </is>
      </c>
      <c r="F98" t="n">
        <v>-939</v>
      </c>
      <c r="G98" t="n">
        <v>4</v>
      </c>
      <c r="H98" s="6" t="n">
        <v>-949.345336914062</v>
      </c>
      <c r="I98" s="4">
        <f>IFERROR(IF(NOT(H98=""),ABS(ROUNDDOWN(F98-H98, 3 - (1+INT(LOG10(ABS(F98)))))),""),IF(AND(F98=0,NOT(F98="")),ABS(ROUNDDOWN(F98-H98,0)),""))</f>
        <v/>
      </c>
      <c r="J98" s="4">
        <f>IF(NOT(I98=""),IF(I98&lt;=G98,"match",IF(I98&lt;3*G98,"partial match","no match")),"")</f>
        <v/>
      </c>
      <c r="K98" t="inlineStr">
        <is>
          <t>stat_min</t>
        </is>
      </c>
    </row>
    <row r="99" ht="15" customHeight="1" s="10">
      <c r="A99" t="inlineStr">
        <is>
          <t>configuration C</t>
        </is>
      </c>
      <c r="B99" t="inlineStr">
        <is>
          <t>Statistics</t>
        </is>
      </c>
      <c r="C99" t="inlineStr">
        <is>
          <t>10th percentile</t>
        </is>
      </c>
      <c r="D99" t="inlineStr">
        <is>
          <t>Percentile10</t>
        </is>
      </c>
      <c r="E99" t="inlineStr">
        <is>
          <t>6-9</t>
        </is>
      </c>
      <c r="F99" t="n">
        <v>-424</v>
      </c>
      <c r="G99" t="n">
        <v>14</v>
      </c>
      <c r="H99" s="6" t="n">
        <v>-415.757507324218</v>
      </c>
      <c r="I99" s="4">
        <f>IFERROR(IF(NOT(H99=""),ABS(ROUNDDOWN(F99-H99, 3 - (1+INT(LOG10(ABS(F99)))))),""),IF(AND(F99=0,NOT(F99="")),ABS(ROUNDDOWN(F99-H99,0)),""))</f>
        <v/>
      </c>
      <c r="J99" s="4">
        <f>IF(NOT(I99=""),IF(I99&lt;=G99,"match",IF(I99&lt;3*G99,"partial match","no match")),"")</f>
        <v/>
      </c>
      <c r="K99" t="inlineStr">
        <is>
          <t>stat_p10</t>
        </is>
      </c>
    </row>
    <row r="100" ht="15" customHeight="1" s="10">
      <c r="A100" t="inlineStr">
        <is>
          <t>configuration C</t>
        </is>
      </c>
      <c r="B100" t="inlineStr">
        <is>
          <t>Statistics</t>
        </is>
      </c>
      <c r="C100" t="inlineStr">
        <is>
          <t>90th percentile</t>
        </is>
      </c>
      <c r="D100" t="inlineStr">
        <is>
          <t>Percentile90</t>
        </is>
      </c>
      <c r="E100" t="inlineStr">
        <is>
          <t>6-9</t>
        </is>
      </c>
      <c r="F100" t="n">
        <v>86</v>
      </c>
      <c r="G100" t="n">
        <v>0.1</v>
      </c>
      <c r="H100" s="6" t="n">
        <v>86.1890869140625</v>
      </c>
      <c r="I100" s="4">
        <f>IFERROR(IF(NOT(H100=""),ABS(ROUNDDOWN(F100-H100, 3 - (1+INT(LOG10(ABS(F100)))))),""),IF(AND(F100=0,NOT(F100="")),ABS(ROUNDDOWN(F100-H100,0)),""))</f>
        <v/>
      </c>
      <c r="J100" s="4">
        <f>IF(NOT(I100=""),IF(I100&lt;=G100,"match",IF(I100&lt;3*G100,"partial match","no match")),"")</f>
        <v/>
      </c>
      <c r="K100" t="inlineStr">
        <is>
          <t>stat_p90</t>
        </is>
      </c>
    </row>
    <row r="101" ht="15" customHeight="1" s="10">
      <c r="A101" t="inlineStr">
        <is>
          <t>configuration C</t>
        </is>
      </c>
      <c r="B101" t="inlineStr">
        <is>
          <t>Statistics</t>
        </is>
      </c>
      <c r="C101" t="inlineStr">
        <is>
          <t>Maximum</t>
        </is>
      </c>
      <c r="D101" t="inlineStr">
        <is>
          <t>Maximum</t>
        </is>
      </c>
      <c r="E101" t="inlineStr">
        <is>
          <t>6-9</t>
        </is>
      </c>
      <c r="F101" t="n">
        <v>393</v>
      </c>
      <c r="G101" t="n">
        <v>10</v>
      </c>
      <c r="H101" s="6" t="n">
        <v>388.252563476562</v>
      </c>
      <c r="I101" s="4">
        <f>IFERROR(IF(NOT(H101=""),ABS(ROUNDDOWN(F101-H101, 3 - (1+INT(LOG10(ABS(F101)))))),""),IF(AND(F101=0,NOT(F101="")),ABS(ROUNDDOWN(F101-H101,0)),""))</f>
        <v/>
      </c>
      <c r="J101" s="4">
        <f>IF(NOT(I101=""),IF(I101&lt;=G101,"match",IF(I101&lt;3*G101,"partial match","no match")),"")</f>
        <v/>
      </c>
      <c r="K101" t="inlineStr">
        <is>
          <t>stat_max</t>
        </is>
      </c>
    </row>
    <row r="102" ht="15" customHeight="1" s="10">
      <c r="A102" t="inlineStr">
        <is>
          <t>configuration C</t>
        </is>
      </c>
      <c r="B102" t="inlineStr">
        <is>
          <t>Statistics</t>
        </is>
      </c>
      <c r="C102" t="inlineStr">
        <is>
          <t>Interquartile range</t>
        </is>
      </c>
      <c r="D102" t="inlineStr">
        <is>
          <t>Interquartile</t>
        </is>
      </c>
      <c r="E102" t="inlineStr">
        <is>
          <t>6-9</t>
        </is>
      </c>
      <c r="F102" t="n">
        <v>67</v>
      </c>
      <c r="G102" t="n">
        <v>4.9</v>
      </c>
      <c r="H102" s="6" t="n">
        <v>65.1110709905624</v>
      </c>
      <c r="I102" s="4">
        <f>IFERROR(IF(NOT(H102=""),ABS(ROUNDDOWN(F102-H102, 3 - (1+INT(LOG10(ABS(F102)))))),""),IF(AND(F102=0,NOT(F102="")),ABS(ROUNDDOWN(F102-H102,0)),""))</f>
        <v/>
      </c>
      <c r="J102" s="4">
        <f>IF(NOT(I102=""),IF(I102&lt;=G102,"match",IF(I102&lt;3*G102,"partial match","no match")),"")</f>
        <v/>
      </c>
      <c r="K102" t="inlineStr">
        <is>
          <t>stat_iqr</t>
        </is>
      </c>
    </row>
    <row r="103" ht="15" customHeight="1" s="10">
      <c r="A103" t="inlineStr">
        <is>
          <t>configuration C</t>
        </is>
      </c>
      <c r="B103" t="inlineStr">
        <is>
          <t>Statistics</t>
        </is>
      </c>
      <c r="C103" t="inlineStr">
        <is>
          <t>Range</t>
        </is>
      </c>
      <c r="D103" t="inlineStr">
        <is>
          <t>Range</t>
        </is>
      </c>
      <c r="E103" t="inlineStr">
        <is>
          <t>6-9</t>
        </is>
      </c>
      <c r="F103" t="n">
        <v>1330</v>
      </c>
      <c r="G103" t="n">
        <v>20</v>
      </c>
      <c r="H103" s="6" t="n">
        <v>1337.59790039062</v>
      </c>
      <c r="I103" s="4">
        <f>IFERROR(IF(NOT(H103=""),ABS(ROUNDDOWN(F103-H103, 3 - (1+INT(LOG10(ABS(F103)))))),""),IF(AND(F103=0,NOT(F103="")),ABS(ROUNDDOWN(F103-H103,0)),""))</f>
        <v/>
      </c>
      <c r="J103" s="4">
        <f>IF(NOT(I103=""),IF(I103&lt;=G103,"match",IF(I103&lt;3*G103,"partial match","no match")),"")</f>
        <v/>
      </c>
      <c r="K103" t="inlineStr">
        <is>
          <t>stat_range</t>
        </is>
      </c>
    </row>
    <row r="104" ht="15" customHeight="1" s="10">
      <c r="A104" t="inlineStr">
        <is>
          <t>configuration C</t>
        </is>
      </c>
      <c r="B104" t="inlineStr">
        <is>
          <t>Statistics</t>
        </is>
      </c>
      <c r="C104" t="inlineStr">
        <is>
          <t>Mean absolute deviation</t>
        </is>
      </c>
      <c r="D104" t="inlineStr">
        <is>
          <t>MeanAbsoluteDeviation</t>
        </is>
      </c>
      <c r="E104" t="inlineStr">
        <is>
          <t>6-9</t>
        </is>
      </c>
      <c r="F104" t="n">
        <v>158</v>
      </c>
      <c r="G104" t="n">
        <v>4</v>
      </c>
      <c r="H104" s="6" t="n">
        <v>155.397082317061</v>
      </c>
      <c r="I104" s="4">
        <f>IFERROR(IF(NOT(H104=""),ABS(ROUNDDOWN(F104-H104, 3 - (1+INT(LOG10(ABS(F104)))))),""),IF(AND(F104=0,NOT(F104="")),ABS(ROUNDDOWN(F104-H104,0)),""))</f>
        <v/>
      </c>
      <c r="J104" s="4">
        <f>IF(NOT(I104=""),IF(I104&lt;=G104,"match",IF(I104&lt;3*G104,"partial match","no match")),"")</f>
        <v/>
      </c>
      <c r="K104" t="inlineStr">
        <is>
          <t>stat_mad</t>
        </is>
      </c>
    </row>
    <row r="105" ht="15" customHeight="1" s="10">
      <c r="A105" t="inlineStr">
        <is>
          <t>configuration C</t>
        </is>
      </c>
      <c r="B105" t="inlineStr">
        <is>
          <t>Statistics</t>
        </is>
      </c>
      <c r="C105" t="inlineStr">
        <is>
          <t>Robust mean absolute deviation</t>
        </is>
      </c>
      <c r="D105" t="inlineStr">
        <is>
          <t>RobustMeanAbsoluteDeviation</t>
        </is>
      </c>
      <c r="E105" t="inlineStr">
        <is>
          <t>6-9</t>
        </is>
      </c>
      <c r="F105" t="n">
        <v>66.8</v>
      </c>
      <c r="G105" t="n">
        <v>3.5</v>
      </c>
      <c r="H105" s="6" t="n">
        <v>63.7045342606793</v>
      </c>
      <c r="I105" s="4">
        <f>IFERROR(IF(NOT(H105=""),ABS(ROUNDDOWN(F105-H105, 3 - (1+INT(LOG10(ABS(F105)))))),""),IF(AND(F105=0,NOT(F105="")),ABS(ROUNDDOWN(F105-H105,0)),""))</f>
        <v/>
      </c>
      <c r="J105" s="4">
        <f>IF(NOT(I105=""),IF(I105&lt;=G105,"match",IF(I105&lt;3*G105,"partial match","no match")),"")</f>
        <v/>
      </c>
      <c r="K105" t="inlineStr">
        <is>
          <t>stat_rmad</t>
        </is>
      </c>
    </row>
    <row r="106" ht="15" customHeight="1" s="10">
      <c r="A106" t="inlineStr">
        <is>
          <t>configuration C</t>
        </is>
      </c>
      <c r="B106" t="inlineStr">
        <is>
          <t>Statistics</t>
        </is>
      </c>
      <c r="C106" t="inlineStr">
        <is>
          <t>Median absolute deviation</t>
        </is>
      </c>
      <c r="D106" t="inlineStr">
        <is>
          <t>MedianAbsoluteDeviation</t>
        </is>
      </c>
      <c r="E106" t="inlineStr">
        <is>
          <t>6-9</t>
        </is>
      </c>
      <c r="F106" t="n">
        <v>119</v>
      </c>
      <c r="G106" t="n">
        <v>4</v>
      </c>
      <c r="H106" s="6" t="n">
        <v>117.133890635133</v>
      </c>
      <c r="I106" s="4">
        <f>IFERROR(IF(NOT(H106=""),ABS(ROUNDDOWN(F106-H106, 3 - (1+INT(LOG10(ABS(F106)))))),""),IF(AND(F106=0,NOT(F106="")),ABS(ROUNDDOWN(F106-H106,0)),""))</f>
        <v/>
      </c>
      <c r="J106" s="4">
        <f>IF(NOT(I106=""),IF(I106&lt;=G106,"match",IF(I106&lt;3*G106,"partial match","no match")),"")</f>
        <v/>
      </c>
      <c r="K106" t="inlineStr">
        <is>
          <t>stat_medad</t>
        </is>
      </c>
    </row>
    <row r="107" ht="15" customHeight="1" s="10">
      <c r="A107" t="inlineStr">
        <is>
          <t>configuration C</t>
        </is>
      </c>
      <c r="B107" t="inlineStr">
        <is>
          <t>Statistics</t>
        </is>
      </c>
      <c r="C107" t="inlineStr">
        <is>
          <t>Coefficient of variation</t>
        </is>
      </c>
      <c r="D107" t="inlineStr">
        <is>
          <t>CoefficientOfVariation</t>
        </is>
      </c>
      <c r="E107" t="inlineStr">
        <is>
          <t>6-9</t>
        </is>
      </c>
      <c r="F107" t="n">
        <v>-4.59</v>
      </c>
      <c r="G107" t="n">
        <v>0.29</v>
      </c>
      <c r="H107" s="6" t="n">
        <v>-4.77842420252356</v>
      </c>
      <c r="I107" s="4">
        <f>IFERROR(IF(NOT(H107=""),ABS(ROUNDDOWN(F107-H107, 3 - (1+INT(LOG10(ABS(F107)))))),""),IF(AND(F107=0,NOT(F107="")),ABS(ROUNDDOWN(F107-H107,0)),""))</f>
        <v/>
      </c>
      <c r="J107" s="4">
        <f>IF(NOT(I107=""),IF(I107&lt;=G107,"match",IF(I107&lt;3*G107,"partial match","no match")),"")</f>
        <v/>
      </c>
      <c r="K107" t="inlineStr">
        <is>
          <t>stat_cov</t>
        </is>
      </c>
    </row>
    <row r="108" ht="15" customHeight="1" s="10">
      <c r="A108" t="inlineStr">
        <is>
          <t>configuration C</t>
        </is>
      </c>
      <c r="B108" t="inlineStr">
        <is>
          <t>Statistics</t>
        </is>
      </c>
      <c r="C108" t="inlineStr">
        <is>
          <t>Quartile coefficient of dispersion</t>
        </is>
      </c>
      <c r="D108" t="inlineStr">
        <is>
          <t>QuartileCoefficientOfDispersion</t>
        </is>
      </c>
      <c r="E108" t="inlineStr">
        <is>
          <t>6-9</t>
        </is>
      </c>
      <c r="F108" t="n">
        <v>1.03</v>
      </c>
      <c r="G108" t="n">
        <v>0.4</v>
      </c>
      <c r="H108" s="6" t="n">
        <v>0.959020448969963</v>
      </c>
      <c r="I108" s="4">
        <f>IFERROR(IF(NOT(H108=""),ABS(ROUNDDOWN(F108-H108, 3 - (1+INT(LOG10(ABS(F108)))))),""),IF(AND(F108=0,NOT(F108="")),ABS(ROUNDDOWN(F108-H108,0)),""))</f>
        <v/>
      </c>
      <c r="J108" s="4">
        <f>IF(NOT(I108=""),IF(I108&lt;=G108,"match",IF(I108&lt;3*G108,"partial match","no match")),"")</f>
        <v/>
      </c>
      <c r="K108" t="inlineStr">
        <is>
          <t>stat_qcod</t>
        </is>
      </c>
    </row>
    <row r="109" ht="15" customHeight="1" s="10">
      <c r="A109" t="inlineStr">
        <is>
          <t>configuration C</t>
        </is>
      </c>
      <c r="B109" t="inlineStr">
        <is>
          <t>Statistics</t>
        </is>
      </c>
      <c r="C109" t="inlineStr">
        <is>
          <t>Energy</t>
        </is>
      </c>
      <c r="D109" t="inlineStr">
        <is>
          <t>Energy</t>
        </is>
      </c>
      <c r="E109" t="inlineStr">
        <is>
          <t>6-9</t>
        </is>
      </c>
      <c r="F109" t="n">
        <v>2440000000</v>
      </c>
      <c r="G109" t="n">
        <v>120000000</v>
      </c>
      <c r="H109" s="8" t="n">
        <v>2378292852.38025</v>
      </c>
      <c r="I109" s="4">
        <f>IFERROR(IF(NOT(H109=""),ABS(ROUNDDOWN(F109-H109, 3 - (1+INT(LOG10(ABS(F109)))))),""),IF(AND(F109=0,NOT(F109="")),ABS(ROUNDDOWN(F109-H109,0)),""))</f>
        <v/>
      </c>
      <c r="J109" s="4">
        <f>IF(NOT(I109=""),IF(I109&lt;=G109,"match",IF(I109&lt;3*G109,"partial match","no match")),"")</f>
        <v/>
      </c>
      <c r="K109" t="inlineStr">
        <is>
          <t>stat_energy</t>
        </is>
      </c>
    </row>
    <row r="110" ht="15" customHeight="1" s="10">
      <c r="A110" t="inlineStr">
        <is>
          <t>configuration C</t>
        </is>
      </c>
      <c r="B110" t="inlineStr">
        <is>
          <t>Statistics</t>
        </is>
      </c>
      <c r="C110" t="inlineStr">
        <is>
          <t>Root mean square</t>
        </is>
      </c>
      <c r="D110" t="inlineStr">
        <is>
          <t>RootMeanSquared</t>
        </is>
      </c>
      <c r="E110" t="inlineStr">
        <is>
          <t>6-9</t>
        </is>
      </c>
      <c r="F110" t="n">
        <v>230</v>
      </c>
      <c r="G110" t="n">
        <v>4</v>
      </c>
      <c r="H110" s="6" t="n">
        <v>228.140861219314</v>
      </c>
      <c r="I110" s="4">
        <f>IFERROR(IF(NOT(H110=""),ABS(ROUNDDOWN(F110-H110, 3 - (1+INT(LOG10(ABS(F110)))))),""),IF(AND(F110=0,NOT(F110="")),ABS(ROUNDDOWN(F110-H110,0)),""))</f>
        <v/>
      </c>
      <c r="J110" s="4">
        <f>IF(NOT(I110=""),IF(I110&lt;=G110,"match",IF(I110&lt;3*G110,"partial match","no match")),"")</f>
        <v/>
      </c>
      <c r="K110" t="inlineStr">
        <is>
          <t>stat_rms</t>
        </is>
      </c>
    </row>
    <row r="111" ht="15" customHeight="1" s="10">
      <c r="A111" t="inlineStr">
        <is>
          <t>configuration C</t>
        </is>
      </c>
      <c r="B111" t="inlineStr">
        <is>
          <t>Intensity histogram</t>
        </is>
      </c>
      <c r="C111" t="inlineStr">
        <is>
          <t>Mean</t>
        </is>
      </c>
      <c r="D111" t="inlineStr">
        <is>
          <t>MeanDiscretisedIntensity</t>
        </is>
      </c>
      <c r="E111" t="inlineStr">
        <is>
          <t>3-5</t>
        </is>
      </c>
      <c r="F111" t="n">
        <v>38.6</v>
      </c>
      <c r="G111" t="n">
        <v>0.2</v>
      </c>
      <c r="H111" s="6" t="n">
        <v>38.6321836564975</v>
      </c>
      <c r="I111" s="4">
        <f>IFERROR(IF(NOT(H111=""),ABS(ROUNDDOWN(F111-H111, 3 - (1+INT(LOG10(ABS(F111)))))),""),IF(AND(F111=0,NOT(F111="")),ABS(ROUNDDOWN(F111-H111,0)),""))</f>
        <v/>
      </c>
      <c r="J111" s="4">
        <f>IF(NOT(I111=""),IF(I111&lt;=G111,"match",IF(I111&lt;3*G111,"partial match","no match")),"")</f>
        <v/>
      </c>
      <c r="K111" t="inlineStr">
        <is>
          <t>ih_mean</t>
        </is>
      </c>
    </row>
    <row r="112" ht="15" customHeight="1" s="10">
      <c r="A112" t="inlineStr">
        <is>
          <t>configuration C</t>
        </is>
      </c>
      <c r="B112" t="inlineStr">
        <is>
          <t>Intensity histogram</t>
        </is>
      </c>
      <c r="C112" t="inlineStr">
        <is>
          <t>Variance</t>
        </is>
      </c>
      <c r="D112" t="inlineStr">
        <is>
          <t>Variance</t>
        </is>
      </c>
      <c r="E112" t="inlineStr">
        <is>
          <t>6-9</t>
        </is>
      </c>
      <c r="F112" t="n">
        <v>81.09999999999999</v>
      </c>
      <c r="G112" t="n">
        <v>2.1</v>
      </c>
      <c r="H112" s="6" t="n">
        <v>79.8862675781381</v>
      </c>
      <c r="I112" s="4">
        <f>IFERROR(IF(NOT(H112=""),ABS(ROUNDDOWN(F112-H112, 3 - (1+INT(LOG10(ABS(F112)))))),""),IF(AND(F112=0,NOT(F112="")),ABS(ROUNDDOWN(F112-H112,0)),""))</f>
        <v/>
      </c>
      <c r="J112" s="4">
        <f>IF(NOT(I112=""),IF(I112&lt;=G112,"match",IF(I112&lt;3*G112,"partial match","no match")),"")</f>
        <v/>
      </c>
      <c r="K112" t="inlineStr">
        <is>
          <t>ih_var</t>
        </is>
      </c>
    </row>
    <row r="113" ht="15" customHeight="1" s="10">
      <c r="A113" t="inlineStr">
        <is>
          <t>configuration C</t>
        </is>
      </c>
      <c r="B113" t="inlineStr">
        <is>
          <t>Intensity histogram</t>
        </is>
      </c>
      <c r="C113" t="inlineStr">
        <is>
          <t>Skewness</t>
        </is>
      </c>
      <c r="D113" t="inlineStr">
        <is>
          <t>Skewness</t>
        </is>
      </c>
      <c r="E113" t="inlineStr">
        <is>
          <t>6-9</t>
        </is>
      </c>
      <c r="F113" t="n">
        <v>-2.14</v>
      </c>
      <c r="G113" t="n">
        <v>0.05</v>
      </c>
      <c r="H113" s="6" t="n">
        <v>-2.17934383260149</v>
      </c>
      <c r="I113" s="4">
        <f>IFERROR(IF(NOT(H113=""),ABS(ROUNDDOWN(F113-H113, 3 - (1+INT(LOG10(ABS(F113)))))),""),IF(AND(F113=0,NOT(F113="")),ABS(ROUNDDOWN(F113-H113,0)),""))</f>
        <v/>
      </c>
      <c r="J113" s="4">
        <f>IF(NOT(I113=""),IF(I113&lt;=G113,"match",IF(I113&lt;3*G113,"partial match","no match")),"")</f>
        <v/>
      </c>
      <c r="K113" t="inlineStr">
        <is>
          <t>ih_skew</t>
        </is>
      </c>
    </row>
    <row r="114" ht="15" customHeight="1" s="10">
      <c r="A114" t="inlineStr">
        <is>
          <t>configuration C</t>
        </is>
      </c>
      <c r="B114" t="inlineStr">
        <is>
          <t>Intensity histogram</t>
        </is>
      </c>
      <c r="C114" t="inlineStr">
        <is>
          <t>Kurtosis</t>
        </is>
      </c>
      <c r="D114" t="inlineStr">
        <is>
          <t>Kurtosis</t>
        </is>
      </c>
      <c r="E114" t="inlineStr">
        <is>
          <t>6-9</t>
        </is>
      </c>
      <c r="F114" t="n">
        <v>3.52</v>
      </c>
      <c r="G114" t="n">
        <v>0.23</v>
      </c>
      <c r="H114" s="6">
        <f>6.72930861897582-3</f>
        <v/>
      </c>
      <c r="I114" s="4">
        <f>IFERROR(IF(NOT(H114=""),ABS(ROUNDDOWN(F114-H114, 3 - (1+INT(LOG10(ABS(F114)))))),""),IF(AND(F114=0,NOT(F114="")),ABS(ROUNDDOWN(F114-H114,0)),""))</f>
        <v/>
      </c>
      <c r="J114" s="4">
        <f>IF(NOT(I114=""),IF(I114&lt;=G114,"match",IF(I114&lt;3*G114,"partial match","no match")),"")</f>
        <v/>
      </c>
      <c r="K114" t="inlineStr">
        <is>
          <t>ih_kurt</t>
        </is>
      </c>
    </row>
    <row r="115" ht="15" customHeight="1" s="10">
      <c r="A115" t="inlineStr">
        <is>
          <t>configuration C</t>
        </is>
      </c>
      <c r="B115" t="inlineStr">
        <is>
          <t>Intensity histogram</t>
        </is>
      </c>
      <c r="C115" t="inlineStr">
        <is>
          <t>Median</t>
        </is>
      </c>
      <c r="D115" t="inlineStr">
        <is>
          <t>Median</t>
        </is>
      </c>
      <c r="E115" t="inlineStr">
        <is>
          <t>3-5</t>
        </is>
      </c>
      <c r="F115" t="n">
        <v>42</v>
      </c>
      <c r="G115" t="n">
        <v>0</v>
      </c>
      <c r="H115" s="6" t="n">
        <v>42</v>
      </c>
      <c r="I115" s="4">
        <f>IFERROR(IF(NOT(H115=""),ABS(ROUNDDOWN(F115-H115, 3 - (1+INT(LOG10(ABS(F115)))))),""),IF(AND(F115=0,NOT(F115="")),ABS(ROUNDDOWN(F115-H115,0)),""))</f>
        <v/>
      </c>
      <c r="J115" s="4">
        <f>IF(NOT(I115=""),IF(I115&lt;=G115,"match",IF(I115&lt;3*G115,"partial match","no match")),"")</f>
        <v/>
      </c>
      <c r="K115" t="inlineStr">
        <is>
          <t>ih_median</t>
        </is>
      </c>
    </row>
    <row r="116" ht="15" customHeight="1" s="10">
      <c r="A116" t="inlineStr">
        <is>
          <t>configuration C</t>
        </is>
      </c>
      <c r="B116" t="inlineStr">
        <is>
          <t>Intensity histogram</t>
        </is>
      </c>
      <c r="C116" t="inlineStr">
        <is>
          <t>Minimum</t>
        </is>
      </c>
      <c r="D116" t="inlineStr">
        <is>
          <t>Minimum</t>
        </is>
      </c>
      <c r="E116" t="inlineStr">
        <is>
          <t>3-5</t>
        </is>
      </c>
      <c r="F116" t="n">
        <v>3</v>
      </c>
      <c r="G116" t="n">
        <v>0.16</v>
      </c>
      <c r="H116" s="6" t="n">
        <v>3</v>
      </c>
      <c r="I116" s="4">
        <f>IFERROR(IF(NOT(H116=""),ABS(ROUNDDOWN(F116-H116, 3 - (1+INT(LOG10(ABS(F116)))))),""),IF(AND(F116=0,NOT(F116="")),ABS(ROUNDDOWN(F116-H116,0)),""))</f>
        <v/>
      </c>
      <c r="J116" s="4">
        <f>IF(NOT(I116=""),IF(I116&lt;=G116,"match",IF(I116&lt;3*G116,"partial match","no match")),"")</f>
        <v/>
      </c>
      <c r="K116" t="inlineStr">
        <is>
          <t>ih_min</t>
        </is>
      </c>
    </row>
    <row r="117" ht="15" customHeight="1" s="10">
      <c r="A117" t="inlineStr">
        <is>
          <t>configuration C</t>
        </is>
      </c>
      <c r="B117" t="inlineStr">
        <is>
          <t>Intensity histogram</t>
        </is>
      </c>
      <c r="C117" t="inlineStr">
        <is>
          <t>10th percentile</t>
        </is>
      </c>
      <c r="D117" t="inlineStr">
        <is>
          <t>Percentile10</t>
        </is>
      </c>
      <c r="E117" t="inlineStr">
        <is>
          <t>3-5</t>
        </is>
      </c>
      <c r="F117" t="n">
        <v>24</v>
      </c>
      <c r="G117" t="n">
        <v>0.7</v>
      </c>
      <c r="H117" s="6" t="n">
        <v>24</v>
      </c>
      <c r="I117" s="4">
        <f>IFERROR(IF(NOT(H117=""),ABS(ROUNDDOWN(F117-H117, 3 - (1+INT(LOG10(ABS(F117)))))),""),IF(AND(F117=0,NOT(F117="")),ABS(ROUNDDOWN(F117-H117,0)),""))</f>
        <v/>
      </c>
      <c r="J117" s="4">
        <f>IF(NOT(I117=""),IF(I117&lt;=G117,"match",IF(I117&lt;3*G117,"partial match","no match")),"")</f>
        <v/>
      </c>
      <c r="K117" t="inlineStr">
        <is>
          <t>ih_p10</t>
        </is>
      </c>
    </row>
    <row r="118" ht="15" customHeight="1" s="10">
      <c r="A118" t="inlineStr">
        <is>
          <t>configuration C</t>
        </is>
      </c>
      <c r="B118" t="inlineStr">
        <is>
          <t>Intensity histogram</t>
        </is>
      </c>
      <c r="C118" t="inlineStr">
        <is>
          <t>90th percentile</t>
        </is>
      </c>
      <c r="D118" t="inlineStr">
        <is>
          <t>Percentile90</t>
        </is>
      </c>
      <c r="E118" t="inlineStr">
        <is>
          <t>3-5</t>
        </is>
      </c>
      <c r="F118" t="n">
        <v>44</v>
      </c>
      <c r="G118" t="n">
        <v>0</v>
      </c>
      <c r="H118" s="6" t="n">
        <v>44</v>
      </c>
      <c r="I118" s="4">
        <f>IFERROR(IF(NOT(H118=""),ABS(ROUNDDOWN(F118-H118, 3 - (1+INT(LOG10(ABS(F118)))))),""),IF(AND(F118=0,NOT(F118="")),ABS(ROUNDDOWN(F118-H118,0)),""))</f>
        <v/>
      </c>
      <c r="J118" s="4">
        <f>IF(NOT(I118=""),IF(I118&lt;=G118,"match",IF(I118&lt;3*G118,"partial match","no match")),"")</f>
        <v/>
      </c>
      <c r="K118" t="inlineStr">
        <is>
          <t>ih_p90</t>
        </is>
      </c>
    </row>
    <row r="119" ht="15" customHeight="1" s="10">
      <c r="A119" t="inlineStr">
        <is>
          <t>configuration C</t>
        </is>
      </c>
      <c r="B119" t="inlineStr">
        <is>
          <t>Intensity histogram</t>
        </is>
      </c>
      <c r="C119" t="inlineStr">
        <is>
          <t>Maximum</t>
        </is>
      </c>
      <c r="D119" t="inlineStr">
        <is>
          <t>Maximum</t>
        </is>
      </c>
      <c r="E119" t="inlineStr">
        <is>
          <t>3-5</t>
        </is>
      </c>
      <c r="F119" t="n">
        <v>56</v>
      </c>
      <c r="G119" t="n">
        <v>0.5</v>
      </c>
      <c r="H119" s="6" t="n">
        <v>56</v>
      </c>
      <c r="I119" s="4">
        <f>IFERROR(IF(NOT(H119=""),ABS(ROUNDDOWN(F119-H119, 3 - (1+INT(LOG10(ABS(F119)))))),""),IF(AND(F119=0,NOT(F119="")),ABS(ROUNDDOWN(F119-H119,0)),""))</f>
        <v/>
      </c>
      <c r="J119" s="4">
        <f>IF(NOT(I119=""),IF(I119&lt;=G119,"match",IF(I119&lt;3*G119,"partial match","no match")),"")</f>
        <v/>
      </c>
      <c r="K119" t="inlineStr">
        <is>
          <t>ih_max</t>
        </is>
      </c>
    </row>
    <row r="120" ht="15" customHeight="1" s="10">
      <c r="A120" t="inlineStr">
        <is>
          <t>configuration C</t>
        </is>
      </c>
      <c r="B120" t="inlineStr">
        <is>
          <t>Intensity histogram</t>
        </is>
      </c>
      <c r="C120" t="inlineStr">
        <is>
          <t>Mode</t>
        </is>
      </c>
      <c r="D120" t="inlineStr">
        <is>
          <t>Mode</t>
        </is>
      </c>
      <c r="E120" t="inlineStr">
        <is>
          <t>3-5</t>
        </is>
      </c>
      <c r="F120" t="n">
        <v>43</v>
      </c>
      <c r="G120" t="n">
        <v>0.1</v>
      </c>
      <c r="H120" s="6" t="n">
        <v>43</v>
      </c>
      <c r="I120" s="4">
        <f>IFERROR(IF(NOT(H120=""),ABS(ROUNDDOWN(F120-H120, 3 - (1+INT(LOG10(ABS(F120)))))),""),IF(AND(F120=0,NOT(F120="")),ABS(ROUNDDOWN(F120-H120,0)),""))</f>
        <v/>
      </c>
      <c r="J120" s="4">
        <f>IF(NOT(I120=""),IF(I120&lt;=G120,"match",IF(I120&lt;3*G120,"partial match","no match")),"")</f>
        <v/>
      </c>
      <c r="K120" t="inlineStr">
        <is>
          <t>ih_mode</t>
        </is>
      </c>
    </row>
    <row r="121" ht="15" customHeight="1" s="10">
      <c r="A121" t="inlineStr">
        <is>
          <t>configuration C</t>
        </is>
      </c>
      <c r="B121" t="inlineStr">
        <is>
          <t>Intensity histogram</t>
        </is>
      </c>
      <c r="C121" t="inlineStr">
        <is>
          <t>Interquartile range</t>
        </is>
      </c>
      <c r="D121" t="inlineStr">
        <is>
          <t>Interquartile</t>
        </is>
      </c>
      <c r="E121" t="inlineStr">
        <is>
          <t>6-9</t>
        </is>
      </c>
      <c r="F121" t="n">
        <v>3</v>
      </c>
      <c r="G121" t="n">
        <v>0.21</v>
      </c>
      <c r="H121" s="6" t="n">
        <v>2</v>
      </c>
      <c r="I121" s="4">
        <f>IFERROR(IF(NOT(H121=""),ABS(ROUNDDOWN(F121-H121, 3 - (1+INT(LOG10(ABS(F121)))))),""),IF(AND(F121=0,NOT(F121="")),ABS(ROUNDDOWN(F121-H121,0)),""))</f>
        <v/>
      </c>
      <c r="J121" s="4">
        <f>IF(NOT(I121=""),IF(I121&lt;=G121,"match",IF(I121&lt;3*G121,"partial match","no match")),"")</f>
        <v/>
      </c>
      <c r="K121" t="inlineStr">
        <is>
          <t>ih_iqr</t>
        </is>
      </c>
    </row>
    <row r="122" ht="15" customHeight="1" s="10">
      <c r="A122" t="inlineStr">
        <is>
          <t>configuration C</t>
        </is>
      </c>
      <c r="B122" t="inlineStr">
        <is>
          <t>Intensity histogram</t>
        </is>
      </c>
      <c r="C122" t="inlineStr">
        <is>
          <t>Range</t>
        </is>
      </c>
      <c r="D122" t="inlineStr">
        <is>
          <t>Range</t>
        </is>
      </c>
      <c r="E122" t="inlineStr">
        <is>
          <t>6-9</t>
        </is>
      </c>
      <c r="F122" t="n">
        <v>53</v>
      </c>
      <c r="G122" t="n">
        <v>0.6</v>
      </c>
      <c r="H122" s="6" t="n">
        <v>53</v>
      </c>
      <c r="I122" s="4">
        <f>IFERROR(IF(NOT(H122=""),ABS(ROUNDDOWN(F122-H122, 3 - (1+INT(LOG10(ABS(F122)))))),""),IF(AND(F122=0,NOT(F122="")),ABS(ROUNDDOWN(F122-H122,0)),""))</f>
        <v/>
      </c>
      <c r="J122" s="4">
        <f>IF(NOT(I122=""),IF(I122&lt;=G122,"match",IF(I122&lt;3*G122,"partial match","no match")),"")</f>
        <v/>
      </c>
      <c r="K122" t="inlineStr">
        <is>
          <t>ih_range</t>
        </is>
      </c>
    </row>
    <row r="123" ht="15" customHeight="1" s="10">
      <c r="A123" t="inlineStr">
        <is>
          <t>configuration C</t>
        </is>
      </c>
      <c r="B123" t="inlineStr">
        <is>
          <t>Intensity histogram</t>
        </is>
      </c>
      <c r="C123" t="inlineStr">
        <is>
          <t>Mean absolute deviation</t>
        </is>
      </c>
      <c r="D123" t="inlineStr">
        <is>
          <t>MeanAbsoluteDeviation</t>
        </is>
      </c>
      <c r="E123" t="inlineStr">
        <is>
          <t>6-9</t>
        </is>
      </c>
      <c r="F123" t="n">
        <v>6.32</v>
      </c>
      <c r="G123" t="n">
        <v>0.15</v>
      </c>
      <c r="H123" s="6" t="n">
        <v>6.21665098975573</v>
      </c>
      <c r="I123" s="4">
        <f>IFERROR(IF(NOT(H123=""),ABS(ROUNDDOWN(F123-H123, 3 - (1+INT(LOG10(ABS(F123)))))),""),IF(AND(F123=0,NOT(F123="")),ABS(ROUNDDOWN(F123-H123,0)),""))</f>
        <v/>
      </c>
      <c r="J123" s="4">
        <f>IF(NOT(I123=""),IF(I123&lt;=G123,"match",IF(I123&lt;3*G123,"partial match","no match")),"")</f>
        <v/>
      </c>
      <c r="K123" t="inlineStr">
        <is>
          <t>ih_mad</t>
        </is>
      </c>
    </row>
    <row r="124" ht="15" customHeight="1" s="10">
      <c r="A124" t="inlineStr">
        <is>
          <t>configuration C</t>
        </is>
      </c>
      <c r="B124" t="inlineStr">
        <is>
          <t>Intensity histogram</t>
        </is>
      </c>
      <c r="C124" t="inlineStr">
        <is>
          <t>Robust mean absolute deviation</t>
        </is>
      </c>
      <c r="D124" t="inlineStr">
        <is>
          <t>RobustMeanAbsoluteDeviation</t>
        </is>
      </c>
      <c r="E124" t="inlineStr">
        <is>
          <t>3-5</t>
        </is>
      </c>
      <c r="F124" t="n">
        <v>2.59</v>
      </c>
      <c r="G124" t="n">
        <v>0.14</v>
      </c>
      <c r="H124" s="6" t="n">
        <v>2.52781813159071</v>
      </c>
      <c r="I124" s="4">
        <f>IFERROR(IF(NOT(H124=""),ABS(ROUNDDOWN(F124-H124, 3 - (1+INT(LOG10(ABS(F124)))))),""),IF(AND(F124=0,NOT(F124="")),ABS(ROUNDDOWN(F124-H124,0)),""))</f>
        <v/>
      </c>
      <c r="J124" s="4">
        <f>IF(NOT(I124=""),IF(I124&lt;=G124,"match",IF(I124&lt;3*G124,"partial match","no match")),"")</f>
        <v/>
      </c>
      <c r="K124" t="inlineStr">
        <is>
          <t>ih_rmad</t>
        </is>
      </c>
    </row>
    <row r="125" ht="15" customHeight="1" s="10">
      <c r="A125" t="inlineStr">
        <is>
          <t>configuration C</t>
        </is>
      </c>
      <c r="B125" t="inlineStr">
        <is>
          <t>Intensity histogram</t>
        </is>
      </c>
      <c r="C125" t="inlineStr">
        <is>
          <t>Median absolute deviation</t>
        </is>
      </c>
      <c r="D125" t="inlineStr">
        <is>
          <t>MedianAbsoluteDeviation</t>
        </is>
      </c>
      <c r="E125" t="inlineStr">
        <is>
          <t>6-9</t>
        </is>
      </c>
      <c r="F125" t="n">
        <v>4.75</v>
      </c>
      <c r="G125" t="n">
        <v>0.12</v>
      </c>
      <c r="H125" s="6" t="n">
        <v>4.67197006171488</v>
      </c>
      <c r="I125" s="4">
        <f>IFERROR(IF(NOT(H125=""),ABS(ROUNDDOWN(F125-H125, 3 - (1+INT(LOG10(ABS(F125)))))),""),IF(AND(F125=0,NOT(F125="")),ABS(ROUNDDOWN(F125-H125,0)),""))</f>
        <v/>
      </c>
      <c r="J125" s="4">
        <f>IF(NOT(I125=""),IF(I125&lt;=G125,"match",IF(I125&lt;3*G125,"partial match","no match")),"")</f>
        <v/>
      </c>
      <c r="K125" t="inlineStr">
        <is>
          <t>ih_medad</t>
        </is>
      </c>
    </row>
    <row r="126" ht="15" customHeight="1" s="10">
      <c r="A126" t="inlineStr">
        <is>
          <t>configuration C</t>
        </is>
      </c>
      <c r="B126" t="inlineStr">
        <is>
          <t>Intensity histogram</t>
        </is>
      </c>
      <c r="C126" t="inlineStr">
        <is>
          <t>Coefficient of variation</t>
        </is>
      </c>
      <c r="D126" t="inlineStr">
        <is>
          <t>CoefficientOfVariation</t>
        </is>
      </c>
      <c r="E126" t="inlineStr">
        <is>
          <t>3-5</t>
        </is>
      </c>
      <c r="F126" t="n">
        <v>0.234</v>
      </c>
      <c r="G126" t="n">
        <v>0.005</v>
      </c>
      <c r="H126" s="6" t="n">
        <v>0.23135921832786</v>
      </c>
      <c r="I126" s="4">
        <f>IFERROR(IF(NOT(H126=""),ABS(ROUNDDOWN(F126-H126, 3 - (1+INT(LOG10(ABS(F126)))))),""),IF(AND(F126=0,NOT(F126="")),ABS(ROUNDDOWN(F126-H126,0)),""))</f>
        <v/>
      </c>
      <c r="J126" s="4">
        <f>IF(NOT(I126=""),IF(I126&lt;=G126,"match",IF(I126&lt;3*G126,"partial match","no match")),"")</f>
        <v/>
      </c>
      <c r="K126" t="inlineStr">
        <is>
          <t>ih_cov</t>
        </is>
      </c>
    </row>
    <row r="127" ht="15" customHeight="1" s="10">
      <c r="A127" t="inlineStr">
        <is>
          <t>configuration C</t>
        </is>
      </c>
      <c r="B127" t="inlineStr">
        <is>
          <t>Intensity histogram</t>
        </is>
      </c>
      <c r="C127" t="inlineStr">
        <is>
          <t>Quartile coefficient of dispersion</t>
        </is>
      </c>
      <c r="D127" t="inlineStr">
        <is>
          <t>QuartileCoefficientOfDispersion</t>
        </is>
      </c>
      <c r="E127" t="inlineStr">
        <is>
          <t>6-9</t>
        </is>
      </c>
      <c r="F127" t="n">
        <v>0.0361</v>
      </c>
      <c r="G127" t="n">
        <v>0.0027</v>
      </c>
      <c r="H127" s="6" t="n">
        <v>0.0238095238095238</v>
      </c>
      <c r="I127" s="4">
        <f>IFERROR(IF(NOT(H127=""),ABS(ROUNDDOWN(F127-H127, 3 - (1+INT(LOG10(ABS(F127)))))),""),IF(AND(F127=0,NOT(F127="")),ABS(ROUNDDOWN(F127-H127,0)),""))</f>
        <v/>
      </c>
      <c r="J127" s="4">
        <f>IF(NOT(I127=""),IF(I127&lt;=G127,"match",IF(I127&lt;3*G127,"partial match","no match")),"")</f>
        <v/>
      </c>
      <c r="K127" t="inlineStr">
        <is>
          <t>ih_qcod</t>
        </is>
      </c>
    </row>
    <row r="128" ht="15" customHeight="1" s="10">
      <c r="A128" t="inlineStr">
        <is>
          <t>configuration C</t>
        </is>
      </c>
      <c r="B128" t="inlineStr">
        <is>
          <t>Intensity histogram</t>
        </is>
      </c>
      <c r="C128" t="inlineStr">
        <is>
          <t>Entropy</t>
        </is>
      </c>
      <c r="D128" t="inlineStr">
        <is>
          <t>Entropy</t>
        </is>
      </c>
      <c r="E128" t="inlineStr">
        <is>
          <t>6-9</t>
        </is>
      </c>
      <c r="F128" t="n">
        <v>3.73</v>
      </c>
      <c r="G128" t="n">
        <v>0.04</v>
      </c>
      <c r="H128" s="6" t="n">
        <v>3.72361538713491</v>
      </c>
      <c r="I128" s="4">
        <f>IFERROR(IF(NOT(H128=""),ABS(ROUNDDOWN(F128-H128, 3 - (1+INT(LOG10(ABS(F128)))))),""),IF(AND(F128=0,NOT(F128="")),ABS(ROUNDDOWN(F128-H128,0)),""))</f>
        <v/>
      </c>
      <c r="J128" s="4">
        <f>IF(NOT(I128=""),IF(I128&lt;=G128,"match",IF(I128&lt;3*G128,"partial match","no match")),"")</f>
        <v/>
      </c>
      <c r="K128" t="inlineStr">
        <is>
          <t>ih_entropy</t>
        </is>
      </c>
    </row>
    <row r="129" ht="15" customHeight="1" s="10">
      <c r="A129" t="inlineStr">
        <is>
          <t>configuration C</t>
        </is>
      </c>
      <c r="B129" t="inlineStr">
        <is>
          <t>Intensity histogram</t>
        </is>
      </c>
      <c r="C129" t="inlineStr">
        <is>
          <t>Uniformity</t>
        </is>
      </c>
      <c r="D129" t="inlineStr">
        <is>
          <t>Uniformity</t>
        </is>
      </c>
      <c r="E129" t="inlineStr">
        <is>
          <t>6-9</t>
        </is>
      </c>
      <c r="F129" t="n">
        <v>0.14</v>
      </c>
      <c r="G129" t="n">
        <v>0.003</v>
      </c>
      <c r="H129" s="6" t="n">
        <v>0.139917769234043</v>
      </c>
      <c r="I129" s="4">
        <f>IFERROR(IF(NOT(H129=""),ABS(ROUNDDOWN(F129-H129, 3 - (1+INT(LOG10(ABS(F129)))))),""),IF(AND(F129=0,NOT(F129="")),ABS(ROUNDDOWN(F129-H129,0)),""))</f>
        <v/>
      </c>
      <c r="J129" s="4">
        <f>IF(NOT(I129=""),IF(I129&lt;=G129,"match",IF(I129&lt;3*G129,"partial match","no match")),"")</f>
        <v/>
      </c>
      <c r="K129" t="inlineStr">
        <is>
          <t>ih_uniformity</t>
        </is>
      </c>
    </row>
    <row r="130" ht="15" customHeight="1" s="10">
      <c r="A130" t="inlineStr">
        <is>
          <t>configuration C</t>
        </is>
      </c>
      <c r="B130" t="inlineStr">
        <is>
          <t>Intensity histogram</t>
        </is>
      </c>
      <c r="C130" t="inlineStr">
        <is>
          <t>Maximum histogram gradient</t>
        </is>
      </c>
      <c r="D130" t="inlineStr">
        <is>
          <t>MaximumHistogramGradient</t>
        </is>
      </c>
      <c r="E130" t="inlineStr">
        <is>
          <t>3-5</t>
        </is>
      </c>
      <c r="F130" t="n">
        <v>4750</v>
      </c>
      <c r="G130" t="n">
        <v>30</v>
      </c>
      <c r="H130" s="6" t="n">
        <v>4713</v>
      </c>
      <c r="I130" s="4">
        <f>IFERROR(IF(NOT(H130=""),ABS(ROUNDDOWN(F130-H130, 3 - (1+INT(LOG10(ABS(F130)))))),""),IF(AND(F130=0,NOT(F130="")),ABS(ROUNDDOWN(F130-H130,0)),""))</f>
        <v/>
      </c>
      <c r="J130" s="4">
        <f>IF(NOT(I130=""),IF(I130&lt;=G130,"match",IF(I130&lt;3*G130,"partial match","no match")),"")</f>
        <v/>
      </c>
      <c r="K130" t="inlineStr">
        <is>
          <t>ih_max_grad</t>
        </is>
      </c>
    </row>
    <row r="131" ht="15" customHeight="1" s="10">
      <c r="A131" t="inlineStr">
        <is>
          <t>configuration C</t>
        </is>
      </c>
      <c r="B131" t="inlineStr">
        <is>
          <t>Intensity histogram</t>
        </is>
      </c>
      <c r="C131" t="inlineStr">
        <is>
          <t>Maximum gradient grey level</t>
        </is>
      </c>
      <c r="D131" t="inlineStr">
        <is>
          <t>MaximumHistogramGradientIntensity</t>
        </is>
      </c>
      <c r="E131" t="inlineStr">
        <is>
          <t>3-5</t>
        </is>
      </c>
      <c r="F131" t="n">
        <v>41</v>
      </c>
      <c r="G131" t="n">
        <v>0</v>
      </c>
      <c r="H131" s="6" t="n">
        <v>41</v>
      </c>
      <c r="I131" s="4">
        <f>IFERROR(IF(NOT(H131=""),ABS(ROUNDDOWN(F131-H131, 3 - (1+INT(LOG10(ABS(F131)))))),""),IF(AND(F131=0,NOT(F131="")),ABS(ROUNDDOWN(F131-H131,0)),""))</f>
        <v/>
      </c>
      <c r="J131" s="4">
        <f>IF(NOT(I131=""),IF(I131&lt;=G131,"match",IF(I131&lt;3*G131,"partial match","no match")),"")</f>
        <v/>
      </c>
      <c r="K131" t="inlineStr">
        <is>
          <t>ih_max_grad_g</t>
        </is>
      </c>
    </row>
    <row r="132" ht="15" customHeight="1" s="10">
      <c r="A132" t="inlineStr">
        <is>
          <t>configuration C</t>
        </is>
      </c>
      <c r="B132" t="inlineStr">
        <is>
          <t>Intensity histogram</t>
        </is>
      </c>
      <c r="C132" t="inlineStr">
        <is>
          <t>Minimum histogram gradient</t>
        </is>
      </c>
      <c r="D132" t="inlineStr">
        <is>
          <t>MinimumHistogramGradient</t>
        </is>
      </c>
      <c r="E132" t="inlineStr">
        <is>
          <t>3-5</t>
        </is>
      </c>
      <c r="F132" t="n">
        <v>-4680</v>
      </c>
      <c r="G132" t="n">
        <v>50</v>
      </c>
      <c r="H132" s="6" t="n">
        <v>-4591</v>
      </c>
      <c r="I132" s="4">
        <f>IFERROR(IF(NOT(H132=""),ABS(ROUNDDOWN(F132-H132, 3 - (1+INT(LOG10(ABS(F132)))))),""),IF(AND(F132=0,NOT(F132="")),ABS(ROUNDDOWN(F132-H132,0)),""))</f>
        <v/>
      </c>
      <c r="J132" s="4">
        <f>IF(NOT(I132=""),IF(I132&lt;=G132,"match",IF(I132&lt;3*G132,"partial match","no match")),"")</f>
        <v/>
      </c>
      <c r="K132" t="inlineStr">
        <is>
          <t>ih_min_grad</t>
        </is>
      </c>
    </row>
    <row r="133" ht="15" customHeight="1" s="10">
      <c r="A133" t="inlineStr">
        <is>
          <t>configuration C</t>
        </is>
      </c>
      <c r="B133" t="inlineStr">
        <is>
          <t>Intensity histogram</t>
        </is>
      </c>
      <c r="C133" t="inlineStr">
        <is>
          <t>Minimum gradient grey level</t>
        </is>
      </c>
      <c r="D133" t="inlineStr">
        <is>
          <t>MinimumHistogramGradientIntensity</t>
        </is>
      </c>
      <c r="E133" t="inlineStr">
        <is>
          <t>3-5</t>
        </is>
      </c>
      <c r="F133" t="n">
        <v>44</v>
      </c>
      <c r="G133" t="n">
        <v>0</v>
      </c>
      <c r="H133" s="6" t="n">
        <v>44</v>
      </c>
      <c r="I133" s="4">
        <f>IFERROR(IF(NOT(H133=""),ABS(ROUNDDOWN(F133-H133, 3 - (1+INT(LOG10(ABS(F133)))))),""),IF(AND(F133=0,NOT(F133="")),ABS(ROUNDDOWN(F133-H133,0)),""))</f>
        <v/>
      </c>
      <c r="J133" s="4">
        <f>IF(NOT(I133=""),IF(I133&lt;=G133,"match",IF(I133&lt;3*G133,"partial match","no match")),"")</f>
        <v/>
      </c>
      <c r="K133" t="inlineStr">
        <is>
          <t>ih_min_grad_g</t>
        </is>
      </c>
    </row>
    <row r="134" ht="15" customHeight="1" s="10">
      <c r="A134" t="inlineStr">
        <is>
          <t>configuration C</t>
        </is>
      </c>
      <c r="B134" t="inlineStr">
        <is>
          <t>Intensity volume histogram</t>
        </is>
      </c>
      <c r="C134" t="inlineStr">
        <is>
          <t>Volume fraction at 10% intensity</t>
        </is>
      </c>
      <c r="D134" s="11" t="inlineStr">
        <is>
          <t>VolumeAtIntensityFraction10</t>
        </is>
      </c>
      <c r="E134" t="inlineStr">
        <is>
          <t>3-5</t>
        </is>
      </c>
      <c r="F134" t="n">
        <v>0.998</v>
      </c>
      <c r="G134" t="n">
        <v>0.001</v>
      </c>
      <c r="H134" s="6" t="n">
        <v>0.996958025123648</v>
      </c>
      <c r="I134" s="4">
        <f>IFERROR(IF(NOT(H134=""),ABS(ROUNDDOWN(F134-H134, 3 - (1+INT(LOG10(ABS(F134)))))),""),IF(AND(F134=0,NOT(F134="")),ABS(ROUNDDOWN(F134-H134,0)),""))</f>
        <v/>
      </c>
      <c r="J134" s="4">
        <f>IF(NOT(I134=""),IF(I134&lt;=G134,"match",IF(I134&lt;3*G134,"partial match","no match")),"")</f>
        <v/>
      </c>
      <c r="K134" t="inlineStr">
        <is>
          <t>ivh_v10</t>
        </is>
      </c>
    </row>
    <row r="135" ht="15" customHeight="1" s="10">
      <c r="A135" t="inlineStr">
        <is>
          <t>configuration C</t>
        </is>
      </c>
      <c r="B135" t="inlineStr">
        <is>
          <t>Intensity volume histogram</t>
        </is>
      </c>
      <c r="C135" t="inlineStr">
        <is>
          <t>Volume fraction at 90% intensity</t>
        </is>
      </c>
      <c r="D135" s="11" t="inlineStr">
        <is>
          <t>VolumeAtIntensityFraction90</t>
        </is>
      </c>
      <c r="E135" t="inlineStr">
        <is>
          <t>6-9</t>
        </is>
      </c>
      <c r="F135" t="n">
        <v>0.000152</v>
      </c>
      <c r="G135" t="n">
        <v>2e-05</v>
      </c>
      <c r="H135" s="8" t="n">
        <v>0.000131308268043861</v>
      </c>
      <c r="I135" s="4">
        <f>IFERROR(IF(NOT(H135=""),ABS(ROUNDDOWN(F135-H135, 3 - (1+INT(LOG10(ABS(F135)))))),""),IF(AND(F135=0,NOT(F135="")),ABS(ROUNDDOWN(F135-H135,0)),""))</f>
        <v/>
      </c>
      <c r="J135" s="4">
        <f>IF(NOT(I135=""),IF(I135&lt;=G135,"match",IF(I135&lt;3*G135,"partial match","no match")),"")</f>
        <v/>
      </c>
      <c r="K135" t="inlineStr">
        <is>
          <t>ivh_v90</t>
        </is>
      </c>
    </row>
    <row r="136" ht="15" customHeight="1" s="10">
      <c r="A136" t="inlineStr">
        <is>
          <t>configuration C</t>
        </is>
      </c>
      <c r="B136" t="inlineStr">
        <is>
          <t>Intensity volume histogram</t>
        </is>
      </c>
      <c r="C136" t="inlineStr">
        <is>
          <t>Intensity at 10% volume</t>
        </is>
      </c>
      <c r="D136" s="11" t="inlineStr">
        <is>
          <t>IntensityAtVolumeFraction10</t>
        </is>
      </c>
      <c r="E136" t="inlineStr">
        <is>
          <t>3-5</t>
        </is>
      </c>
      <c r="F136" t="n">
        <v>88.8</v>
      </c>
      <c r="G136" t="n">
        <v>0.2</v>
      </c>
      <c r="H136" s="6" t="n">
        <v>88.75</v>
      </c>
      <c r="I136" s="4">
        <f>IFERROR(IF(NOT(H136=""),ABS(ROUNDDOWN(F136-H136, 3 - (1+INT(LOG10(ABS(F136)))))),""),IF(AND(F136=0,NOT(F136="")),ABS(ROUNDDOWN(F136-H136,0)),""))</f>
        <v/>
      </c>
      <c r="J136" s="4">
        <f>IF(NOT(I136=""),IF(I136&lt;=G136,"match",IF(I136&lt;3*G136,"partial match","no match")),"")</f>
        <v/>
      </c>
      <c r="K136" t="inlineStr">
        <is>
          <t>ivh_i10</t>
        </is>
      </c>
    </row>
    <row r="137" ht="15" customHeight="1" s="10">
      <c r="A137" t="inlineStr">
        <is>
          <t>configuration C</t>
        </is>
      </c>
      <c r="B137" t="inlineStr">
        <is>
          <t>Intensity volume histogram</t>
        </is>
      </c>
      <c r="C137" t="inlineStr">
        <is>
          <t>Intensity at 90% volume</t>
        </is>
      </c>
      <c r="D137" s="11" t="inlineStr">
        <is>
          <t>IntensityAtVolumeFraction90</t>
        </is>
      </c>
      <c r="E137" t="inlineStr">
        <is>
          <t>6-9</t>
        </is>
      </c>
      <c r="F137" t="n">
        <v>-421</v>
      </c>
      <c r="G137" t="n">
        <v>14</v>
      </c>
      <c r="H137" s="6" t="n">
        <v>-413.75</v>
      </c>
      <c r="I137" s="4">
        <f>IFERROR(IF(NOT(H137=""),ABS(ROUNDDOWN(F137-H137, 3 - (1+INT(LOG10(ABS(F137)))))),""),IF(AND(F137=0,NOT(F137="")),ABS(ROUNDDOWN(F137-H137,0)),""))</f>
        <v/>
      </c>
      <c r="J137" s="4">
        <f>IF(NOT(I137=""),IF(I137&lt;=G137,"match",IF(I137&lt;3*G137,"partial match","no match")),"")</f>
        <v/>
      </c>
      <c r="K137" t="inlineStr">
        <is>
          <t>ivh_i90</t>
        </is>
      </c>
    </row>
    <row r="138" ht="15" customHeight="1" s="10">
      <c r="A138" t="inlineStr">
        <is>
          <t>configuration C</t>
        </is>
      </c>
      <c r="B138" t="inlineStr">
        <is>
          <t>Intensity volume histogram</t>
        </is>
      </c>
      <c r="C138" t="inlineStr">
        <is>
          <t>Volume fraction difference between 10% and 90% intensity</t>
        </is>
      </c>
      <c r="D138" t="inlineStr">
        <is>
          <t>VolumeFractionDifferenceBetweenIntensityFractions</t>
        </is>
      </c>
      <c r="E138" t="inlineStr">
        <is>
          <t>3-5</t>
        </is>
      </c>
      <c r="F138" t="n">
        <v>0.997</v>
      </c>
      <c r="G138" t="n">
        <v>0.001</v>
      </c>
      <c r="H138" s="6" t="n">
        <v>0.996826716855604</v>
      </c>
      <c r="I138" s="4">
        <f>IFERROR(IF(NOT(H138=""),ABS(ROUNDDOWN(F138-H138, 3 - (1+INT(LOG10(ABS(F138)))))),""),IF(AND(F138=0,NOT(F138="")),ABS(ROUNDDOWN(F138-H138,0)),""))</f>
        <v/>
      </c>
      <c r="J138" s="4">
        <f>IF(NOT(I138=""),IF(I138&lt;=G138,"match",IF(I138&lt;3*G138,"partial match","no match")),"")</f>
        <v/>
      </c>
      <c r="K138" t="inlineStr">
        <is>
          <t>ivh_diff_v10_v90</t>
        </is>
      </c>
    </row>
    <row r="139" ht="15" customHeight="1" s="10">
      <c r="A139" t="inlineStr">
        <is>
          <t>configuration C</t>
        </is>
      </c>
      <c r="B139" t="inlineStr">
        <is>
          <t>Intensity volume histogram</t>
        </is>
      </c>
      <c r="C139" t="inlineStr">
        <is>
          <t>Intensity difference between 10% and 90% volume</t>
        </is>
      </c>
      <c r="D139" t="inlineStr">
        <is>
          <t>IntensityFractionDifferenceBetweenVolumeFractions</t>
        </is>
      </c>
      <c r="E139" t="inlineStr">
        <is>
          <t>6-9</t>
        </is>
      </c>
      <c r="F139" t="n">
        <v>510</v>
      </c>
      <c r="G139" t="n">
        <v>14</v>
      </c>
      <c r="H139" s="6" t="n">
        <v>502.5</v>
      </c>
      <c r="I139" s="4">
        <f>IFERROR(IF(NOT(H139=""),ABS(ROUNDDOWN(F139-H139, 3 - (1+INT(LOG10(ABS(F139)))))),""),IF(AND(F139=0,NOT(F139="")),ABS(ROUNDDOWN(F139-H139,0)),""))</f>
        <v/>
      </c>
      <c r="J139" s="4">
        <f>IF(NOT(I139=""),IF(I139&lt;=G139,"match",IF(I139&lt;3*G139,"partial match","no match")),"")</f>
        <v/>
      </c>
      <c r="K139" t="inlineStr">
        <is>
          <t>ivh_diff_i10_i90</t>
        </is>
      </c>
    </row>
    <row r="140" ht="15" customHeight="1" s="10">
      <c r="A140" t="inlineStr">
        <is>
          <t>configuration C</t>
        </is>
      </c>
      <c r="B140" t="inlineStr">
        <is>
          <t>Intensity volume histogram</t>
        </is>
      </c>
      <c r="C140" t="inlineStr">
        <is>
          <t>Area under the IVH curve</t>
        </is>
      </c>
      <c r="D140" t="inlineStr">
        <is>
          <t>AreaUnderTheIVHCurve</t>
        </is>
      </c>
      <c r="E140" t="inlineStr">
        <is>
          <t>3-5</t>
        </is>
      </c>
      <c r="F140" t="n">
        <v>0.681</v>
      </c>
      <c r="G140" t="n">
        <v>0.003</v>
      </c>
      <c r="H140" s="6" t="n"/>
      <c r="I140" s="4">
        <f>IFERROR(IF(NOT(H140=""),ABS(ROUNDDOWN(F140-H140, 3 - (1+INT(LOG10(ABS(F140)))))),""),IF(AND(F140=0,NOT(F140="")),ABS(ROUNDDOWN(F140-H140,0)),""))</f>
        <v/>
      </c>
      <c r="J140" s="4">
        <f>IF(NOT(I140=""),IF(I140&lt;=G140,"match",IF(I140&lt;3*G140,"partial match","no match")),"")</f>
        <v/>
      </c>
      <c r="K140" t="inlineStr">
        <is>
          <t>ivh_auc</t>
        </is>
      </c>
      <c r="L140" t="inlineStr">
        <is>
          <t>not-in-ibsi1-manual</t>
        </is>
      </c>
    </row>
    <row r="141" ht="15" customHeight="1" s="10">
      <c r="A141" t="inlineStr">
        <is>
          <t>configuration C</t>
        </is>
      </c>
      <c r="B141" t="inlineStr">
        <is>
          <t>Co-occurrence matrix (3D, averaged)</t>
        </is>
      </c>
      <c r="C141" t="inlineStr">
        <is>
          <t>Joint maximum</t>
        </is>
      </c>
      <c r="D141" t="inlineStr">
        <is>
          <t>JointMaximum</t>
        </is>
      </c>
      <c r="E141" t="inlineStr">
        <is>
          <t>6-9</t>
        </is>
      </c>
      <c r="F141" t="n">
        <v>0.111</v>
      </c>
      <c r="G141" t="n">
        <v>0.002</v>
      </c>
      <c r="H141" s="6" t="n">
        <v>0.111064876459376</v>
      </c>
      <c r="I141" s="4">
        <f>IFERROR(IF(NOT(H141=""),ABS(ROUNDDOWN(F141-H141, 3 - (1+INT(LOG10(ABS(F141)))))),""),IF(AND(F141=0,NOT(F141="")),ABS(ROUNDDOWN(F141-H141,0)),""))</f>
        <v/>
      </c>
      <c r="J141" s="4">
        <f>IF(NOT(I141=""),IF(I141&lt;=G141,"match",IF(I141&lt;3*G141,"partial match","no match")),"")</f>
        <v/>
      </c>
      <c r="K141" t="inlineStr">
        <is>
          <t>cm_joint_max_3D_avg</t>
        </is>
      </c>
    </row>
    <row r="142" ht="15" customHeight="1" s="10">
      <c r="A142" t="inlineStr">
        <is>
          <t>configuration C</t>
        </is>
      </c>
      <c r="B142" t="inlineStr">
        <is>
          <t>Co-occurrence matrix (3D, averaged)</t>
        </is>
      </c>
      <c r="C142" t="inlineStr">
        <is>
          <t>Joint average</t>
        </is>
      </c>
      <c r="D142" t="inlineStr">
        <is>
          <t>JointAverage</t>
        </is>
      </c>
      <c r="E142" t="inlineStr">
        <is>
          <t>3-5</t>
        </is>
      </c>
      <c r="F142" t="n">
        <v>39</v>
      </c>
      <c r="G142" t="n">
        <v>0.2</v>
      </c>
      <c r="H142" s="6" t="n">
        <v>39.0537285675799</v>
      </c>
      <c r="I142" s="4">
        <f>IFERROR(IF(NOT(H142=""),ABS(ROUNDDOWN(F142-H142, 3 - (1+INT(LOG10(ABS(F142)))))),""),IF(AND(F142=0,NOT(F142="")),ABS(ROUNDDOWN(F142-H142,0)),""))</f>
        <v/>
      </c>
      <c r="J142" s="4">
        <f>IF(NOT(I142=""),IF(I142&lt;=G142,"match",IF(I142&lt;3*G142,"partial match","no match")),"")</f>
        <v/>
      </c>
      <c r="K142" t="inlineStr">
        <is>
          <t>cm_joint_avg_3D_avg</t>
        </is>
      </c>
    </row>
    <row r="143" ht="15" customHeight="1" s="10">
      <c r="A143" t="inlineStr">
        <is>
          <t>configuration C</t>
        </is>
      </c>
      <c r="B143" t="inlineStr">
        <is>
          <t>Co-occurrence matrix (3D, averaged)</t>
        </is>
      </c>
      <c r="C143" t="inlineStr">
        <is>
          <t>Joint variance</t>
        </is>
      </c>
      <c r="D143" t="inlineStr">
        <is>
          <t>JointVariance</t>
        </is>
      </c>
      <c r="E143" t="inlineStr">
        <is>
          <t>6-9</t>
        </is>
      </c>
      <c r="F143" t="n">
        <v>73.7</v>
      </c>
      <c r="G143" t="n">
        <v>2</v>
      </c>
      <c r="H143" s="6" t="n">
        <v>72.38113854884929</v>
      </c>
      <c r="I143" s="4">
        <f>IFERROR(IF(NOT(H143=""),ABS(ROUNDDOWN(F143-H143, 3 - (1+INT(LOG10(ABS(F143)))))),""),IF(AND(F143=0,NOT(F143="")),ABS(ROUNDDOWN(F143-H143,0)),""))</f>
        <v/>
      </c>
      <c r="J143" s="4">
        <f>IF(NOT(I143=""),IF(I143&lt;=G143,"match",IF(I143&lt;3*G143,"partial match","no match")),"")</f>
        <v/>
      </c>
      <c r="K143" t="inlineStr">
        <is>
          <t>cm_joint_var_3D_avg</t>
        </is>
      </c>
    </row>
    <row r="144" ht="15" customHeight="1" s="10">
      <c r="A144" t="inlineStr">
        <is>
          <t>configuration C</t>
        </is>
      </c>
      <c r="B144" t="inlineStr">
        <is>
          <t>Co-occurrence matrix (3D, averaged)</t>
        </is>
      </c>
      <c r="C144" t="inlineStr">
        <is>
          <t>Joint entropy</t>
        </is>
      </c>
      <c r="D144" t="inlineStr">
        <is>
          <t>JointEntropy</t>
        </is>
      </c>
      <c r="E144" t="inlineStr">
        <is>
          <t>6-9</t>
        </is>
      </c>
      <c r="F144" t="n">
        <v>6.39</v>
      </c>
      <c r="G144" t="n">
        <v>0.06</v>
      </c>
      <c r="H144" s="6" t="n">
        <v>6.37863897551738</v>
      </c>
      <c r="I144" s="4">
        <f>IFERROR(IF(NOT(H144=""),ABS(ROUNDDOWN(F144-H144, 3 - (1+INT(LOG10(ABS(F144)))))),""),IF(AND(F144=0,NOT(F144="")),ABS(ROUNDDOWN(F144-H144,0)),""))</f>
        <v/>
      </c>
      <c r="J144" s="4">
        <f>IF(NOT(I144=""),IF(I144&lt;=G144,"match",IF(I144&lt;3*G144,"partial match","no match")),"")</f>
        <v/>
      </c>
      <c r="K144" t="inlineStr">
        <is>
          <t>cm_joint_entr_3D_avg</t>
        </is>
      </c>
    </row>
    <row r="145" ht="15" customHeight="1" s="10">
      <c r="A145" t="inlineStr">
        <is>
          <t>configuration C</t>
        </is>
      </c>
      <c r="B145" t="inlineStr">
        <is>
          <t>Co-occurrence matrix (3D, averaged)</t>
        </is>
      </c>
      <c r="C145" t="inlineStr">
        <is>
          <t>Difference average</t>
        </is>
      </c>
      <c r="D145" t="inlineStr">
        <is>
          <t>DifferenceAverage</t>
        </is>
      </c>
      <c r="E145" t="inlineStr">
        <is>
          <t>6-9</t>
        </is>
      </c>
      <c r="F145" t="n">
        <v>2.17</v>
      </c>
      <c r="G145" t="n">
        <v>0.05</v>
      </c>
      <c r="H145" s="6" t="n">
        <v>2.16308195165928</v>
      </c>
      <c r="I145" s="4">
        <f>IFERROR(IF(NOT(H145=""),ABS(ROUNDDOWN(F145-H145, 3 - (1+INT(LOG10(ABS(F145)))))),""),IF(AND(F145=0,NOT(F145="")),ABS(ROUNDDOWN(F145-H145,0)),""))</f>
        <v/>
      </c>
      <c r="J145" s="4">
        <f>IF(NOT(I145=""),IF(I145&lt;=G145,"match",IF(I145&lt;3*G145,"partial match","no match")),"")</f>
        <v/>
      </c>
      <c r="K145" t="inlineStr">
        <is>
          <t>cm_diff_avg_3D_avg</t>
        </is>
      </c>
    </row>
    <row r="146" ht="15" customHeight="1" s="10">
      <c r="A146" t="inlineStr">
        <is>
          <t>configuration C</t>
        </is>
      </c>
      <c r="B146" t="inlineStr">
        <is>
          <t>Co-occurrence matrix (3D, averaged)</t>
        </is>
      </c>
      <c r="C146" t="inlineStr">
        <is>
          <t>Difference variance</t>
        </is>
      </c>
      <c r="D146" t="inlineStr">
        <is>
          <t>DifferenceVariance</t>
        </is>
      </c>
      <c r="E146" t="inlineStr">
        <is>
          <t>6-9</t>
        </is>
      </c>
      <c r="F146" t="n">
        <v>14.4</v>
      </c>
      <c r="G146" t="n">
        <v>0.5</v>
      </c>
      <c r="H146" s="6" t="n">
        <v>14.4112170168246</v>
      </c>
      <c r="I146" s="4">
        <f>IFERROR(IF(NOT(H146=""),ABS(ROUNDDOWN(F146-H146, 3 - (1+INT(LOG10(ABS(F146)))))),""),IF(AND(F146=0,NOT(F146="")),ABS(ROUNDDOWN(F146-H146,0)),""))</f>
        <v/>
      </c>
      <c r="J146" s="4">
        <f>IF(NOT(I146=""),IF(I146&lt;=G146,"match",IF(I146&lt;3*G146,"partial match","no match")),"")</f>
        <v/>
      </c>
      <c r="K146" t="inlineStr">
        <is>
          <t>cm_diff_var_3D_avg</t>
        </is>
      </c>
    </row>
    <row r="147" ht="15" customHeight="1" s="10">
      <c r="A147" t="inlineStr">
        <is>
          <t>configuration C</t>
        </is>
      </c>
      <c r="B147" t="inlineStr">
        <is>
          <t>Co-occurrence matrix (3D, averaged)</t>
        </is>
      </c>
      <c r="C147" t="inlineStr">
        <is>
          <t>Difference entropy</t>
        </is>
      </c>
      <c r="D147" t="inlineStr">
        <is>
          <t>DifferenceEntropy</t>
        </is>
      </c>
      <c r="E147" t="inlineStr">
        <is>
          <t>6-9</t>
        </is>
      </c>
      <c r="F147" t="n">
        <v>2.64</v>
      </c>
      <c r="G147" t="n">
        <v>0.03</v>
      </c>
      <c r="H147" s="6" t="n">
        <v>2.63141564200738</v>
      </c>
      <c r="I147" s="4">
        <f>IFERROR(IF(NOT(H147=""),ABS(ROUNDDOWN(F147-H147, 3 - (1+INT(LOG10(ABS(F147)))))),""),IF(AND(F147=0,NOT(F147="")),ABS(ROUNDDOWN(F147-H147,0)),""))</f>
        <v/>
      </c>
      <c r="J147" s="4">
        <f>IF(NOT(I147=""),IF(I147&lt;=G147,"match",IF(I147&lt;3*G147,"partial match","no match")),"")</f>
        <v/>
      </c>
      <c r="K147" t="inlineStr">
        <is>
          <t>cm_diff_entr_3D_avg</t>
        </is>
      </c>
    </row>
    <row r="148" ht="15" customHeight="1" s="10">
      <c r="A148" t="inlineStr">
        <is>
          <t>configuration C</t>
        </is>
      </c>
      <c r="B148" t="inlineStr">
        <is>
          <t>Co-occurrence matrix (3D, averaged)</t>
        </is>
      </c>
      <c r="C148" t="inlineStr">
        <is>
          <t>Sum average</t>
        </is>
      </c>
      <c r="D148" t="inlineStr">
        <is>
          <t>SumAverage</t>
        </is>
      </c>
      <c r="E148" t="inlineStr">
        <is>
          <t>3-5</t>
        </is>
      </c>
      <c r="F148" t="n">
        <v>78</v>
      </c>
      <c r="G148" t="n">
        <v>0.3</v>
      </c>
      <c r="H148" s="6" t="n">
        <v>78.1074571351599</v>
      </c>
      <c r="I148" s="4">
        <f>IFERROR(IF(NOT(H148=""),ABS(ROUNDDOWN(F148-H148, 3 - (1+INT(LOG10(ABS(F148)))))),""),IF(AND(F148=0,NOT(F148="")),ABS(ROUNDDOWN(F148-H148,0)),""))</f>
        <v/>
      </c>
      <c r="J148" s="4">
        <f>IF(NOT(I148=""),IF(I148&lt;=G148,"match",IF(I148&lt;3*G148,"partial match","no match")),"")</f>
        <v/>
      </c>
      <c r="K148" t="inlineStr">
        <is>
          <t>cm_sum_avg_3D_avg</t>
        </is>
      </c>
    </row>
    <row r="149" ht="15" customHeight="1" s="10">
      <c r="A149" t="inlineStr">
        <is>
          <t>configuration C</t>
        </is>
      </c>
      <c r="B149" t="inlineStr">
        <is>
          <t>Co-occurrence matrix (3D, averaged)</t>
        </is>
      </c>
      <c r="C149" t="inlineStr">
        <is>
          <t>Sum variance</t>
        </is>
      </c>
      <c r="D149" t="inlineStr">
        <is>
          <t>SumVariance</t>
        </is>
      </c>
      <c r="E149" t="inlineStr">
        <is>
          <t>6-9</t>
        </is>
      </c>
      <c r="F149" t="n">
        <v>276</v>
      </c>
      <c r="G149" t="n">
        <v>8</v>
      </c>
      <c r="H149" s="6" t="n">
        <v>270.336492831773</v>
      </c>
      <c r="I149" s="4">
        <f>IFERROR(IF(NOT(H149=""),ABS(ROUNDDOWN(F149-H149, 3 - (1+INT(LOG10(ABS(F149)))))),""),IF(AND(F149=0,NOT(F149="")),ABS(ROUNDDOWN(F149-H149,0)),""))</f>
        <v/>
      </c>
      <c r="J149" s="4">
        <f>IF(NOT(I149=""),IF(I149&lt;=G149,"match",IF(I149&lt;3*G149,"partial match","no match")),"")</f>
        <v/>
      </c>
      <c r="K149" t="inlineStr">
        <is>
          <t>cm_sum_var_3D_avg</t>
        </is>
      </c>
    </row>
    <row r="150" ht="15" customHeight="1" s="10">
      <c r="A150" t="inlineStr">
        <is>
          <t>configuration C</t>
        </is>
      </c>
      <c r="B150" t="inlineStr">
        <is>
          <t>Co-occurrence matrix (3D, averaged)</t>
        </is>
      </c>
      <c r="C150" t="inlineStr">
        <is>
          <t>Sum entropy</t>
        </is>
      </c>
      <c r="D150" t="inlineStr">
        <is>
          <t>SumEntropy</t>
        </is>
      </c>
      <c r="E150" t="inlineStr">
        <is>
          <t>6-9</t>
        </is>
      </c>
      <c r="F150" t="n">
        <v>4.56</v>
      </c>
      <c r="G150" t="n">
        <v>0.04</v>
      </c>
      <c r="H150" s="6" t="n">
        <v>4.53846186730207</v>
      </c>
      <c r="I150" s="4">
        <f>IFERROR(IF(NOT(H150=""),ABS(ROUNDDOWN(F150-H150, 3 - (1+INT(LOG10(ABS(F150)))))),""),IF(AND(F150=0,NOT(F150="")),ABS(ROUNDDOWN(F150-H150,0)),""))</f>
        <v/>
      </c>
      <c r="J150" s="4">
        <f>IF(NOT(I150=""),IF(I150&lt;=G150,"match",IF(I150&lt;3*G150,"partial match","no match")),"")</f>
        <v/>
      </c>
      <c r="K150" t="inlineStr">
        <is>
          <t>cm_sum_entr_3D_avg</t>
        </is>
      </c>
    </row>
    <row r="151" ht="15" customHeight="1" s="10">
      <c r="A151" t="inlineStr">
        <is>
          <t>configuration C</t>
        </is>
      </c>
      <c r="B151" t="inlineStr">
        <is>
          <t>Co-occurrence matrix (3D, averaged)</t>
        </is>
      </c>
      <c r="C151" t="inlineStr">
        <is>
          <t>Angular second moment</t>
        </is>
      </c>
      <c r="D151" t="inlineStr">
        <is>
          <t>AngularSecondMoment</t>
        </is>
      </c>
      <c r="E151" t="inlineStr">
        <is>
          <t>6-9</t>
        </is>
      </c>
      <c r="F151" t="n">
        <v>0.045</v>
      </c>
      <c r="G151" t="n">
        <v>0.001</v>
      </c>
      <c r="H151" s="6" t="n">
        <v>0.044705279868982</v>
      </c>
      <c r="I151" s="4">
        <f>IFERROR(IF(NOT(H151=""),ABS(ROUNDDOWN(F151-H151, 3 - (1+INT(LOG10(ABS(F151)))))),""),IF(AND(F151=0,NOT(F151="")),ABS(ROUNDDOWN(F151-H151,0)),""))</f>
        <v/>
      </c>
      <c r="J151" s="4">
        <f>IF(NOT(I151=""),IF(I151&lt;=G151,"match",IF(I151&lt;3*G151,"partial match","no match")),"")</f>
        <v/>
      </c>
      <c r="K151" t="inlineStr">
        <is>
          <t>cm_energy_3D_avg</t>
        </is>
      </c>
    </row>
    <row r="152" ht="15" customHeight="1" s="10">
      <c r="A152" t="inlineStr">
        <is>
          <t>configuration C</t>
        </is>
      </c>
      <c r="B152" t="inlineStr">
        <is>
          <t>Co-occurrence matrix (3D, averaged)</t>
        </is>
      </c>
      <c r="C152" t="inlineStr">
        <is>
          <t>Contrast</t>
        </is>
      </c>
      <c r="D152" t="inlineStr">
        <is>
          <t>Contrast</t>
        </is>
      </c>
      <c r="E152" t="inlineStr">
        <is>
          <t>6-9</t>
        </is>
      </c>
      <c r="F152" t="n">
        <v>19.2</v>
      </c>
      <c r="G152" t="n">
        <v>0.7</v>
      </c>
      <c r="H152" s="6" t="n">
        <v>19.1880613636241</v>
      </c>
      <c r="I152" s="4">
        <f>IFERROR(IF(NOT(H152=""),ABS(ROUNDDOWN(F152-H152, 3 - (1+INT(LOG10(ABS(F152)))))),""),IF(AND(F152=0,NOT(F152="")),ABS(ROUNDDOWN(F152-H152,0)),""))</f>
        <v/>
      </c>
      <c r="J152" s="4">
        <f>IF(NOT(I152=""),IF(I152&lt;=G152,"match",IF(I152&lt;3*G152,"partial match","no match")),"")</f>
        <v/>
      </c>
      <c r="K152" t="inlineStr">
        <is>
          <t>cm_contrast_3D_avg</t>
        </is>
      </c>
    </row>
    <row r="153" ht="15" customHeight="1" s="10">
      <c r="A153" t="inlineStr">
        <is>
          <t>configuration C</t>
        </is>
      </c>
      <c r="B153" t="inlineStr">
        <is>
          <t>Co-occurrence matrix (3D, averaged)</t>
        </is>
      </c>
      <c r="C153" t="inlineStr">
        <is>
          <t>Dissimilarity</t>
        </is>
      </c>
      <c r="D153" t="inlineStr">
        <is>
          <t>Dissimilarity</t>
        </is>
      </c>
      <c r="E153" t="inlineStr">
        <is>
          <t>6-9</t>
        </is>
      </c>
      <c r="F153" t="n">
        <v>2.17</v>
      </c>
      <c r="G153" t="n">
        <v>0.05</v>
      </c>
      <c r="H153" s="6" t="n">
        <v>2.16308195165928</v>
      </c>
      <c r="I153" s="4">
        <f>IFERROR(IF(NOT(H153=""),ABS(ROUNDDOWN(F153-H153, 3 - (1+INT(LOG10(ABS(F153)))))),""),IF(AND(F153=0,NOT(F153="")),ABS(ROUNDDOWN(F153-H153,0)),""))</f>
        <v/>
      </c>
      <c r="J153" s="4">
        <f>IF(NOT(I153=""),IF(I153&lt;=G153,"match",IF(I153&lt;3*G153,"partial match","no match")),"")</f>
        <v/>
      </c>
      <c r="K153" t="inlineStr">
        <is>
          <t>cm_dissimilarity_3D_avg</t>
        </is>
      </c>
    </row>
    <row r="154" ht="15" customHeight="1" s="10">
      <c r="A154" t="inlineStr">
        <is>
          <t>configuration C</t>
        </is>
      </c>
      <c r="B154" t="inlineStr">
        <is>
          <t>Co-occurrence matrix (3D, averaged)</t>
        </is>
      </c>
      <c r="C154" t="inlineStr">
        <is>
          <t>Inverse difference</t>
        </is>
      </c>
      <c r="D154" t="inlineStr">
        <is>
          <t>InverseDifference</t>
        </is>
      </c>
      <c r="E154" t="inlineStr">
        <is>
          <t>6-9</t>
        </is>
      </c>
      <c r="F154" t="n">
        <v>0.582</v>
      </c>
      <c r="G154" t="n">
        <v>0.004</v>
      </c>
      <c r="H154" s="6" t="n">
        <v>0.5820344878102121</v>
      </c>
      <c r="I154" s="4">
        <f>IFERROR(IF(NOT(H154=""),ABS(ROUNDDOWN(F154-H154, 3 - (1+INT(LOG10(ABS(F154)))))),""),IF(AND(F154=0,NOT(F154="")),ABS(ROUNDDOWN(F154-H154,0)),""))</f>
        <v/>
      </c>
      <c r="J154" s="4">
        <f>IF(NOT(I154=""),IF(I154&lt;=G154,"match",IF(I154&lt;3*G154,"partial match","no match")),"")</f>
        <v/>
      </c>
      <c r="K154" t="inlineStr">
        <is>
          <t>cm_inv_diff_3D_avg</t>
        </is>
      </c>
    </row>
    <row r="155" ht="15" customHeight="1" s="10">
      <c r="A155" t="inlineStr">
        <is>
          <t>configuration C</t>
        </is>
      </c>
      <c r="B155" t="inlineStr">
        <is>
          <t>Co-occurrence matrix (3D, averaged)</t>
        </is>
      </c>
      <c r="C155" t="inlineStr">
        <is>
          <t>Inverse difference normalised</t>
        </is>
      </c>
      <c r="D155" t="inlineStr">
        <is>
          <t>NormalizedInverseDifference</t>
        </is>
      </c>
      <c r="E155" t="inlineStr">
        <is>
          <t>6-9</t>
        </is>
      </c>
      <c r="F155" t="n">
        <v>0.966</v>
      </c>
      <c r="G155" t="n">
        <v>0.001</v>
      </c>
      <c r="H155" s="6" t="n">
        <v>0.966263025862471</v>
      </c>
      <c r="I155" s="4">
        <f>IFERROR(IF(NOT(H155=""),ABS(ROUNDDOWN(F155-H155, 3 - (1+INT(LOG10(ABS(F155)))))),""),IF(AND(F155=0,NOT(F155="")),ABS(ROUNDDOWN(F155-H155,0)),""))</f>
        <v/>
      </c>
      <c r="J155" s="4">
        <f>IF(NOT(I155=""),IF(I155&lt;=G155,"match",IF(I155&lt;3*G155,"partial match","no match")),"")</f>
        <v/>
      </c>
      <c r="K155" t="inlineStr">
        <is>
          <t>cm_inv_diff_norm_3D_avg</t>
        </is>
      </c>
    </row>
    <row r="156" ht="15" customHeight="1" s="10">
      <c r="A156" t="inlineStr">
        <is>
          <t>configuration C</t>
        </is>
      </c>
      <c r="B156" t="inlineStr">
        <is>
          <t>Co-occurrence matrix (3D, averaged)</t>
        </is>
      </c>
      <c r="C156" t="inlineStr">
        <is>
          <t>Inverse difference moment</t>
        </is>
      </c>
      <c r="D156" t="inlineStr">
        <is>
          <t>InverseDifferenceMoment</t>
        </is>
      </c>
      <c r="E156" t="inlineStr">
        <is>
          <t>6-9</t>
        </is>
      </c>
      <c r="F156" t="n">
        <v>0.547</v>
      </c>
      <c r="G156" t="n">
        <v>0.004</v>
      </c>
      <c r="H156" s="6" t="n">
        <v>0.547191280809827</v>
      </c>
      <c r="I156" s="4">
        <f>IFERROR(IF(NOT(H156=""),ABS(ROUNDDOWN(F156-H156, 3 - (1+INT(LOG10(ABS(F156)))))),""),IF(AND(F156=0,NOT(F156="")),ABS(ROUNDDOWN(F156-H156,0)),""))</f>
        <v/>
      </c>
      <c r="J156" s="4">
        <f>IF(NOT(I156=""),IF(I156&lt;=G156,"match",IF(I156&lt;3*G156,"partial match","no match")),"")</f>
        <v/>
      </c>
      <c r="K156" t="inlineStr">
        <is>
          <t>cm_inv_diff_mom_3D_avg</t>
        </is>
      </c>
    </row>
    <row r="157" ht="15" customHeight="1" s="10">
      <c r="A157" t="inlineStr">
        <is>
          <t>configuration C</t>
        </is>
      </c>
      <c r="B157" t="inlineStr">
        <is>
          <t>Co-occurrence matrix (3D, averaged)</t>
        </is>
      </c>
      <c r="C157" t="inlineStr">
        <is>
          <t>Inverse difference moment normalised</t>
        </is>
      </c>
      <c r="D157" t="inlineStr">
        <is>
          <t>NormalizedInverseDifferenceMoment</t>
        </is>
      </c>
      <c r="E157" t="inlineStr">
        <is>
          <t>6-9</t>
        </is>
      </c>
      <c r="F157" t="n">
        <v>0.994</v>
      </c>
      <c r="G157" t="n">
        <v>0.001</v>
      </c>
      <c r="H157" s="8" t="n">
        <v>0.994356868618248</v>
      </c>
      <c r="I157" s="4">
        <f>IFERROR(IF(NOT(H157=""),ABS(ROUNDDOWN(F157-H157, 3 - (1+INT(LOG10(ABS(F157)))))),""),IF(AND(F157=0,NOT(F157="")),ABS(ROUNDDOWN(F157-H157,0)),""))</f>
        <v/>
      </c>
      <c r="J157" s="4">
        <f>IF(NOT(I157=""),IF(I157&lt;=G157,"match",IF(I157&lt;3*G157,"partial match","no match")),"")</f>
        <v/>
      </c>
      <c r="K157" t="inlineStr">
        <is>
          <t>cm_inv_diff_mom_norm_3D_avg</t>
        </is>
      </c>
    </row>
    <row r="158" ht="15" customHeight="1" s="10">
      <c r="A158" t="inlineStr">
        <is>
          <t>configuration C</t>
        </is>
      </c>
      <c r="B158" t="inlineStr">
        <is>
          <t>Co-occurrence matrix (3D, averaged)</t>
        </is>
      </c>
      <c r="C158" t="inlineStr">
        <is>
          <t>Inverse variance</t>
        </is>
      </c>
      <c r="D158" t="inlineStr">
        <is>
          <t>InverseVariance</t>
        </is>
      </c>
      <c r="E158" t="inlineStr">
        <is>
          <t>6-9</t>
        </is>
      </c>
      <c r="F158" t="n">
        <v>0.39</v>
      </c>
      <c r="G158" t="n">
        <v>0.003</v>
      </c>
      <c r="H158" s="6" t="n">
        <v>0.392804654186249</v>
      </c>
      <c r="I158" s="4">
        <f>IFERROR(IF(NOT(H158=""),ABS(ROUNDDOWN(F158-H158, 3 - (1+INT(LOG10(ABS(F158)))))),""),IF(AND(F158=0,NOT(F158="")),ABS(ROUNDDOWN(F158-H158,0)),""))</f>
        <v/>
      </c>
      <c r="J158" s="4">
        <f>IF(NOT(I158=""),IF(I158&lt;=G158,"match",IF(I158&lt;3*G158,"partial match","no match")),"")</f>
        <v/>
      </c>
      <c r="K158" t="inlineStr">
        <is>
          <t>cm_inv_var_3D_avg</t>
        </is>
      </c>
    </row>
    <row r="159" ht="15" customHeight="1" s="10">
      <c r="A159" t="inlineStr">
        <is>
          <t>configuration C</t>
        </is>
      </c>
      <c r="B159" t="inlineStr">
        <is>
          <t>Co-occurrence matrix (3D, averaged)</t>
        </is>
      </c>
      <c r="C159" t="inlineStr">
        <is>
          <t>Correlation</t>
        </is>
      </c>
      <c r="D159" t="inlineStr">
        <is>
          <t>Correlation</t>
        </is>
      </c>
      <c r="E159" t="inlineStr">
        <is>
          <t>6-9</t>
        </is>
      </c>
      <c r="F159" t="n">
        <v>0.869</v>
      </c>
      <c r="G159" t="n">
        <v>0.001</v>
      </c>
      <c r="H159" s="6" t="n">
        <v>0.866708660413846</v>
      </c>
      <c r="I159" s="4">
        <f>IFERROR(IF(NOT(H159=""),ABS(ROUNDDOWN(F159-H159, 3 - (1+INT(LOG10(ABS(F159)))))),""),IF(AND(F159=0,NOT(F159="")),ABS(ROUNDDOWN(F159-H159,0)),""))</f>
        <v/>
      </c>
      <c r="J159" s="4">
        <f>IF(NOT(I159=""),IF(I159&lt;=G159,"match",IF(I159&lt;3*G159,"partial match","no match")),"")</f>
        <v/>
      </c>
      <c r="K159" t="inlineStr">
        <is>
          <t>cm_corr_3D_avg</t>
        </is>
      </c>
    </row>
    <row r="160" ht="15" customHeight="1" s="10">
      <c r="A160" t="inlineStr">
        <is>
          <t>configuration C</t>
        </is>
      </c>
      <c r="B160" t="inlineStr">
        <is>
          <t>Co-occurrence matrix (3D, averaged)</t>
        </is>
      </c>
      <c r="C160" t="inlineStr">
        <is>
          <t>Autocorrelation</t>
        </is>
      </c>
      <c r="D160" t="inlineStr">
        <is>
          <t>Autocorrection</t>
        </is>
      </c>
      <c r="E160" t="inlineStr">
        <is>
          <t>3-5</t>
        </is>
      </c>
      <c r="F160" t="n">
        <v>1580</v>
      </c>
      <c r="G160" t="n">
        <v>10</v>
      </c>
      <c r="H160" s="6" t="n">
        <v>1587.98844202668</v>
      </c>
      <c r="I160" s="4">
        <f>IFERROR(IF(NOT(H160=""),ABS(ROUNDDOWN(F160-H160, 3 - (1+INT(LOG10(ABS(F160)))))),""),IF(AND(F160=0,NOT(F160="")),ABS(ROUNDDOWN(F160-H160,0)),""))</f>
        <v/>
      </c>
      <c r="J160" s="4">
        <f>IF(NOT(I160=""),IF(I160&lt;=G160,"match",IF(I160&lt;3*G160,"partial match","no match")),"")</f>
        <v/>
      </c>
      <c r="K160" t="inlineStr">
        <is>
          <t>cm_auto_corr_3D_avg</t>
        </is>
      </c>
    </row>
    <row r="161" ht="15" customHeight="1" s="10">
      <c r="A161" t="inlineStr">
        <is>
          <t>configuration C</t>
        </is>
      </c>
      <c r="B161" t="inlineStr">
        <is>
          <t>Co-occurrence matrix (3D, averaged)</t>
        </is>
      </c>
      <c r="C161" t="inlineStr">
        <is>
          <t>Cluster tendency</t>
        </is>
      </c>
      <c r="D161" t="inlineStr">
        <is>
          <t>ClusterTendency</t>
        </is>
      </c>
      <c r="E161" t="inlineStr">
        <is>
          <t>6-9</t>
        </is>
      </c>
      <c r="F161" t="n">
        <v>276</v>
      </c>
      <c r="G161" t="n">
        <v>8</v>
      </c>
      <c r="H161" s="6" t="n">
        <v>270.336492831773</v>
      </c>
      <c r="I161" s="4">
        <f>IFERROR(IF(NOT(H161=""),ABS(ROUNDDOWN(F161-H161, 3 - (1+INT(LOG10(ABS(F161)))))),""),IF(AND(F161=0,NOT(F161="")),ABS(ROUNDDOWN(F161-H161,0)),""))</f>
        <v/>
      </c>
      <c r="J161" s="4">
        <f>IF(NOT(I161=""),IF(I161&lt;=G161,"match",IF(I161&lt;3*G161,"partial match","no match")),"")</f>
        <v/>
      </c>
      <c r="K161" t="inlineStr">
        <is>
          <t>cm_clust_tend_3D_avg</t>
        </is>
      </c>
    </row>
    <row r="162" ht="15" customHeight="1" s="10">
      <c r="A162" t="inlineStr">
        <is>
          <t>configuration C</t>
        </is>
      </c>
      <c r="B162" t="inlineStr">
        <is>
          <t>Co-occurrence matrix (3D, averaged)</t>
        </is>
      </c>
      <c r="C162" t="inlineStr">
        <is>
          <t>Cluster shade</t>
        </is>
      </c>
      <c r="D162" t="inlineStr">
        <is>
          <t>ClusterShade</t>
        </is>
      </c>
      <c r="E162" t="inlineStr">
        <is>
          <t>6-9</t>
        </is>
      </c>
      <c r="F162" t="n">
        <v>-10600</v>
      </c>
      <c r="G162" t="n">
        <v>300</v>
      </c>
      <c r="H162" s="6" t="n">
        <v>-10529.09507981</v>
      </c>
      <c r="I162" s="4">
        <f>IFERROR(IF(NOT(H162=""),ABS(ROUNDDOWN(F162-H162, 3 - (1+INT(LOG10(ABS(F162)))))),""),IF(AND(F162=0,NOT(F162="")),ABS(ROUNDDOWN(F162-H162,0)),""))</f>
        <v/>
      </c>
      <c r="J162" s="4">
        <f>IF(NOT(I162=""),IF(I162&lt;=G162,"match",IF(I162&lt;3*G162,"partial match","no match")),"")</f>
        <v/>
      </c>
      <c r="K162" t="inlineStr">
        <is>
          <t>cm_clust_shade_3D_avg</t>
        </is>
      </c>
    </row>
    <row r="163" ht="15" customHeight="1" s="10">
      <c r="A163" t="inlineStr">
        <is>
          <t>configuration C</t>
        </is>
      </c>
      <c r="B163" t="inlineStr">
        <is>
          <t>Co-occurrence matrix (3D, averaged)</t>
        </is>
      </c>
      <c r="C163" t="inlineStr">
        <is>
          <t>Cluster prominence</t>
        </is>
      </c>
      <c r="D163" t="inlineStr">
        <is>
          <t>ClusterProminence</t>
        </is>
      </c>
      <c r="E163" t="inlineStr">
        <is>
          <t>6-9</t>
        </is>
      </c>
      <c r="F163" t="n">
        <v>569000</v>
      </c>
      <c r="G163" t="n">
        <v>11000</v>
      </c>
      <c r="H163" s="6" t="n">
        <v>566173.4098269671</v>
      </c>
      <c r="I163" s="4">
        <f>IFERROR(IF(NOT(H163=""),ABS(ROUNDDOWN(F163-H163, 3 - (1+INT(LOG10(ABS(F163)))))),""),IF(AND(F163=0,NOT(F163="")),ABS(ROUNDDOWN(F163-H163,0)),""))</f>
        <v/>
      </c>
      <c r="J163" s="4">
        <f>IF(NOT(I163=""),IF(I163&lt;=G163,"match",IF(I163&lt;3*G163,"partial match","no match")),"")</f>
        <v/>
      </c>
      <c r="K163" t="inlineStr">
        <is>
          <t>cm_clust_prom_3D_avg</t>
        </is>
      </c>
    </row>
    <row r="164" ht="15" customHeight="1" s="10">
      <c r="A164" t="inlineStr">
        <is>
          <t>configuration C</t>
        </is>
      </c>
      <c r="B164" t="inlineStr">
        <is>
          <t>Co-occurrence matrix (3D, averaged)</t>
        </is>
      </c>
      <c r="C164" t="inlineStr">
        <is>
          <t>Information correlation 1</t>
        </is>
      </c>
      <c r="D164" t="inlineStr">
        <is>
          <t>InformationalMeasureOfCorrelation1</t>
        </is>
      </c>
      <c r="E164" t="inlineStr">
        <is>
          <t>6-9</t>
        </is>
      </c>
      <c r="F164" t="n">
        <v>-0.236</v>
      </c>
      <c r="G164" t="n">
        <v>0.001</v>
      </c>
      <c r="H164" s="6" t="n">
        <v>-0.231926366437719</v>
      </c>
      <c r="I164" s="4">
        <f>IFERROR(IF(NOT(H164=""),ABS(ROUNDDOWN(F164-H164, 3 - (1+INT(LOG10(ABS(F164)))))),""),IF(AND(F164=0,NOT(F164="")),ABS(ROUNDDOWN(F164-H164,0)),""))</f>
        <v/>
      </c>
      <c r="J164" s="4">
        <f>IF(NOT(I164=""),IF(I164&lt;=G164,"match",IF(I164&lt;3*G164,"partial match","no match")),"")</f>
        <v/>
      </c>
      <c r="K164" t="inlineStr">
        <is>
          <t>cm_info_corr1_3D_avg</t>
        </is>
      </c>
    </row>
    <row r="165" ht="15" customHeight="1" s="10">
      <c r="A165" t="inlineStr">
        <is>
          <t>configuration C</t>
        </is>
      </c>
      <c r="B165" t="inlineStr">
        <is>
          <t>Co-occurrence matrix (3D, averaged)</t>
        </is>
      </c>
      <c r="C165" t="inlineStr">
        <is>
          <t>Information correlation 2</t>
        </is>
      </c>
      <c r="D165" t="inlineStr">
        <is>
          <t>InformationalMeasureOfCorrelation2</t>
        </is>
      </c>
      <c r="E165" t="inlineStr">
        <is>
          <t>6-9</t>
        </is>
      </c>
      <c r="F165" t="n">
        <v>0.9</v>
      </c>
      <c r="G165" t="n">
        <v>0.001</v>
      </c>
      <c r="H165" s="6" t="n">
        <v>0.896171924125713</v>
      </c>
      <c r="I165" s="4">
        <f>IFERROR(IF(NOT(H165=""),ABS(ROUNDDOWN(F165-H165, 3 - (1+INT(LOG10(ABS(F165)))))),""),IF(AND(F165=0,NOT(F165="")),ABS(ROUNDDOWN(F165-H165,0)),""))</f>
        <v/>
      </c>
      <c r="J165" s="4">
        <f>IF(NOT(I165=""),IF(I165&lt;=G165,"match",IF(I165&lt;3*G165,"partial match","no match")),"")</f>
        <v/>
      </c>
      <c r="K165" t="inlineStr">
        <is>
          <t>cm_info_corr2_3D_avg</t>
        </is>
      </c>
    </row>
    <row r="166" ht="15" customHeight="1" s="10">
      <c r="A166" t="inlineStr">
        <is>
          <t>configuration C</t>
        </is>
      </c>
      <c r="B166" t="inlineStr">
        <is>
          <t>Co-occurrence matrix (3D, merged)</t>
        </is>
      </c>
      <c r="C166" t="inlineStr">
        <is>
          <t>Joint maximum</t>
        </is>
      </c>
      <c r="E166" t="inlineStr">
        <is>
          <t>6-9</t>
        </is>
      </c>
      <c r="F166" t="n">
        <v>0.111</v>
      </c>
      <c r="G166" t="n">
        <v>0.002</v>
      </c>
      <c r="H166" s="6" t="n"/>
      <c r="I166" s="4">
        <f>IFERROR(IF(NOT(H166=""),ABS(ROUNDDOWN(F166-H166, 3 - (1+INT(LOG10(ABS(F166)))))),""),IF(AND(F166=0,NOT(F166="")),ABS(ROUNDDOWN(F166-H166,0)),""))</f>
        <v/>
      </c>
      <c r="J166" s="4">
        <f>IF(NOT(I166=""),IF(I166&lt;=G166,"match",IF(I166&lt;3*G166,"partial match","no match")),"")</f>
        <v/>
      </c>
      <c r="K166" t="inlineStr">
        <is>
          <t>cm_joint_max_3D_comb</t>
        </is>
      </c>
    </row>
    <row r="167" ht="15" customHeight="1" s="10">
      <c r="A167" t="inlineStr">
        <is>
          <t>configuration C</t>
        </is>
      </c>
      <c r="B167" t="inlineStr">
        <is>
          <t>Co-occurrence matrix (3D, merged)</t>
        </is>
      </c>
      <c r="C167" t="inlineStr">
        <is>
          <t>Joint average</t>
        </is>
      </c>
      <c r="E167" t="inlineStr">
        <is>
          <t>3-5</t>
        </is>
      </c>
      <c r="F167" t="n">
        <v>39</v>
      </c>
      <c r="G167" t="n">
        <v>0.2</v>
      </c>
      <c r="H167" s="6" t="n"/>
      <c r="I167" s="4">
        <f>IFERROR(IF(NOT(H167=""),ABS(ROUNDDOWN(F167-H167, 3 - (1+INT(LOG10(ABS(F167)))))),""),IF(AND(F167=0,NOT(F167="")),ABS(ROUNDDOWN(F167-H167,0)),""))</f>
        <v/>
      </c>
      <c r="J167" s="4">
        <f>IF(NOT(I167=""),IF(I167&lt;=G167,"match",IF(I167&lt;3*G167,"partial match","no match")),"")</f>
        <v/>
      </c>
      <c r="K167" t="inlineStr">
        <is>
          <t>cm_joint_avg_3D_comb</t>
        </is>
      </c>
    </row>
    <row r="168" ht="15" customHeight="1" s="10">
      <c r="A168" t="inlineStr">
        <is>
          <t>configuration C</t>
        </is>
      </c>
      <c r="B168" t="inlineStr">
        <is>
          <t>Co-occurrence matrix (3D, merged)</t>
        </is>
      </c>
      <c r="C168" t="inlineStr">
        <is>
          <t>Joint variance</t>
        </is>
      </c>
      <c r="E168" t="inlineStr">
        <is>
          <t>6-9</t>
        </is>
      </c>
      <c r="F168" t="n">
        <v>73.8</v>
      </c>
      <c r="G168" t="n">
        <v>2</v>
      </c>
      <c r="H168" s="6" t="n"/>
      <c r="I168" s="4">
        <f>IFERROR(IF(NOT(H168=""),ABS(ROUNDDOWN(F168-H168, 3 - (1+INT(LOG10(ABS(F168)))))),""),IF(AND(F168=0,NOT(F168="")),ABS(ROUNDDOWN(F168-H168,0)),""))</f>
        <v/>
      </c>
      <c r="J168" s="4">
        <f>IF(NOT(I168=""),IF(I168&lt;=G168,"match",IF(I168&lt;3*G168,"partial match","no match")),"")</f>
        <v/>
      </c>
      <c r="K168" t="inlineStr">
        <is>
          <t>cm_joint_var_3D_comb</t>
        </is>
      </c>
    </row>
    <row r="169" ht="15" customHeight="1" s="10">
      <c r="A169" t="inlineStr">
        <is>
          <t>configuration C</t>
        </is>
      </c>
      <c r="B169" t="inlineStr">
        <is>
          <t>Co-occurrence matrix (3D, merged)</t>
        </is>
      </c>
      <c r="C169" t="inlineStr">
        <is>
          <t>Joint entropy</t>
        </is>
      </c>
      <c r="E169" t="inlineStr">
        <is>
          <t>6-9</t>
        </is>
      </c>
      <c r="F169" t="n">
        <v>6.42</v>
      </c>
      <c r="G169" t="n">
        <v>0.06</v>
      </c>
      <c r="H169" s="6" t="n"/>
      <c r="I169" s="4">
        <f>IFERROR(IF(NOT(H169=""),ABS(ROUNDDOWN(F169-H169, 3 - (1+INT(LOG10(ABS(F169)))))),""),IF(AND(F169=0,NOT(F169="")),ABS(ROUNDDOWN(F169-H169,0)),""))</f>
        <v/>
      </c>
      <c r="J169" s="4">
        <f>IF(NOT(I169=""),IF(I169&lt;=G169,"match",IF(I169&lt;3*G169,"partial match","no match")),"")</f>
        <v/>
      </c>
      <c r="K169" t="inlineStr">
        <is>
          <t>cm_joint_entr_3D_comb</t>
        </is>
      </c>
    </row>
    <row r="170" ht="15" customHeight="1" s="10">
      <c r="A170" t="inlineStr">
        <is>
          <t>configuration C</t>
        </is>
      </c>
      <c r="B170" t="inlineStr">
        <is>
          <t>Co-occurrence matrix (3D, merged)</t>
        </is>
      </c>
      <c r="C170" t="inlineStr">
        <is>
          <t>Difference average</t>
        </is>
      </c>
      <c r="E170" t="inlineStr">
        <is>
          <t>6-9</t>
        </is>
      </c>
      <c r="F170" t="n">
        <v>2.16</v>
      </c>
      <c r="G170" t="n">
        <v>0.05</v>
      </c>
      <c r="H170" s="6" t="n"/>
      <c r="I170" s="4">
        <f>IFERROR(IF(NOT(H170=""),ABS(ROUNDDOWN(F170-H170, 3 - (1+INT(LOG10(ABS(F170)))))),""),IF(AND(F170=0,NOT(F170="")),ABS(ROUNDDOWN(F170-H170,0)),""))</f>
        <v/>
      </c>
      <c r="J170" s="4">
        <f>IF(NOT(I170=""),IF(I170&lt;=G170,"match",IF(I170&lt;3*G170,"partial match","no match")),"")</f>
        <v/>
      </c>
      <c r="K170" t="inlineStr">
        <is>
          <t>cm_diff_avg_3D_comb</t>
        </is>
      </c>
    </row>
    <row r="171" ht="15" customHeight="1" s="10">
      <c r="A171" t="inlineStr">
        <is>
          <t>configuration C</t>
        </is>
      </c>
      <c r="B171" t="inlineStr">
        <is>
          <t>Co-occurrence matrix (3D, merged)</t>
        </is>
      </c>
      <c r="C171" t="inlineStr">
        <is>
          <t>Difference variance</t>
        </is>
      </c>
      <c r="E171" t="inlineStr">
        <is>
          <t>6-9</t>
        </is>
      </c>
      <c r="F171" t="n">
        <v>14.4</v>
      </c>
      <c r="G171" t="n">
        <v>0.5</v>
      </c>
      <c r="H171" s="6" t="n"/>
      <c r="I171" s="4">
        <f>IFERROR(IF(NOT(H171=""),ABS(ROUNDDOWN(F171-H171, 3 - (1+INT(LOG10(ABS(F171)))))),""),IF(AND(F171=0,NOT(F171="")),ABS(ROUNDDOWN(F171-H171,0)),""))</f>
        <v/>
      </c>
      <c r="J171" s="4">
        <f>IF(NOT(I171=""),IF(I171&lt;=G171,"match",IF(I171&lt;3*G171,"partial match","no match")),"")</f>
        <v/>
      </c>
      <c r="K171" t="inlineStr">
        <is>
          <t>cm_diff_var_3D_comb</t>
        </is>
      </c>
    </row>
    <row r="172" ht="15" customHeight="1" s="10">
      <c r="A172" t="inlineStr">
        <is>
          <t>configuration C</t>
        </is>
      </c>
      <c r="B172" t="inlineStr">
        <is>
          <t>Co-occurrence matrix (3D, merged)</t>
        </is>
      </c>
      <c r="C172" t="inlineStr">
        <is>
          <t>Difference entropy</t>
        </is>
      </c>
      <c r="E172" t="inlineStr">
        <is>
          <t>6-9</t>
        </is>
      </c>
      <c r="F172" t="n">
        <v>2.64</v>
      </c>
      <c r="G172" t="n">
        <v>0.03</v>
      </c>
      <c r="H172" s="6" t="n"/>
      <c r="I172" s="4">
        <f>IFERROR(IF(NOT(H172=""),ABS(ROUNDDOWN(F172-H172, 3 - (1+INT(LOG10(ABS(F172)))))),""),IF(AND(F172=0,NOT(F172="")),ABS(ROUNDDOWN(F172-H172,0)),""))</f>
        <v/>
      </c>
      <c r="J172" s="4">
        <f>IF(NOT(I172=""),IF(I172&lt;=G172,"match",IF(I172&lt;3*G172,"partial match","no match")),"")</f>
        <v/>
      </c>
      <c r="K172" t="inlineStr">
        <is>
          <t>cm_diff_entr_3D_comb</t>
        </is>
      </c>
    </row>
    <row r="173" ht="15" customHeight="1" s="10">
      <c r="A173" t="inlineStr">
        <is>
          <t>configuration C</t>
        </is>
      </c>
      <c r="B173" t="inlineStr">
        <is>
          <t>Co-occurrence matrix (3D, merged)</t>
        </is>
      </c>
      <c r="C173" t="inlineStr">
        <is>
          <t>Sum average</t>
        </is>
      </c>
      <c r="E173" t="inlineStr">
        <is>
          <t>3-5</t>
        </is>
      </c>
      <c r="F173" t="n">
        <v>78</v>
      </c>
      <c r="G173" t="n">
        <v>0.3</v>
      </c>
      <c r="H173" s="6" t="n"/>
      <c r="I173" s="4">
        <f>IFERROR(IF(NOT(H173=""),ABS(ROUNDDOWN(F173-H173, 3 - (1+INT(LOG10(ABS(F173)))))),""),IF(AND(F173=0,NOT(F173="")),ABS(ROUNDDOWN(F173-H173,0)),""))</f>
        <v/>
      </c>
      <c r="J173" s="4">
        <f>IF(NOT(I173=""),IF(I173&lt;=G173,"match",IF(I173&lt;3*G173,"partial match","no match")),"")</f>
        <v/>
      </c>
      <c r="K173" t="inlineStr">
        <is>
          <t>cm_sum_avg_3D_comb</t>
        </is>
      </c>
    </row>
    <row r="174" ht="15" customHeight="1" s="10">
      <c r="A174" t="inlineStr">
        <is>
          <t>configuration C</t>
        </is>
      </c>
      <c r="B174" t="inlineStr">
        <is>
          <t>Co-occurrence matrix (3D, merged)</t>
        </is>
      </c>
      <c r="C174" t="inlineStr">
        <is>
          <t>Sum variance</t>
        </is>
      </c>
      <c r="E174" t="inlineStr">
        <is>
          <t>6-9</t>
        </is>
      </c>
      <c r="F174" t="n">
        <v>276</v>
      </c>
      <c r="G174" t="n">
        <v>8</v>
      </c>
      <c r="H174" s="6" t="n"/>
      <c r="I174" s="4">
        <f>IFERROR(IF(NOT(H174=""),ABS(ROUNDDOWN(F174-H174, 3 - (1+INT(LOG10(ABS(F174)))))),""),IF(AND(F174=0,NOT(F174="")),ABS(ROUNDDOWN(F174-H174,0)),""))</f>
        <v/>
      </c>
      <c r="J174" s="4">
        <f>IF(NOT(I174=""),IF(I174&lt;=G174,"match",IF(I174&lt;3*G174,"partial match","no match")),"")</f>
        <v/>
      </c>
      <c r="K174" t="inlineStr">
        <is>
          <t>cm_sum_var_3D_comb</t>
        </is>
      </c>
    </row>
    <row r="175" ht="15" customHeight="1" s="10">
      <c r="A175" t="inlineStr">
        <is>
          <t>configuration C</t>
        </is>
      </c>
      <c r="B175" t="inlineStr">
        <is>
          <t>Co-occurrence matrix (3D, merged)</t>
        </is>
      </c>
      <c r="C175" t="inlineStr">
        <is>
          <t>Sum entropy</t>
        </is>
      </c>
      <c r="E175" t="inlineStr">
        <is>
          <t>6-9</t>
        </is>
      </c>
      <c r="F175" t="n">
        <v>4.56</v>
      </c>
      <c r="G175" t="n">
        <v>0.04</v>
      </c>
      <c r="H175" s="6" t="n"/>
      <c r="I175" s="4">
        <f>IFERROR(IF(NOT(H175=""),ABS(ROUNDDOWN(F175-H175, 3 - (1+INT(LOG10(ABS(F175)))))),""),IF(AND(F175=0,NOT(F175="")),ABS(ROUNDDOWN(F175-H175,0)),""))</f>
        <v/>
      </c>
      <c r="J175" s="4">
        <f>IF(NOT(I175=""),IF(I175&lt;=G175,"match",IF(I175&lt;3*G175,"partial match","no match")),"")</f>
        <v/>
      </c>
      <c r="K175" t="inlineStr">
        <is>
          <t>cm_sum_entr_3D_comb</t>
        </is>
      </c>
    </row>
    <row r="176" ht="15" customHeight="1" s="10">
      <c r="A176" t="inlineStr">
        <is>
          <t>configuration C</t>
        </is>
      </c>
      <c r="B176" t="inlineStr">
        <is>
          <t>Co-occurrence matrix (3D, merged)</t>
        </is>
      </c>
      <c r="C176" t="inlineStr">
        <is>
          <t>Angular second moment</t>
        </is>
      </c>
      <c r="E176" t="inlineStr">
        <is>
          <t>6-9</t>
        </is>
      </c>
      <c r="F176" t="n">
        <v>0.0447</v>
      </c>
      <c r="G176" t="n">
        <v>0.001</v>
      </c>
      <c r="H176" s="6" t="n"/>
      <c r="I176" s="4">
        <f>IFERROR(IF(NOT(H176=""),ABS(ROUNDDOWN(F176-H176, 3 - (1+INT(LOG10(ABS(F176)))))),""),IF(AND(F176=0,NOT(F176="")),ABS(ROUNDDOWN(F176-H176,0)),""))</f>
        <v/>
      </c>
      <c r="J176" s="4">
        <f>IF(NOT(I176=""),IF(I176&lt;=G176,"match",IF(I176&lt;3*G176,"partial match","no match")),"")</f>
        <v/>
      </c>
      <c r="K176" t="inlineStr">
        <is>
          <t>cm_energy_3D_comb</t>
        </is>
      </c>
    </row>
    <row r="177" ht="15" customHeight="1" s="10">
      <c r="A177" t="inlineStr">
        <is>
          <t>configuration C</t>
        </is>
      </c>
      <c r="B177" t="inlineStr">
        <is>
          <t>Co-occurrence matrix (3D, merged)</t>
        </is>
      </c>
      <c r="C177" t="inlineStr">
        <is>
          <t>Contrast</t>
        </is>
      </c>
      <c r="E177" t="inlineStr">
        <is>
          <t>6-9</t>
        </is>
      </c>
      <c r="F177" t="n">
        <v>19.1</v>
      </c>
      <c r="G177" t="n">
        <v>0.7</v>
      </c>
      <c r="H177" s="6" t="n"/>
      <c r="I177" s="4">
        <f>IFERROR(IF(NOT(H177=""),ABS(ROUNDDOWN(F177-H177, 3 - (1+INT(LOG10(ABS(F177)))))),""),IF(AND(F177=0,NOT(F177="")),ABS(ROUNDDOWN(F177-H177,0)),""))</f>
        <v/>
      </c>
      <c r="J177" s="4">
        <f>IF(NOT(I177=""),IF(I177&lt;=G177,"match",IF(I177&lt;3*G177,"partial match","no match")),"")</f>
        <v/>
      </c>
      <c r="K177" t="inlineStr">
        <is>
          <t>cm_contrast_3D_comb</t>
        </is>
      </c>
    </row>
    <row r="178" ht="15" customHeight="1" s="10">
      <c r="A178" t="inlineStr">
        <is>
          <t>configuration C</t>
        </is>
      </c>
      <c r="B178" t="inlineStr">
        <is>
          <t>Co-occurrence matrix (3D, merged)</t>
        </is>
      </c>
      <c r="C178" t="inlineStr">
        <is>
          <t>Dissimilarity</t>
        </is>
      </c>
      <c r="E178" t="inlineStr">
        <is>
          <t>6-9</t>
        </is>
      </c>
      <c r="F178" t="n">
        <v>2.16</v>
      </c>
      <c r="G178" t="n">
        <v>0.05</v>
      </c>
      <c r="H178" s="6" t="n"/>
      <c r="I178" s="4">
        <f>IFERROR(IF(NOT(H178=""),ABS(ROUNDDOWN(F178-H178, 3 - (1+INT(LOG10(ABS(F178)))))),""),IF(AND(F178=0,NOT(F178="")),ABS(ROUNDDOWN(F178-H178,0)),""))</f>
        <v/>
      </c>
      <c r="J178" s="4">
        <f>IF(NOT(I178=""),IF(I178&lt;=G178,"match",IF(I178&lt;3*G178,"partial match","no match")),"")</f>
        <v/>
      </c>
      <c r="K178" t="inlineStr">
        <is>
          <t>cm_dissimilarity_3D_comb</t>
        </is>
      </c>
    </row>
    <row r="179" ht="15" customHeight="1" s="10">
      <c r="A179" t="inlineStr">
        <is>
          <t>configuration C</t>
        </is>
      </c>
      <c r="B179" t="inlineStr">
        <is>
          <t>Co-occurrence matrix (3D, merged)</t>
        </is>
      </c>
      <c r="C179" t="inlineStr">
        <is>
          <t>Inverse difference</t>
        </is>
      </c>
      <c r="E179" t="inlineStr">
        <is>
          <t>6-9</t>
        </is>
      </c>
      <c r="F179" t="n">
        <v>0.583</v>
      </c>
      <c r="G179" t="n">
        <v>0.004</v>
      </c>
      <c r="H179" s="6" t="n"/>
      <c r="I179" s="4">
        <f>IFERROR(IF(NOT(H179=""),ABS(ROUNDDOWN(F179-H179, 3 - (1+INT(LOG10(ABS(F179)))))),""),IF(AND(F179=0,NOT(F179="")),ABS(ROUNDDOWN(F179-H179,0)),""))</f>
        <v/>
      </c>
      <c r="J179" s="4">
        <f>IF(NOT(I179=""),IF(I179&lt;=G179,"match",IF(I179&lt;3*G179,"partial match","no match")),"")</f>
        <v/>
      </c>
      <c r="K179" t="inlineStr">
        <is>
          <t>cm_inv_diff_3D_comb</t>
        </is>
      </c>
    </row>
    <row r="180" ht="15" customHeight="1" s="10">
      <c r="A180" t="inlineStr">
        <is>
          <t>configuration C</t>
        </is>
      </c>
      <c r="B180" t="inlineStr">
        <is>
          <t>Co-occurrence matrix (3D, merged)</t>
        </is>
      </c>
      <c r="C180" t="inlineStr">
        <is>
          <t>Inverse difference normalised</t>
        </is>
      </c>
      <c r="E180" t="inlineStr">
        <is>
          <t>6-9</t>
        </is>
      </c>
      <c r="F180" t="n">
        <v>0.966</v>
      </c>
      <c r="G180" t="n">
        <v>0.001</v>
      </c>
      <c r="H180" s="6" t="n"/>
      <c r="I180" s="4">
        <f>IFERROR(IF(NOT(H180=""),ABS(ROUNDDOWN(F180-H180, 3 - (1+INT(LOG10(ABS(F180)))))),""),IF(AND(F180=0,NOT(F180="")),ABS(ROUNDDOWN(F180-H180,0)),""))</f>
        <v/>
      </c>
      <c r="J180" s="4">
        <f>IF(NOT(I180=""),IF(I180&lt;=G180,"match",IF(I180&lt;3*G180,"partial match","no match")),"")</f>
        <v/>
      </c>
      <c r="K180" t="inlineStr">
        <is>
          <t>cm_inv_diff_norm_3D_comb</t>
        </is>
      </c>
    </row>
    <row r="181" ht="15" customHeight="1" s="10">
      <c r="A181" t="inlineStr">
        <is>
          <t>configuration C</t>
        </is>
      </c>
      <c r="B181" t="inlineStr">
        <is>
          <t>Co-occurrence matrix (3D, merged)</t>
        </is>
      </c>
      <c r="C181" t="inlineStr">
        <is>
          <t>Inverse difference moment</t>
        </is>
      </c>
      <c r="E181" t="inlineStr">
        <is>
          <t>6-9</t>
        </is>
      </c>
      <c r="F181" t="n">
        <v>0.548</v>
      </c>
      <c r="G181" t="n">
        <v>0.004</v>
      </c>
      <c r="H181" s="6" t="n"/>
      <c r="I181" s="4">
        <f>IFERROR(IF(NOT(H181=""),ABS(ROUNDDOWN(F181-H181, 3 - (1+INT(LOG10(ABS(F181)))))),""),IF(AND(F181=0,NOT(F181="")),ABS(ROUNDDOWN(F181-H181,0)),""))</f>
        <v/>
      </c>
      <c r="J181" s="4">
        <f>IF(NOT(I181=""),IF(I181&lt;=G181,"match",IF(I181&lt;3*G181,"partial match","no match")),"")</f>
        <v/>
      </c>
      <c r="K181" t="inlineStr">
        <is>
          <t>cm_inv_diff_mom_3D_comb</t>
        </is>
      </c>
    </row>
    <row r="182" ht="15" customHeight="1" s="10">
      <c r="A182" t="inlineStr">
        <is>
          <t>configuration C</t>
        </is>
      </c>
      <c r="B182" t="inlineStr">
        <is>
          <t>Co-occurrence matrix (3D, merged)</t>
        </is>
      </c>
      <c r="C182" t="inlineStr">
        <is>
          <t>Inverse difference moment normalised</t>
        </is>
      </c>
      <c r="E182" t="inlineStr">
        <is>
          <t>6-9</t>
        </is>
      </c>
      <c r="F182" t="n">
        <v>0.994</v>
      </c>
      <c r="G182" t="n">
        <v>0.001</v>
      </c>
      <c r="H182" s="8" t="n"/>
      <c r="I182" s="4">
        <f>IFERROR(IF(NOT(H182=""),ABS(ROUNDDOWN(F182-H182, 3 - (1+INT(LOG10(ABS(F182)))))),""),IF(AND(F182=0,NOT(F182="")),ABS(ROUNDDOWN(F182-H182,0)),""))</f>
        <v/>
      </c>
      <c r="J182" s="4">
        <f>IF(NOT(I182=""),IF(I182&lt;=G182,"match",IF(I182&lt;3*G182,"partial match","no match")),"")</f>
        <v/>
      </c>
      <c r="K182" t="inlineStr">
        <is>
          <t>cm_inv_diff_mom_norm_3D_comb</t>
        </is>
      </c>
    </row>
    <row r="183" ht="15" customHeight="1" s="10">
      <c r="A183" t="inlineStr">
        <is>
          <t>configuration C</t>
        </is>
      </c>
      <c r="B183" t="inlineStr">
        <is>
          <t>Co-occurrence matrix (3D, merged)</t>
        </is>
      </c>
      <c r="C183" t="inlineStr">
        <is>
          <t>Inverse variance</t>
        </is>
      </c>
      <c r="E183" t="inlineStr">
        <is>
          <t>6-9</t>
        </is>
      </c>
      <c r="F183" t="n">
        <v>0.39</v>
      </c>
      <c r="G183" t="n">
        <v>0.003</v>
      </c>
      <c r="H183" s="6" t="n"/>
      <c r="I183" s="4">
        <f>IFERROR(IF(NOT(H183=""),ABS(ROUNDDOWN(F183-H183, 3 - (1+INT(LOG10(ABS(F183)))))),""),IF(AND(F183=0,NOT(F183="")),ABS(ROUNDDOWN(F183-H183,0)),""))</f>
        <v/>
      </c>
      <c r="J183" s="4">
        <f>IF(NOT(I183=""),IF(I183&lt;=G183,"match",IF(I183&lt;3*G183,"partial match","no match")),"")</f>
        <v/>
      </c>
      <c r="K183" t="inlineStr">
        <is>
          <t>cm_inv_var_3D_comb</t>
        </is>
      </c>
    </row>
    <row r="184" ht="15" customHeight="1" s="10">
      <c r="A184" t="inlineStr">
        <is>
          <t>configuration C</t>
        </is>
      </c>
      <c r="B184" t="inlineStr">
        <is>
          <t>Co-occurrence matrix (3D, merged)</t>
        </is>
      </c>
      <c r="C184" t="inlineStr">
        <is>
          <t>Correlation</t>
        </is>
      </c>
      <c r="E184" t="inlineStr">
        <is>
          <t>6-9</t>
        </is>
      </c>
      <c r="F184" t="n">
        <v>0.871</v>
      </c>
      <c r="G184" t="n">
        <v>0.001</v>
      </c>
      <c r="H184" s="6" t="n"/>
      <c r="I184" s="4">
        <f>IFERROR(IF(NOT(H184=""),ABS(ROUNDDOWN(F184-H184, 3 - (1+INT(LOG10(ABS(F184)))))),""),IF(AND(F184=0,NOT(F184="")),ABS(ROUNDDOWN(F184-H184,0)),""))</f>
        <v/>
      </c>
      <c r="J184" s="4">
        <f>IF(NOT(I184=""),IF(I184&lt;=G184,"match",IF(I184&lt;3*G184,"partial match","no match")),"")</f>
        <v/>
      </c>
      <c r="K184" t="inlineStr">
        <is>
          <t>cm_corr_3D_comb</t>
        </is>
      </c>
    </row>
    <row r="185" ht="15" customHeight="1" s="10">
      <c r="A185" t="inlineStr">
        <is>
          <t>configuration C</t>
        </is>
      </c>
      <c r="B185" t="inlineStr">
        <is>
          <t>Co-occurrence matrix (3D, merged)</t>
        </is>
      </c>
      <c r="C185" t="inlineStr">
        <is>
          <t>Autocorrelation</t>
        </is>
      </c>
      <c r="E185" t="inlineStr">
        <is>
          <t>3-5</t>
        </is>
      </c>
      <c r="F185" t="n">
        <v>1580</v>
      </c>
      <c r="G185" t="n">
        <v>10</v>
      </c>
      <c r="H185" s="6" t="n"/>
      <c r="I185" s="4">
        <f>IFERROR(IF(NOT(H185=""),ABS(ROUNDDOWN(F185-H185, 3 - (1+INT(LOG10(ABS(F185)))))),""),IF(AND(F185=0,NOT(F185="")),ABS(ROUNDDOWN(F185-H185,0)),""))</f>
        <v/>
      </c>
      <c r="J185" s="4">
        <f>IF(NOT(I185=""),IF(I185&lt;=G185,"match",IF(I185&lt;3*G185,"partial match","no match")),"")</f>
        <v/>
      </c>
      <c r="K185" t="inlineStr">
        <is>
          <t>cm_auto_corr_3D_comb</t>
        </is>
      </c>
    </row>
    <row r="186" ht="15" customHeight="1" s="10">
      <c r="A186" t="inlineStr">
        <is>
          <t>configuration C</t>
        </is>
      </c>
      <c r="B186" t="inlineStr">
        <is>
          <t>Co-occurrence matrix (3D, merged)</t>
        </is>
      </c>
      <c r="C186" t="inlineStr">
        <is>
          <t>Cluster tendency</t>
        </is>
      </c>
      <c r="E186" t="inlineStr">
        <is>
          <t>6-9</t>
        </is>
      </c>
      <c r="F186" t="n">
        <v>276</v>
      </c>
      <c r="G186" t="n">
        <v>8</v>
      </c>
      <c r="H186" s="6" t="n"/>
      <c r="I186" s="4">
        <f>IFERROR(IF(NOT(H186=""),ABS(ROUNDDOWN(F186-H186, 3 - (1+INT(LOG10(ABS(F186)))))),""),IF(AND(F186=0,NOT(F186="")),ABS(ROUNDDOWN(F186-H186,0)),""))</f>
        <v/>
      </c>
      <c r="J186" s="4">
        <f>IF(NOT(I186=""),IF(I186&lt;=G186,"match",IF(I186&lt;3*G186,"partial match","no match")),"")</f>
        <v/>
      </c>
      <c r="K186" t="inlineStr">
        <is>
          <t>cm_clust_tend_3D_comb</t>
        </is>
      </c>
    </row>
    <row r="187" ht="15" customHeight="1" s="10">
      <c r="A187" t="inlineStr">
        <is>
          <t>configuration C</t>
        </is>
      </c>
      <c r="B187" t="inlineStr">
        <is>
          <t>Co-occurrence matrix (3D, merged)</t>
        </is>
      </c>
      <c r="C187" t="inlineStr">
        <is>
          <t>Cluster shade</t>
        </is>
      </c>
      <c r="E187" t="inlineStr">
        <is>
          <t>6-9</t>
        </is>
      </c>
      <c r="F187" t="n">
        <v>-10600</v>
      </c>
      <c r="G187" t="n">
        <v>300</v>
      </c>
      <c r="H187" s="6" t="n"/>
      <c r="I187" s="4">
        <f>IFERROR(IF(NOT(H187=""),ABS(ROUNDDOWN(F187-H187, 3 - (1+INT(LOG10(ABS(F187)))))),""),IF(AND(F187=0,NOT(F187="")),ABS(ROUNDDOWN(F187-H187,0)),""))</f>
        <v/>
      </c>
      <c r="J187" s="4">
        <f>IF(NOT(I187=""),IF(I187&lt;=G187,"match",IF(I187&lt;3*G187,"partial match","no match")),"")</f>
        <v/>
      </c>
      <c r="K187" t="inlineStr">
        <is>
          <t>cm_clust_shade_3D_comb</t>
        </is>
      </c>
    </row>
    <row r="188" ht="15" customHeight="1" s="10">
      <c r="A188" t="inlineStr">
        <is>
          <t>configuration C</t>
        </is>
      </c>
      <c r="B188" t="inlineStr">
        <is>
          <t>Co-occurrence matrix (3D, merged)</t>
        </is>
      </c>
      <c r="C188" t="inlineStr">
        <is>
          <t>Cluster prominence</t>
        </is>
      </c>
      <c r="E188" t="inlineStr">
        <is>
          <t>6-9</t>
        </is>
      </c>
      <c r="F188" t="n">
        <v>570000</v>
      </c>
      <c r="G188" t="n">
        <v>11000</v>
      </c>
      <c r="H188" s="6" t="n"/>
      <c r="I188" s="4">
        <f>IFERROR(IF(NOT(H188=""),ABS(ROUNDDOWN(F188-H188, 3 - (1+INT(LOG10(ABS(F188)))))),""),IF(AND(F188=0,NOT(F188="")),ABS(ROUNDDOWN(F188-H188,0)),""))</f>
        <v/>
      </c>
      <c r="J188" s="4">
        <f>IF(NOT(I188=""),IF(I188&lt;=G188,"match",IF(I188&lt;3*G188,"partial match","no match")),"")</f>
        <v/>
      </c>
      <c r="K188" t="inlineStr">
        <is>
          <t>cm_clust_prom_3D_comb</t>
        </is>
      </c>
    </row>
    <row r="189" ht="15" customHeight="1" s="10">
      <c r="A189" t="inlineStr">
        <is>
          <t>configuration C</t>
        </is>
      </c>
      <c r="B189" t="inlineStr">
        <is>
          <t>Co-occurrence matrix (3D, merged)</t>
        </is>
      </c>
      <c r="C189" t="inlineStr">
        <is>
          <t>Information correlation 1</t>
        </is>
      </c>
      <c r="E189" t="inlineStr">
        <is>
          <t>6-9</t>
        </is>
      </c>
      <c r="F189" t="n">
        <v>-0.228</v>
      </c>
      <c r="G189" t="n">
        <v>0.001</v>
      </c>
      <c r="H189" s="6" t="n"/>
      <c r="I189" s="4">
        <f>IFERROR(IF(NOT(H189=""),ABS(ROUNDDOWN(F189-H189, 3 - (1+INT(LOG10(ABS(F189)))))),""),IF(AND(F189=0,NOT(F189="")),ABS(ROUNDDOWN(F189-H189,0)),""))</f>
        <v/>
      </c>
      <c r="J189" s="4">
        <f>IF(NOT(I189=""),IF(I189&lt;=G189,"match",IF(I189&lt;3*G189,"partial match","no match")),"")</f>
        <v/>
      </c>
      <c r="K189" t="inlineStr">
        <is>
          <t>cm_info_corr1_3D_comb</t>
        </is>
      </c>
    </row>
    <row r="190" ht="15" customHeight="1" s="10">
      <c r="A190" t="inlineStr">
        <is>
          <t>configuration C</t>
        </is>
      </c>
      <c r="B190" t="inlineStr">
        <is>
          <t>Co-occurrence matrix (3D, merged)</t>
        </is>
      </c>
      <c r="C190" t="inlineStr">
        <is>
          <t>Information correlation 2</t>
        </is>
      </c>
      <c r="E190" t="inlineStr">
        <is>
          <t>6-9</t>
        </is>
      </c>
      <c r="F190" t="n">
        <v>0.899</v>
      </c>
      <c r="G190" t="n">
        <v>0.001</v>
      </c>
      <c r="H190" s="6" t="n"/>
      <c r="I190" s="4">
        <f>IFERROR(IF(NOT(H190=""),ABS(ROUNDDOWN(F190-H190, 3 - (1+INT(LOG10(ABS(F190)))))),""),IF(AND(F190=0,NOT(F190="")),ABS(ROUNDDOWN(F190-H190,0)),""))</f>
        <v/>
      </c>
      <c r="J190" s="4">
        <f>IF(NOT(I190=""),IF(I190&lt;=G190,"match",IF(I190&lt;3*G190,"partial match","no match")),"")</f>
        <v/>
      </c>
      <c r="K190" t="inlineStr">
        <is>
          <t>cm_info_corr2_3D_comb</t>
        </is>
      </c>
    </row>
    <row r="191" ht="15" customHeight="1" s="10">
      <c r="A191" t="inlineStr">
        <is>
          <t>configuration C</t>
        </is>
      </c>
      <c r="B191" t="inlineStr">
        <is>
          <t>Run length matrix (3D, averaged)</t>
        </is>
      </c>
      <c r="C191" t="inlineStr">
        <is>
          <t>Short runs emphasis</t>
        </is>
      </c>
      <c r="D191" t="inlineStr">
        <is>
          <t>ShortRunEmphasis</t>
        </is>
      </c>
      <c r="E191" t="inlineStr">
        <is>
          <t>6-9</t>
        </is>
      </c>
      <c r="F191" t="n">
        <v>0.786</v>
      </c>
      <c r="G191" t="n">
        <v>0.003</v>
      </c>
      <c r="H191" s="6" t="n">
        <v>0.787224087855525</v>
      </c>
      <c r="I191" s="4">
        <f>IFERROR(IF(NOT(H191=""),ABS(ROUNDDOWN(F191-H191, 3 - (1+INT(LOG10(ABS(F191)))))),""),IF(AND(F191=0,NOT(F191="")),ABS(ROUNDDOWN(F191-H191,0)),""))</f>
        <v/>
      </c>
      <c r="J191" s="4">
        <f>IF(NOT(I191=""),IF(I191&lt;=G191,"match",IF(I191&lt;3*G191,"partial match","no match")),"")</f>
        <v/>
      </c>
      <c r="K191" t="inlineStr">
        <is>
          <t>rlm_sre_3D_avg</t>
        </is>
      </c>
    </row>
    <row r="192" ht="15" customHeight="1" s="10">
      <c r="A192" t="inlineStr">
        <is>
          <t>configuration C</t>
        </is>
      </c>
      <c r="B192" t="inlineStr">
        <is>
          <t>Run length matrix (3D, averaged)</t>
        </is>
      </c>
      <c r="C192" t="inlineStr">
        <is>
          <t>Long runs emphasis</t>
        </is>
      </c>
      <c r="D192" t="inlineStr">
        <is>
          <t>LongRunEmphasis</t>
        </is>
      </c>
      <c r="E192" t="inlineStr">
        <is>
          <t>3-5</t>
        </is>
      </c>
      <c r="F192" t="n">
        <v>3.31</v>
      </c>
      <c r="G192" t="n">
        <v>0.04</v>
      </c>
      <c r="H192" s="6" t="n">
        <v>3.29016967538907</v>
      </c>
      <c r="I192" s="4">
        <f>IFERROR(IF(NOT(H192=""),ABS(ROUNDDOWN(F192-H192, 3 - (1+INT(LOG10(ABS(F192)))))),""),IF(AND(F192=0,NOT(F192="")),ABS(ROUNDDOWN(F192-H192,0)),""))</f>
        <v/>
      </c>
      <c r="J192" s="4">
        <f>IF(NOT(I192=""),IF(I192&lt;=G192,"match",IF(I192&lt;3*G192,"partial match","no match")),"")</f>
        <v/>
      </c>
      <c r="K192" t="inlineStr">
        <is>
          <t>rlm_lre_3D_avg</t>
        </is>
      </c>
    </row>
    <row r="193" ht="15" customHeight="1" s="10">
      <c r="A193" t="inlineStr">
        <is>
          <t>configuration C</t>
        </is>
      </c>
      <c r="B193" t="inlineStr">
        <is>
          <t>Run length matrix (3D, averaged)</t>
        </is>
      </c>
      <c r="C193" t="inlineStr">
        <is>
          <t>Low grey level run emphasis</t>
        </is>
      </c>
      <c r="D193" t="inlineStr">
        <is>
          <t>LowGrayLevelRunEmphasis</t>
        </is>
      </c>
      <c r="E193" t="inlineStr">
        <is>
          <t>3-5</t>
        </is>
      </c>
      <c r="F193" t="n">
        <v>0.00155</v>
      </c>
      <c r="G193" t="n">
        <v>5e-05</v>
      </c>
      <c r="H193" s="8" t="n">
        <v>0.00156654107601182</v>
      </c>
      <c r="I193" s="4">
        <f>IFERROR(IF(NOT(H193=""),ABS(ROUNDDOWN(F193-H193, 3 - (1+INT(LOG10(ABS(F193)))))),""),IF(AND(F193=0,NOT(F193="")),ABS(ROUNDDOWN(F193-H193,0)),""))</f>
        <v/>
      </c>
      <c r="J193" s="4">
        <f>IF(NOT(I193=""),IF(I193&lt;=G193,"match",IF(I193&lt;3*G193,"partial match","no match")),"")</f>
        <v/>
      </c>
      <c r="K193" t="inlineStr">
        <is>
          <t>rlm_lgre_3D_avg</t>
        </is>
      </c>
    </row>
    <row r="194" ht="15" customHeight="1" s="10">
      <c r="A194" t="inlineStr">
        <is>
          <t>configuration C</t>
        </is>
      </c>
      <c r="B194" t="inlineStr">
        <is>
          <t>Run length matrix (3D, averaged)</t>
        </is>
      </c>
      <c r="C194" t="inlineStr">
        <is>
          <t>High grey level run emphasis</t>
        </is>
      </c>
      <c r="D194" t="inlineStr">
        <is>
          <t>HighGrayLevelRunEmphasis</t>
        </is>
      </c>
      <c r="E194" t="inlineStr">
        <is>
          <t>3-5</t>
        </is>
      </c>
      <c r="F194" t="n">
        <v>1470</v>
      </c>
      <c r="G194" t="n">
        <v>10</v>
      </c>
      <c r="H194" s="6" t="n">
        <v>1479.6354365594</v>
      </c>
      <c r="I194" s="4">
        <f>IFERROR(IF(NOT(H194=""),ABS(ROUNDDOWN(F194-H194, 3 - (1+INT(LOG10(ABS(F194)))))),""),IF(AND(F194=0,NOT(F194="")),ABS(ROUNDDOWN(F194-H194,0)),""))</f>
        <v/>
      </c>
      <c r="J194" s="4">
        <f>IF(NOT(I194=""),IF(I194&lt;=G194,"match",IF(I194&lt;3*G194,"partial match","no match")),"")</f>
        <v/>
      </c>
      <c r="K194" t="inlineStr">
        <is>
          <t>rlm_hgre_3D_avg</t>
        </is>
      </c>
    </row>
    <row r="195" ht="15" customHeight="1" s="10">
      <c r="A195" t="inlineStr">
        <is>
          <t>configuration C</t>
        </is>
      </c>
      <c r="B195" t="inlineStr">
        <is>
          <t>Run length matrix (3D, averaged)</t>
        </is>
      </c>
      <c r="C195" t="inlineStr">
        <is>
          <t>Short run low grey level emphasis</t>
        </is>
      </c>
      <c r="D195" t="inlineStr">
        <is>
          <t>ShortRunLowGrayLevelEmphasis</t>
        </is>
      </c>
      <c r="E195" t="inlineStr">
        <is>
          <t>3-5</t>
        </is>
      </c>
      <c r="F195" t="n">
        <v>0.00136</v>
      </c>
      <c r="G195" t="n">
        <v>5e-05</v>
      </c>
      <c r="H195" s="8" t="n">
        <v>0.00138123068614335</v>
      </c>
      <c r="I195" s="4">
        <f>IFERROR(IF(NOT(H195=""),ABS(ROUNDDOWN(F195-H195, 3 - (1+INT(LOG10(ABS(F195)))))),""),IF(AND(F195=0,NOT(F195="")),ABS(ROUNDDOWN(F195-H195,0)),""))</f>
        <v/>
      </c>
      <c r="J195" s="4">
        <f>IF(NOT(I195=""),IF(I195&lt;=G195,"match",IF(I195&lt;3*G195,"partial match","no match")),"")</f>
        <v/>
      </c>
      <c r="K195" t="inlineStr">
        <is>
          <t>rlm_srlge_3D_avg</t>
        </is>
      </c>
    </row>
    <row r="196" ht="15" customHeight="1" s="10">
      <c r="A196" t="inlineStr">
        <is>
          <t>configuration C</t>
        </is>
      </c>
      <c r="B196" t="inlineStr">
        <is>
          <t>Run length matrix (3D, averaged)</t>
        </is>
      </c>
      <c r="C196" t="inlineStr">
        <is>
          <t>Short run high grey level emphasis</t>
        </is>
      </c>
      <c r="D196" t="inlineStr">
        <is>
          <t>ShortRunHighGrayLevelEmphasis</t>
        </is>
      </c>
      <c r="E196" t="inlineStr">
        <is>
          <t>3-5</t>
        </is>
      </c>
      <c r="F196" t="n">
        <v>1100</v>
      </c>
      <c r="G196" t="n">
        <v>10</v>
      </c>
      <c r="H196" s="6" t="n">
        <v>1107.5355756816</v>
      </c>
      <c r="I196" s="4">
        <f>IFERROR(IF(NOT(H196=""),ABS(ROUNDDOWN(F196-H196, 3 - (1+INT(LOG10(ABS(F196)))))),""),IF(AND(F196=0,NOT(F196="")),ABS(ROUNDDOWN(F196-H196,0)),""))</f>
        <v/>
      </c>
      <c r="J196" s="4">
        <f>IF(NOT(I196=""),IF(I196&lt;=G196,"match",IF(I196&lt;3*G196,"partial match","no match")),"")</f>
        <v/>
      </c>
      <c r="K196" t="inlineStr">
        <is>
          <t>rlm_srhge_3D_avg</t>
        </is>
      </c>
    </row>
    <row r="197" ht="15" customHeight="1" s="10">
      <c r="A197" t="inlineStr">
        <is>
          <t>configuration C</t>
        </is>
      </c>
      <c r="B197" t="inlineStr">
        <is>
          <t>Run length matrix (3D, averaged)</t>
        </is>
      </c>
      <c r="C197" t="inlineStr">
        <is>
          <t>Long run low grey level emphasis</t>
        </is>
      </c>
      <c r="D197" t="inlineStr">
        <is>
          <t>LongRunLowGrayLevelEmphasis</t>
        </is>
      </c>
      <c r="E197" t="inlineStr">
        <is>
          <t>3-5</t>
        </is>
      </c>
      <c r="F197" t="n">
        <v>0.00317</v>
      </c>
      <c r="G197" t="n">
        <v>4e-05</v>
      </c>
      <c r="H197" s="8" t="n">
        <v>0.00316524318875</v>
      </c>
      <c r="I197" s="4">
        <f>IFERROR(IF(NOT(H197=""),ABS(ROUNDDOWN(F197-H197, 3 - (1+INT(LOG10(ABS(F197)))))),""),IF(AND(F197=0,NOT(F197="")),ABS(ROUNDDOWN(F197-H197,0)),""))</f>
        <v/>
      </c>
      <c r="J197" s="4">
        <f>IF(NOT(I197=""),IF(I197&lt;=G197,"match",IF(I197&lt;3*G197,"partial match","no match")),"")</f>
        <v/>
      </c>
      <c r="K197" t="inlineStr">
        <is>
          <t>rlm_lrlge_3D_avg</t>
        </is>
      </c>
    </row>
    <row r="198" ht="15" customHeight="1" s="10">
      <c r="A198" t="inlineStr">
        <is>
          <t>configuration C</t>
        </is>
      </c>
      <c r="B198" t="inlineStr">
        <is>
          <t>Run length matrix (3D, averaged)</t>
        </is>
      </c>
      <c r="C198" t="inlineStr">
        <is>
          <t>Long run high grey level emphasis</t>
        </is>
      </c>
      <c r="D198" t="inlineStr">
        <is>
          <t>LongRunHighGrayLevelEmphasis</t>
        </is>
      </c>
      <c r="E198" t="inlineStr">
        <is>
          <t>3-5</t>
        </is>
      </c>
      <c r="F198" t="n">
        <v>5590</v>
      </c>
      <c r="G198" t="n">
        <v>80</v>
      </c>
      <c r="H198" s="6" t="n">
        <v>5554.08703046748</v>
      </c>
      <c r="I198" s="4">
        <f>IFERROR(IF(NOT(H198=""),ABS(ROUNDDOWN(F198-H198, 3 - (1+INT(LOG10(ABS(F198)))))),""),IF(AND(F198=0,NOT(F198="")),ABS(ROUNDDOWN(F198-H198,0)),""))</f>
        <v/>
      </c>
      <c r="J198" s="4">
        <f>IF(NOT(I198=""),IF(I198&lt;=G198,"match",IF(I198&lt;3*G198,"partial match","no match")),"")</f>
        <v/>
      </c>
      <c r="K198" t="inlineStr">
        <is>
          <t>rlm_lrhge_3D_avg</t>
        </is>
      </c>
    </row>
    <row r="199" ht="15" customHeight="1" s="10">
      <c r="A199" t="inlineStr">
        <is>
          <t>configuration C</t>
        </is>
      </c>
      <c r="B199" t="inlineStr">
        <is>
          <t>Run length matrix (3D, averaged)</t>
        </is>
      </c>
      <c r="C199" t="inlineStr">
        <is>
          <t>Grey level non-uniformity</t>
        </is>
      </c>
      <c r="D199" t="inlineStr">
        <is>
          <t>GrayLevelNonUniformity</t>
        </is>
      </c>
      <c r="E199" t="inlineStr">
        <is>
          <t>3-5</t>
        </is>
      </c>
      <c r="F199" t="n">
        <v>3180</v>
      </c>
      <c r="G199" t="n">
        <v>10</v>
      </c>
      <c r="H199" s="6" t="n">
        <v>3198.64256070183</v>
      </c>
      <c r="I199" s="4">
        <f>IFERROR(IF(NOT(H199=""),ABS(ROUNDDOWN(F199-H199, 3 - (1+INT(LOG10(ABS(F199)))))),""),IF(AND(F199=0,NOT(F199="")),ABS(ROUNDDOWN(F199-H199,0)),""))</f>
        <v/>
      </c>
      <c r="J199" s="4">
        <f>IF(NOT(I199=""),IF(I199&lt;=G199,"match",IF(I199&lt;3*G199,"partial match","no match")),"")</f>
        <v/>
      </c>
      <c r="K199" t="inlineStr">
        <is>
          <t>rlm_glnu_3D_avg</t>
        </is>
      </c>
    </row>
    <row r="200" ht="15" customHeight="1" s="10">
      <c r="A200" t="inlineStr">
        <is>
          <t>configuration C</t>
        </is>
      </c>
      <c r="B200" t="inlineStr">
        <is>
          <t>Run length matrix (3D, averaged)</t>
        </is>
      </c>
      <c r="C200" t="inlineStr">
        <is>
          <t>Grey level non-uniformity normalised</t>
        </is>
      </c>
      <c r="D200" t="inlineStr">
        <is>
          <t>GrayLevelNonUniformityNormalized</t>
        </is>
      </c>
      <c r="E200" t="inlineStr">
        <is>
          <t>6-9</t>
        </is>
      </c>
      <c r="F200" t="n">
        <v>0.102</v>
      </c>
      <c r="G200" t="n">
        <v>0.003</v>
      </c>
      <c r="H200" s="6" t="n">
        <v>0.10260240158481</v>
      </c>
      <c r="I200" s="4">
        <f>IFERROR(IF(NOT(H200=""),ABS(ROUNDDOWN(F200-H200, 3 - (1+INT(LOG10(ABS(F200)))))),""),IF(AND(F200=0,NOT(F200="")),ABS(ROUNDDOWN(F200-H200,0)),""))</f>
        <v/>
      </c>
      <c r="J200" s="4">
        <f>IF(NOT(I200=""),IF(I200&lt;=G200,"match",IF(I200&lt;3*G200,"partial match","no match")),"")</f>
        <v/>
      </c>
      <c r="K200" t="inlineStr">
        <is>
          <t>rlm_glnu_norm_3D_avg</t>
        </is>
      </c>
    </row>
    <row r="201" ht="15" customHeight="1" s="10">
      <c r="A201" t="inlineStr">
        <is>
          <t>configuration C</t>
        </is>
      </c>
      <c r="B201" t="inlineStr">
        <is>
          <t>Run length matrix (3D, averaged)</t>
        </is>
      </c>
      <c r="C201" t="inlineStr">
        <is>
          <t>Run length non-uniformity</t>
        </is>
      </c>
      <c r="D201" t="inlineStr">
        <is>
          <t>RunLengthNonUniformity</t>
        </is>
      </c>
      <c r="E201" t="inlineStr">
        <is>
          <t>6-9</t>
        </is>
      </c>
      <c r="F201" t="n">
        <v>18000</v>
      </c>
      <c r="G201" t="n">
        <v>500</v>
      </c>
      <c r="H201" s="6" t="n">
        <v>17980.0288641397</v>
      </c>
      <c r="I201" s="4">
        <f>IFERROR(IF(NOT(H201=""),ABS(ROUNDDOWN(F201-H201, 3 - (1+INT(LOG10(ABS(F201)))))),""),IF(AND(F201=0,NOT(F201="")),ABS(ROUNDDOWN(F201-H201,0)),""))</f>
        <v/>
      </c>
      <c r="J201" s="4">
        <f>IF(NOT(I201=""),IF(I201&lt;=G201,"match",IF(I201&lt;3*G201,"partial match","no match")),"")</f>
        <v/>
      </c>
      <c r="K201" t="inlineStr">
        <is>
          <t>rlm_rlnu_3D_avg</t>
        </is>
      </c>
    </row>
    <row r="202" ht="15" customHeight="1" s="10">
      <c r="A202" t="inlineStr">
        <is>
          <t>configuration C</t>
        </is>
      </c>
      <c r="B202" t="inlineStr">
        <is>
          <t>Run length matrix (3D, averaged)</t>
        </is>
      </c>
      <c r="C202" t="inlineStr">
        <is>
          <t>Run length non-uniformity normalised</t>
        </is>
      </c>
      <c r="D202" t="inlineStr">
        <is>
          <t>RunLengthNonUniformityNormalized</t>
        </is>
      </c>
      <c r="E202" t="inlineStr">
        <is>
          <t>3-5</t>
        </is>
      </c>
      <c r="F202" t="n">
        <v>0.574</v>
      </c>
      <c r="G202" t="n">
        <v>0.004</v>
      </c>
      <c r="H202" s="6" t="n">
        <v>0.5762808764073361</v>
      </c>
      <c r="I202" s="4">
        <f>IFERROR(IF(NOT(H202=""),ABS(ROUNDDOWN(F202-H202, 3 - (1+INT(LOG10(ABS(F202)))))),""),IF(AND(F202=0,NOT(F202="")),ABS(ROUNDDOWN(F202-H202,0)),""))</f>
        <v/>
      </c>
      <c r="J202" s="4">
        <f>IF(NOT(I202=""),IF(I202&lt;=G202,"match",IF(I202&lt;3*G202,"partial match","no match")),"")</f>
        <v/>
      </c>
      <c r="K202" t="inlineStr">
        <is>
          <t>rlm_rlnu_norm_3D_avg</t>
        </is>
      </c>
    </row>
    <row r="203" ht="15" customHeight="1" s="10">
      <c r="A203" t="inlineStr">
        <is>
          <t>configuration C</t>
        </is>
      </c>
      <c r="B203" t="inlineStr">
        <is>
          <t>Run length matrix (3D, averaged)</t>
        </is>
      </c>
      <c r="C203" t="inlineStr">
        <is>
          <t>Run percentage</t>
        </is>
      </c>
      <c r="D203" t="inlineStr">
        <is>
          <t>RunPercentage</t>
        </is>
      </c>
      <c r="E203" t="inlineStr">
        <is>
          <t>6-9</t>
        </is>
      </c>
      <c r="F203" t="n">
        <v>0.679</v>
      </c>
      <c r="G203" t="n">
        <v>0.003</v>
      </c>
      <c r="H203" s="6" t="n">
        <v>0.680853571079859</v>
      </c>
      <c r="I203" s="4">
        <f>IFERROR(IF(NOT(H203=""),ABS(ROUNDDOWN(F203-H203, 3 - (1+INT(LOG10(ABS(F203)))))),""),IF(AND(F203=0,NOT(F203="")),ABS(ROUNDDOWN(F203-H203,0)),""))</f>
        <v/>
      </c>
      <c r="J203" s="4">
        <f>IF(NOT(I203=""),IF(I203&lt;=G203,"match",IF(I203&lt;3*G203,"partial match","no match")),"")</f>
        <v/>
      </c>
      <c r="K203" t="inlineStr">
        <is>
          <t>rlm_r_perc_3D_avg</t>
        </is>
      </c>
    </row>
    <row r="204" ht="15" customHeight="1" s="10">
      <c r="A204" t="inlineStr">
        <is>
          <t>configuration C</t>
        </is>
      </c>
      <c r="B204" t="inlineStr">
        <is>
          <t>Run length matrix (3D, averaged)</t>
        </is>
      </c>
      <c r="C204" t="inlineStr">
        <is>
          <t>Grey level variance</t>
        </is>
      </c>
      <c r="D204" t="inlineStr">
        <is>
          <t>GrayLevelVariance</t>
        </is>
      </c>
      <c r="E204" t="inlineStr">
        <is>
          <t>6-9</t>
        </is>
      </c>
      <c r="F204" t="n">
        <v>101</v>
      </c>
      <c r="G204" t="n">
        <v>3</v>
      </c>
      <c r="H204" s="6" t="n">
        <v>100.153541512928</v>
      </c>
      <c r="I204" s="4">
        <f>IFERROR(IF(NOT(H204=""),ABS(ROUNDDOWN(F204-H204, 3 - (1+INT(LOG10(ABS(F204)))))),""),IF(AND(F204=0,NOT(F204="")),ABS(ROUNDDOWN(F204-H204,0)),""))</f>
        <v/>
      </c>
      <c r="J204" s="4">
        <f>IF(NOT(I204=""),IF(I204&lt;=G204,"match",IF(I204&lt;3*G204,"partial match","no match")),"")</f>
        <v/>
      </c>
      <c r="K204" t="inlineStr">
        <is>
          <t>rlm_gl_var_3D_avg</t>
        </is>
      </c>
    </row>
    <row r="205" ht="15" customHeight="1" s="10">
      <c r="A205" t="inlineStr">
        <is>
          <t>configuration C</t>
        </is>
      </c>
      <c r="B205" t="inlineStr">
        <is>
          <t>Run length matrix (3D, averaged)</t>
        </is>
      </c>
      <c r="C205" t="inlineStr">
        <is>
          <t>Run length variance</t>
        </is>
      </c>
      <c r="D205" t="inlineStr">
        <is>
          <t>RunLengthVariance</t>
        </is>
      </c>
      <c r="E205" t="inlineStr">
        <is>
          <t>3-5</t>
        </is>
      </c>
      <c r="F205" t="n">
        <v>1.12</v>
      </c>
      <c r="G205" t="n">
        <v>0.02</v>
      </c>
      <c r="H205" s="6" t="n">
        <v>1.11296690667087</v>
      </c>
      <c r="I205" s="4">
        <f>IFERROR(IF(NOT(H205=""),ABS(ROUNDDOWN(F205-H205, 3 - (1+INT(LOG10(ABS(F205)))))),""),IF(AND(F205=0,NOT(F205="")),ABS(ROUNDDOWN(F205-H205,0)),""))</f>
        <v/>
      </c>
      <c r="J205" s="4">
        <f>IF(NOT(I205=""),IF(I205&lt;=G205,"match",IF(I205&lt;3*G205,"partial match","no match")),"")</f>
        <v/>
      </c>
      <c r="K205" t="inlineStr">
        <is>
          <t>rlm_rl_var_3D_avg</t>
        </is>
      </c>
    </row>
    <row r="206" ht="15" customHeight="1" s="10">
      <c r="A206" t="inlineStr">
        <is>
          <t>configuration C</t>
        </is>
      </c>
      <c r="B206" t="inlineStr">
        <is>
          <t>Run length matrix (3D, averaged)</t>
        </is>
      </c>
      <c r="C206" t="inlineStr">
        <is>
          <t>Run entropy</t>
        </is>
      </c>
      <c r="D206" t="inlineStr">
        <is>
          <t>RunEntropy</t>
        </is>
      </c>
      <c r="E206" t="inlineStr">
        <is>
          <t>6-9</t>
        </is>
      </c>
      <c r="F206" t="n">
        <v>5.35</v>
      </c>
      <c r="G206" t="n">
        <v>0.03</v>
      </c>
      <c r="H206" s="6" t="n">
        <v>5.32978554808188</v>
      </c>
      <c r="I206" s="4">
        <f>IFERROR(IF(NOT(H206=""),ABS(ROUNDDOWN(F206-H206, 3 - (1+INT(LOG10(ABS(F206)))))),""),IF(AND(F206=0,NOT(F206="")),ABS(ROUNDDOWN(F206-H206,0)),""))</f>
        <v/>
      </c>
      <c r="J206" s="4">
        <f>IF(NOT(I206=""),IF(I206&lt;=G206,"match",IF(I206&lt;3*G206,"partial match","no match")),"")</f>
        <v/>
      </c>
      <c r="K206" t="inlineStr">
        <is>
          <t>rlm_rl_entr_3D_avg</t>
        </is>
      </c>
    </row>
    <row r="207" ht="15" customHeight="1" s="10">
      <c r="A207" t="inlineStr">
        <is>
          <t>configuration C</t>
        </is>
      </c>
      <c r="B207" t="inlineStr">
        <is>
          <t>Run length matrix (3D, merged)</t>
        </is>
      </c>
      <c r="C207" t="inlineStr">
        <is>
          <t>Short runs emphasis</t>
        </is>
      </c>
      <c r="E207" t="inlineStr">
        <is>
          <t>6-9</t>
        </is>
      </c>
      <c r="F207" t="n">
        <v>0.787</v>
      </c>
      <c r="G207" t="n">
        <v>0.003</v>
      </c>
      <c r="H207" s="6" t="n"/>
      <c r="I207" s="4">
        <f>IFERROR(IF(NOT(H207=""),ABS(ROUNDDOWN(F207-H207, 3 - (1+INT(LOG10(ABS(F207)))))),""),IF(AND(F207=0,NOT(F207="")),ABS(ROUNDDOWN(F207-H207,0)),""))</f>
        <v/>
      </c>
      <c r="J207" s="4">
        <f>IF(NOT(I207=""),IF(I207&lt;=G207,"match",IF(I207&lt;3*G207,"partial match","no match")),"")</f>
        <v/>
      </c>
      <c r="K207" t="inlineStr">
        <is>
          <t>rlm_sre_3D_comb</t>
        </is>
      </c>
    </row>
    <row r="208" ht="15" customHeight="1" s="10">
      <c r="A208" t="inlineStr">
        <is>
          <t>configuration C</t>
        </is>
      </c>
      <c r="B208" t="inlineStr">
        <is>
          <t>Run length matrix (3D, merged)</t>
        </is>
      </c>
      <c r="C208" t="inlineStr">
        <is>
          <t>Long runs emphasis</t>
        </is>
      </c>
      <c r="E208" t="inlineStr">
        <is>
          <t>6-9</t>
        </is>
      </c>
      <c r="F208" t="n">
        <v>3.28</v>
      </c>
      <c r="G208" t="n">
        <v>0.04</v>
      </c>
      <c r="H208" s="6" t="n"/>
      <c r="I208" s="4">
        <f>IFERROR(IF(NOT(H208=""),ABS(ROUNDDOWN(F208-H208, 3 - (1+INT(LOG10(ABS(F208)))))),""),IF(AND(F208=0,NOT(F208="")),ABS(ROUNDDOWN(F208-H208,0)),""))</f>
        <v/>
      </c>
      <c r="J208" s="4">
        <f>IF(NOT(I208=""),IF(I208&lt;=G208,"match",IF(I208&lt;3*G208,"partial match","no match")),"")</f>
        <v/>
      </c>
      <c r="K208" t="inlineStr">
        <is>
          <t>rlm_lre_3D_comb</t>
        </is>
      </c>
    </row>
    <row r="209" ht="15" customHeight="1" s="10">
      <c r="A209" t="inlineStr">
        <is>
          <t>configuration C</t>
        </is>
      </c>
      <c r="B209" t="inlineStr">
        <is>
          <t>Run length matrix (3D, merged)</t>
        </is>
      </c>
      <c r="C209" t="inlineStr">
        <is>
          <t>Low grey level run emphasis</t>
        </is>
      </c>
      <c r="E209" t="inlineStr">
        <is>
          <t>3-5</t>
        </is>
      </c>
      <c r="F209" t="n">
        <v>0.00155</v>
      </c>
      <c r="G209" t="n">
        <v>5e-05</v>
      </c>
      <c r="H209" s="8" t="n"/>
      <c r="I209" s="4">
        <f>IFERROR(IF(NOT(H209=""),ABS(ROUNDDOWN(F209-H209, 3 - (1+INT(LOG10(ABS(F209)))))),""),IF(AND(F209=0,NOT(F209="")),ABS(ROUNDDOWN(F209-H209,0)),""))</f>
        <v/>
      </c>
      <c r="J209" s="4">
        <f>IF(NOT(I209=""),IF(I209&lt;=G209,"match",IF(I209&lt;3*G209,"partial match","no match")),"")</f>
        <v/>
      </c>
      <c r="K209" t="inlineStr">
        <is>
          <t>rlm_lgre_3D_comb</t>
        </is>
      </c>
    </row>
    <row r="210" ht="15" customHeight="1" s="10">
      <c r="A210" t="inlineStr">
        <is>
          <t>configuration C</t>
        </is>
      </c>
      <c r="B210" t="inlineStr">
        <is>
          <t>Run length matrix (3D, merged)</t>
        </is>
      </c>
      <c r="C210" t="inlineStr">
        <is>
          <t>High grey level run emphasis</t>
        </is>
      </c>
      <c r="E210" t="inlineStr">
        <is>
          <t>3-5</t>
        </is>
      </c>
      <c r="F210" t="n">
        <v>1470</v>
      </c>
      <c r="G210" t="n">
        <v>10</v>
      </c>
      <c r="H210" s="6" t="n"/>
      <c r="I210" s="4">
        <f>IFERROR(IF(NOT(H210=""),ABS(ROUNDDOWN(F210-H210, 3 - (1+INT(LOG10(ABS(F210)))))),""),IF(AND(F210=0,NOT(F210="")),ABS(ROUNDDOWN(F210-H210,0)),""))</f>
        <v/>
      </c>
      <c r="J210" s="4">
        <f>IF(NOT(I210=""),IF(I210&lt;=G210,"match",IF(I210&lt;3*G210,"partial match","no match")),"")</f>
        <v/>
      </c>
      <c r="K210" t="inlineStr">
        <is>
          <t>rlm_hgre_3D_comb</t>
        </is>
      </c>
    </row>
    <row r="211" ht="15" customHeight="1" s="10">
      <c r="A211" t="inlineStr">
        <is>
          <t>configuration C</t>
        </is>
      </c>
      <c r="B211" t="inlineStr">
        <is>
          <t>Run length matrix (3D, merged)</t>
        </is>
      </c>
      <c r="C211" t="inlineStr">
        <is>
          <t>Short run low grey level emphasis</t>
        </is>
      </c>
      <c r="E211" t="inlineStr">
        <is>
          <t>3-5</t>
        </is>
      </c>
      <c r="F211" t="n">
        <v>0.00136</v>
      </c>
      <c r="G211" t="n">
        <v>5e-05</v>
      </c>
      <c r="H211" s="8" t="n"/>
      <c r="I211" s="4">
        <f>IFERROR(IF(NOT(H211=""),ABS(ROUNDDOWN(F211-H211, 3 - (1+INT(LOG10(ABS(F211)))))),""),IF(AND(F211=0,NOT(F211="")),ABS(ROUNDDOWN(F211-H211,0)),""))</f>
        <v/>
      </c>
      <c r="J211" s="4">
        <f>IF(NOT(I211=""),IF(I211&lt;=G211,"match",IF(I211&lt;3*G211,"partial match","no match")),"")</f>
        <v/>
      </c>
      <c r="K211" t="inlineStr">
        <is>
          <t>rlm_srlge_3D_comb</t>
        </is>
      </c>
    </row>
    <row r="212" ht="15" customHeight="1" s="10">
      <c r="A212" t="inlineStr">
        <is>
          <t>configuration C</t>
        </is>
      </c>
      <c r="B212" t="inlineStr">
        <is>
          <t>Run length matrix (3D, merged)</t>
        </is>
      </c>
      <c r="C212" t="inlineStr">
        <is>
          <t>Short run high grey level emphasis</t>
        </is>
      </c>
      <c r="E212" t="inlineStr">
        <is>
          <t>3-5</t>
        </is>
      </c>
      <c r="F212" t="n">
        <v>1100</v>
      </c>
      <c r="G212" t="n">
        <v>10</v>
      </c>
      <c r="H212" s="6" t="n"/>
      <c r="I212" s="4">
        <f>IFERROR(IF(NOT(H212=""),ABS(ROUNDDOWN(F212-H212, 3 - (1+INT(LOG10(ABS(F212)))))),""),IF(AND(F212=0,NOT(F212="")),ABS(ROUNDDOWN(F212-H212,0)),""))</f>
        <v/>
      </c>
      <c r="J212" s="4">
        <f>IF(NOT(I212=""),IF(I212&lt;=G212,"match",IF(I212&lt;3*G212,"partial match","no match")),"")</f>
        <v/>
      </c>
      <c r="K212" t="inlineStr">
        <is>
          <t>rlm_srhge_3D_comb</t>
        </is>
      </c>
    </row>
    <row r="213" ht="15" customHeight="1" s="10">
      <c r="A213" t="inlineStr">
        <is>
          <t>configuration C</t>
        </is>
      </c>
      <c r="B213" t="inlineStr">
        <is>
          <t>Run length matrix (3D, merged)</t>
        </is>
      </c>
      <c r="C213" t="inlineStr">
        <is>
          <t>Long run low grey level emphasis</t>
        </is>
      </c>
      <c r="E213" t="inlineStr">
        <is>
          <t>3-5</t>
        </is>
      </c>
      <c r="F213" t="n">
        <v>0.00314</v>
      </c>
      <c r="G213" t="n">
        <v>4e-05</v>
      </c>
      <c r="H213" s="8" t="n"/>
      <c r="I213" s="4">
        <f>IFERROR(IF(NOT(H213=""),ABS(ROUNDDOWN(F213-H213, 3 - (1+INT(LOG10(ABS(F213)))))),""),IF(AND(F213=0,NOT(F213="")),ABS(ROUNDDOWN(F213-H213,0)),""))</f>
        <v/>
      </c>
      <c r="J213" s="4">
        <f>IF(NOT(I213=""),IF(I213&lt;=G213,"match",IF(I213&lt;3*G213,"partial match","no match")),"")</f>
        <v/>
      </c>
      <c r="K213" t="inlineStr">
        <is>
          <t>rlm_lrlge_3D_comb</t>
        </is>
      </c>
    </row>
    <row r="214" ht="15" customHeight="1" s="10">
      <c r="A214" t="inlineStr">
        <is>
          <t>configuration C</t>
        </is>
      </c>
      <c r="B214" t="inlineStr">
        <is>
          <t>Run length matrix (3D, merged)</t>
        </is>
      </c>
      <c r="C214" t="inlineStr">
        <is>
          <t>Long run high grey level emphasis</t>
        </is>
      </c>
      <c r="E214" t="inlineStr">
        <is>
          <t>3-5</t>
        </is>
      </c>
      <c r="F214" t="n">
        <v>5530</v>
      </c>
      <c r="G214" t="n">
        <v>80</v>
      </c>
      <c r="H214" s="6" t="n"/>
      <c r="I214" s="4">
        <f>IFERROR(IF(NOT(H214=""),ABS(ROUNDDOWN(F214-H214, 3 - (1+INT(LOG10(ABS(F214)))))),""),IF(AND(F214=0,NOT(F214="")),ABS(ROUNDDOWN(F214-H214,0)),""))</f>
        <v/>
      </c>
      <c r="J214" s="4">
        <f>IF(NOT(I214=""),IF(I214&lt;=G214,"match",IF(I214&lt;3*G214,"partial match","no match")),"")</f>
        <v/>
      </c>
      <c r="K214" t="inlineStr">
        <is>
          <t>rlm_lrhge_3D_comb</t>
        </is>
      </c>
    </row>
    <row r="215" ht="15" customHeight="1" s="10">
      <c r="A215" t="inlineStr">
        <is>
          <t>configuration C</t>
        </is>
      </c>
      <c r="B215" t="inlineStr">
        <is>
          <t>Run length matrix (3D, merged)</t>
        </is>
      </c>
      <c r="C215" t="inlineStr">
        <is>
          <t>Grey level non-uniformity</t>
        </is>
      </c>
      <c r="E215" t="inlineStr">
        <is>
          <t>6-9</t>
        </is>
      </c>
      <c r="F215" t="n">
        <v>41300</v>
      </c>
      <c r="G215" t="n">
        <v>100</v>
      </c>
      <c r="H215" s="6" t="n"/>
      <c r="I215" s="4">
        <f>IFERROR(IF(NOT(H215=""),ABS(ROUNDDOWN(F215-H215, 3 - (1+INT(LOG10(ABS(F215)))))),""),IF(AND(F215=0,NOT(F215="")),ABS(ROUNDDOWN(F215-H215,0)),""))</f>
        <v/>
      </c>
      <c r="J215" s="4">
        <f>IF(NOT(I215=""),IF(I215&lt;=G215,"match",IF(I215&lt;3*G215,"partial match","no match")),"")</f>
        <v/>
      </c>
      <c r="K215" t="inlineStr">
        <is>
          <t>rlm_glnu_3D_comb</t>
        </is>
      </c>
    </row>
    <row r="216" ht="15" customHeight="1" s="10">
      <c r="A216" t="inlineStr">
        <is>
          <t>configuration C</t>
        </is>
      </c>
      <c r="B216" t="inlineStr">
        <is>
          <t>Run length matrix (3D, merged)</t>
        </is>
      </c>
      <c r="C216" t="inlineStr">
        <is>
          <t>Grey level non-uniformity normalised</t>
        </is>
      </c>
      <c r="E216" t="inlineStr">
        <is>
          <t>6-9</t>
        </is>
      </c>
      <c r="F216" t="n">
        <v>0.102</v>
      </c>
      <c r="G216" t="n">
        <v>0.003</v>
      </c>
      <c r="H216" s="6" t="n"/>
      <c r="I216" s="4">
        <f>IFERROR(IF(NOT(H216=""),ABS(ROUNDDOWN(F216-H216, 3 - (1+INT(LOG10(ABS(F216)))))),""),IF(AND(F216=0,NOT(F216="")),ABS(ROUNDDOWN(F216-H216,0)),""))</f>
        <v/>
      </c>
      <c r="J216" s="4">
        <f>IF(NOT(I216=""),IF(I216&lt;=G216,"match",IF(I216&lt;3*G216,"partial match","no match")),"")</f>
        <v/>
      </c>
      <c r="K216" t="inlineStr">
        <is>
          <t>rlm_glnu_norm_3D_comb</t>
        </is>
      </c>
    </row>
    <row r="217" ht="15" customHeight="1" s="10">
      <c r="A217" t="inlineStr">
        <is>
          <t>configuration C</t>
        </is>
      </c>
      <c r="B217" t="inlineStr">
        <is>
          <t>Run length matrix (3D, merged)</t>
        </is>
      </c>
      <c r="C217" t="inlineStr">
        <is>
          <t>Run length non-uniformity</t>
        </is>
      </c>
      <c r="E217" t="inlineStr">
        <is>
          <t>6-9</t>
        </is>
      </c>
      <c r="F217" t="n">
        <v>234000</v>
      </c>
      <c r="G217" t="n">
        <v>6000</v>
      </c>
      <c r="H217" s="6" t="n"/>
      <c r="I217" s="4">
        <f>IFERROR(IF(NOT(H217=""),ABS(ROUNDDOWN(F217-H217, 3 - (1+INT(LOG10(ABS(F217)))))),""),IF(AND(F217=0,NOT(F217="")),ABS(ROUNDDOWN(F217-H217,0)),""))</f>
        <v/>
      </c>
      <c r="J217" s="4">
        <f>IF(NOT(I217=""),IF(I217&lt;=G217,"match",IF(I217&lt;3*G217,"partial match","no match")),"")</f>
        <v/>
      </c>
      <c r="K217" t="inlineStr">
        <is>
          <t>rlm_rlnu_3D_comb</t>
        </is>
      </c>
    </row>
    <row r="218" ht="15" customHeight="1" s="10">
      <c r="A218" t="inlineStr">
        <is>
          <t>configuration C</t>
        </is>
      </c>
      <c r="B218" t="inlineStr">
        <is>
          <t>Run length matrix (3D, merged)</t>
        </is>
      </c>
      <c r="C218" t="inlineStr">
        <is>
          <t>Run length non-uniformity normalised</t>
        </is>
      </c>
      <c r="E218" t="inlineStr">
        <is>
          <t>6-9</t>
        </is>
      </c>
      <c r="F218" t="n">
        <v>0.575</v>
      </c>
      <c r="G218" t="n">
        <v>0.004</v>
      </c>
      <c r="H218" s="6" t="n"/>
      <c r="I218" s="4">
        <f>IFERROR(IF(NOT(H218=""),ABS(ROUNDDOWN(F218-H218, 3 - (1+INT(LOG10(ABS(F218)))))),""),IF(AND(F218=0,NOT(F218="")),ABS(ROUNDDOWN(F218-H218,0)),""))</f>
        <v/>
      </c>
      <c r="J218" s="4">
        <f>IF(NOT(I218=""),IF(I218&lt;=G218,"match",IF(I218&lt;3*G218,"partial match","no match")),"")</f>
        <v/>
      </c>
      <c r="K218" t="inlineStr">
        <is>
          <t>rlm_rlnu_norm_3D_comb</t>
        </is>
      </c>
    </row>
    <row r="219" ht="15" customHeight="1" s="10">
      <c r="A219" t="inlineStr">
        <is>
          <t>configuration C</t>
        </is>
      </c>
      <c r="B219" t="inlineStr">
        <is>
          <t>Run length matrix (3D, merged)</t>
        </is>
      </c>
      <c r="C219" t="inlineStr">
        <is>
          <t>Run percentage</t>
        </is>
      </c>
      <c r="E219" t="inlineStr">
        <is>
          <t>6-9</t>
        </is>
      </c>
      <c r="F219" t="n">
        <v>0.679</v>
      </c>
      <c r="G219" t="n">
        <v>0.003</v>
      </c>
      <c r="H219" s="6" t="n"/>
      <c r="I219" s="4">
        <f>IFERROR(IF(NOT(H219=""),ABS(ROUNDDOWN(F219-H219, 3 - (1+INT(LOG10(ABS(F219)))))),""),IF(AND(F219=0,NOT(F219="")),ABS(ROUNDDOWN(F219-H219,0)),""))</f>
        <v/>
      </c>
      <c r="J219" s="4">
        <f>IF(NOT(I219=""),IF(I219&lt;=G219,"match",IF(I219&lt;3*G219,"partial match","no match")),"")</f>
        <v/>
      </c>
      <c r="K219" t="inlineStr">
        <is>
          <t>rlm_r_perc_3D_comb</t>
        </is>
      </c>
    </row>
    <row r="220" ht="15" customHeight="1" s="10">
      <c r="A220" t="inlineStr">
        <is>
          <t>configuration C</t>
        </is>
      </c>
      <c r="B220" t="inlineStr">
        <is>
          <t>Run length matrix (3D, merged)</t>
        </is>
      </c>
      <c r="C220" t="inlineStr">
        <is>
          <t>Grey level variance</t>
        </is>
      </c>
      <c r="E220" t="inlineStr">
        <is>
          <t>6-9</t>
        </is>
      </c>
      <c r="F220" t="n">
        <v>101</v>
      </c>
      <c r="G220" t="n">
        <v>3</v>
      </c>
      <c r="H220" s="6" t="n"/>
      <c r="I220" s="4">
        <f>IFERROR(IF(NOT(H220=""),ABS(ROUNDDOWN(F220-H220, 3 - (1+INT(LOG10(ABS(F220)))))),""),IF(AND(F220=0,NOT(F220="")),ABS(ROUNDDOWN(F220-H220,0)),""))</f>
        <v/>
      </c>
      <c r="J220" s="4">
        <f>IF(NOT(I220=""),IF(I220&lt;=G220,"match",IF(I220&lt;3*G220,"partial match","no match")),"")</f>
        <v/>
      </c>
      <c r="K220" t="inlineStr">
        <is>
          <t>rlm_gl_var_3D_comb</t>
        </is>
      </c>
    </row>
    <row r="221" ht="15" customHeight="1" s="10">
      <c r="A221" t="inlineStr">
        <is>
          <t>configuration C</t>
        </is>
      </c>
      <c r="B221" t="inlineStr">
        <is>
          <t>Run length matrix (3D, merged)</t>
        </is>
      </c>
      <c r="C221" t="inlineStr">
        <is>
          <t>Run length variance</t>
        </is>
      </c>
      <c r="E221" t="inlineStr">
        <is>
          <t>6-9</t>
        </is>
      </c>
      <c r="F221" t="n">
        <v>1.11</v>
      </c>
      <c r="G221" t="n">
        <v>0.02</v>
      </c>
      <c r="H221" s="6" t="n"/>
      <c r="I221" s="4">
        <f>IFERROR(IF(NOT(H221=""),ABS(ROUNDDOWN(F221-H221, 3 - (1+INT(LOG10(ABS(F221)))))),""),IF(AND(F221=0,NOT(F221="")),ABS(ROUNDDOWN(F221-H221,0)),""))</f>
        <v/>
      </c>
      <c r="J221" s="4">
        <f>IF(NOT(I221=""),IF(I221&lt;=G221,"match",IF(I221&lt;3*G221,"partial match","no match")),"")</f>
        <v/>
      </c>
      <c r="K221" t="inlineStr">
        <is>
          <t>rlm_rl_var_3D_comb</t>
        </is>
      </c>
    </row>
    <row r="222" ht="15" customHeight="1" s="10">
      <c r="A222" t="inlineStr">
        <is>
          <t>configuration C</t>
        </is>
      </c>
      <c r="B222" t="inlineStr">
        <is>
          <t>Run length matrix (3D, merged)</t>
        </is>
      </c>
      <c r="C222" t="inlineStr">
        <is>
          <t>Run entropy</t>
        </is>
      </c>
      <c r="E222" t="inlineStr">
        <is>
          <t>6-9</t>
        </is>
      </c>
      <c r="F222" t="n">
        <v>5.35</v>
      </c>
      <c r="G222" t="n">
        <v>0.03</v>
      </c>
      <c r="H222" s="6" t="n"/>
      <c r="I222" s="4">
        <f>IFERROR(IF(NOT(H222=""),ABS(ROUNDDOWN(F222-H222, 3 - (1+INT(LOG10(ABS(F222)))))),""),IF(AND(F222=0,NOT(F222="")),ABS(ROUNDDOWN(F222-H222,0)),""))</f>
        <v/>
      </c>
      <c r="J222" s="4">
        <f>IF(NOT(I222=""),IF(I222&lt;=G222,"match",IF(I222&lt;3*G222,"partial match","no match")),"")</f>
        <v/>
      </c>
      <c r="K222" t="inlineStr">
        <is>
          <t>rlm_rl_entr_3D_comb</t>
        </is>
      </c>
    </row>
    <row r="223" ht="15" customHeight="1" s="10">
      <c r="A223" t="inlineStr">
        <is>
          <t>configuration C</t>
        </is>
      </c>
      <c r="B223" t="inlineStr">
        <is>
          <t>Size zone matrix (3D)</t>
        </is>
      </c>
      <c r="C223" t="inlineStr">
        <is>
          <t>Small zone emphasis</t>
        </is>
      </c>
      <c r="D223" t="inlineStr">
        <is>
          <t>SmallZoneEmphasis</t>
        </is>
      </c>
      <c r="E223" t="inlineStr">
        <is>
          <t>6-9</t>
        </is>
      </c>
      <c r="F223" t="n">
        <v>0.695</v>
      </c>
      <c r="G223" t="n">
        <v>0.001</v>
      </c>
      <c r="H223" s="6" t="n">
        <v>0.705570510130704</v>
      </c>
      <c r="I223" s="4">
        <f>IFERROR(IF(NOT(H223=""),ABS(ROUNDDOWN(F223-H223, 3 - (1+INT(LOG10(ABS(F223)))))),""),IF(AND(F223=0,NOT(F223="")),ABS(ROUNDDOWN(F223-H223,0)),""))</f>
        <v/>
      </c>
      <c r="J223" s="4">
        <f>IF(NOT(I223=""),IF(I223&lt;=G223,"match",IF(I223&lt;3*G223,"partial match","no match")),"")</f>
        <v/>
      </c>
      <c r="K223" t="inlineStr">
        <is>
          <t>szm_sze_3D</t>
        </is>
      </c>
    </row>
    <row r="224" ht="15" customHeight="1" s="10">
      <c r="A224" t="inlineStr">
        <is>
          <t>configuration C</t>
        </is>
      </c>
      <c r="B224" t="inlineStr">
        <is>
          <t>Size zone matrix (3D)</t>
        </is>
      </c>
      <c r="C224" t="inlineStr">
        <is>
          <t>Large zone emphasis</t>
        </is>
      </c>
      <c r="D224" t="inlineStr">
        <is>
          <t>LargeZoneEmphasis</t>
        </is>
      </c>
      <c r="E224" t="inlineStr">
        <is>
          <t>6-9</t>
        </is>
      </c>
      <c r="F224" t="n">
        <v>38900</v>
      </c>
      <c r="G224" t="n">
        <v>900</v>
      </c>
      <c r="H224" s="6" t="n">
        <v>38961.509591078</v>
      </c>
      <c r="I224" s="4">
        <f>IFERROR(IF(NOT(H224=""),ABS(ROUNDDOWN(F224-H224, 3 - (1+INT(LOG10(ABS(F224)))))),""),IF(AND(F224=0,NOT(F224="")),ABS(ROUNDDOWN(F224-H224,0)),""))</f>
        <v/>
      </c>
      <c r="J224" s="4">
        <f>IF(NOT(I224=""),IF(I224&lt;=G224,"match",IF(I224&lt;3*G224,"partial match","no match")),"")</f>
        <v/>
      </c>
      <c r="K224" t="inlineStr">
        <is>
          <t>szm_lze_3D</t>
        </is>
      </c>
    </row>
    <row r="225" ht="15" customHeight="1" s="10">
      <c r="A225" t="inlineStr">
        <is>
          <t>configuration C</t>
        </is>
      </c>
      <c r="B225" t="inlineStr">
        <is>
          <t>Size zone matrix (3D)</t>
        </is>
      </c>
      <c r="C225" t="inlineStr">
        <is>
          <t>Low grey level emphasis</t>
        </is>
      </c>
      <c r="D225" t="inlineStr">
        <is>
          <t>LowGrayLevelZoneEmphasis</t>
        </is>
      </c>
      <c r="E225" t="inlineStr">
        <is>
          <t>3-5</t>
        </is>
      </c>
      <c r="F225" t="n">
        <v>0.00235</v>
      </c>
      <c r="G225" t="n">
        <v>6e-05</v>
      </c>
      <c r="H225" s="8" t="n">
        <v>0.00245739471529875</v>
      </c>
      <c r="I225" s="4">
        <f>IFERROR(IF(NOT(H225=""),ABS(ROUNDDOWN(F225-H225, 3 - (1+INT(LOG10(ABS(F225)))))),""),IF(AND(F225=0,NOT(F225="")),ABS(ROUNDDOWN(F225-H225,0)),""))</f>
        <v/>
      </c>
      <c r="J225" s="4">
        <f>IF(NOT(I225=""),IF(I225&lt;=G225,"match",IF(I225&lt;3*G225,"partial match","no match")),"")</f>
        <v/>
      </c>
      <c r="K225" t="inlineStr">
        <is>
          <t>szm_lgze_3D</t>
        </is>
      </c>
    </row>
    <row r="226" ht="15" customHeight="1" s="10">
      <c r="A226" t="inlineStr">
        <is>
          <t>configuration C</t>
        </is>
      </c>
      <c r="B226" t="inlineStr">
        <is>
          <t>Size zone matrix (3D)</t>
        </is>
      </c>
      <c r="C226" t="inlineStr">
        <is>
          <t>High grey level emphasis</t>
        </is>
      </c>
      <c r="D226" t="inlineStr">
        <is>
          <t>HighGrayLevelZoneEmphasis</t>
        </is>
      </c>
      <c r="E226" t="inlineStr">
        <is>
          <t>3-5</t>
        </is>
      </c>
      <c r="F226" t="n">
        <v>971</v>
      </c>
      <c r="G226" t="n">
        <v>7</v>
      </c>
      <c r="H226" s="6" t="n">
        <v>988.9818587360591</v>
      </c>
      <c r="I226" s="4">
        <f>IFERROR(IF(NOT(H226=""),ABS(ROUNDDOWN(F226-H226, 3 - (1+INT(LOG10(ABS(F226)))))),""),IF(AND(F226=0,NOT(F226="")),ABS(ROUNDDOWN(F226-H226,0)),""))</f>
        <v/>
      </c>
      <c r="J226" s="4">
        <f>IF(NOT(I226=""),IF(I226&lt;=G226,"match",IF(I226&lt;3*G226,"partial match","no match")),"")</f>
        <v/>
      </c>
      <c r="K226" t="inlineStr">
        <is>
          <t>szm_hgze_3D</t>
        </is>
      </c>
    </row>
    <row r="227" ht="15" customHeight="1" s="10">
      <c r="A227" t="inlineStr">
        <is>
          <t>configuration C</t>
        </is>
      </c>
      <c r="B227" t="inlineStr">
        <is>
          <t>Size zone matrix (3D)</t>
        </is>
      </c>
      <c r="C227" t="inlineStr">
        <is>
          <t>Small zone low grey level emphasis</t>
        </is>
      </c>
      <c r="D227" t="inlineStr">
        <is>
          <t>SmallZoneLowGrayLevelEmphasis</t>
        </is>
      </c>
      <c r="E227" t="inlineStr">
        <is>
          <t>3-5</t>
        </is>
      </c>
      <c r="F227" t="n">
        <v>0.0016</v>
      </c>
      <c r="G227" t="n">
        <v>4e-05</v>
      </c>
      <c r="H227" s="8" t="n">
        <v>0.00171104970375388</v>
      </c>
      <c r="I227" s="4">
        <f>IFERROR(IF(NOT(H227=""),ABS(ROUNDDOWN(F227-H227, 3 - (1+INT(LOG10(ABS(F227)))))),""),IF(AND(F227=0,NOT(F227="")),ABS(ROUNDDOWN(F227-H227,0)),""))</f>
        <v/>
      </c>
      <c r="J227" s="4">
        <f>IF(NOT(I227=""),IF(I227&lt;=G227,"match",IF(I227&lt;3*G227,"partial match","no match")),"")</f>
        <v/>
      </c>
      <c r="K227" t="inlineStr">
        <is>
          <t>szm_szlge_3D</t>
        </is>
      </c>
    </row>
    <row r="228" ht="15" customHeight="1" s="10">
      <c r="A228" t="inlineStr">
        <is>
          <t>configuration C</t>
        </is>
      </c>
      <c r="B228" t="inlineStr">
        <is>
          <t>Size zone matrix (3D)</t>
        </is>
      </c>
      <c r="C228" t="inlineStr">
        <is>
          <t>Small zone high grey level emphasis</t>
        </is>
      </c>
      <c r="D228" t="inlineStr">
        <is>
          <t>SmallZoneHighGrayLevelEmphasis</t>
        </is>
      </c>
      <c r="E228" t="inlineStr">
        <is>
          <t>3-5</t>
        </is>
      </c>
      <c r="F228" t="n">
        <v>657</v>
      </c>
      <c r="G228" t="n">
        <v>4</v>
      </c>
      <c r="H228" s="6" t="n">
        <v>682.135366203019</v>
      </c>
      <c r="I228" s="4">
        <f>IFERROR(IF(NOT(H228=""),ABS(ROUNDDOWN(F228-H228, 3 - (1+INT(LOG10(ABS(F228)))))),""),IF(AND(F228=0,NOT(F228="")),ABS(ROUNDDOWN(F228-H228,0)),""))</f>
        <v/>
      </c>
      <c r="J228" s="4">
        <f>IF(NOT(I228=""),IF(I228&lt;=G228,"match",IF(I228&lt;3*G228,"partial match","no match")),"")</f>
        <v/>
      </c>
      <c r="K228" t="inlineStr">
        <is>
          <t>szm_szhge_3D</t>
        </is>
      </c>
    </row>
    <row r="229" ht="15" customHeight="1" s="10">
      <c r="A229" t="inlineStr">
        <is>
          <t>configuration C</t>
        </is>
      </c>
      <c r="B229" t="inlineStr">
        <is>
          <t>Size zone matrix (3D)</t>
        </is>
      </c>
      <c r="C229" t="inlineStr">
        <is>
          <t>Large zone low grey level emphasis</t>
        </is>
      </c>
      <c r="D229" t="inlineStr">
        <is>
          <t>LargeZoneLowGrayLevelEmphasis</t>
        </is>
      </c>
      <c r="E229" t="inlineStr">
        <is>
          <t>3-5</t>
        </is>
      </c>
      <c r="F229" t="n">
        <v>21.6</v>
      </c>
      <c r="G229" t="n">
        <v>0.5</v>
      </c>
      <c r="H229" s="6" t="n">
        <v>21.6058092828119</v>
      </c>
      <c r="I229" s="4">
        <f>IFERROR(IF(NOT(H229=""),ABS(ROUNDDOWN(F229-H229, 3 - (1+INT(LOG10(ABS(F229)))))),""),IF(AND(F229=0,NOT(F229="")),ABS(ROUNDDOWN(F229-H229,0)),""))</f>
        <v/>
      </c>
      <c r="J229" s="4">
        <f>IF(NOT(I229=""),IF(I229&lt;=G229,"match",IF(I229&lt;3*G229,"partial match","no match")),"")</f>
        <v/>
      </c>
      <c r="K229" t="inlineStr">
        <is>
          <t>szm_lzlge_3D</t>
        </is>
      </c>
    </row>
    <row r="230" ht="15" customHeight="1" s="10">
      <c r="A230" t="inlineStr">
        <is>
          <t>configuration C</t>
        </is>
      </c>
      <c r="B230" t="inlineStr">
        <is>
          <t>Size zone matrix (3D)</t>
        </is>
      </c>
      <c r="C230" t="inlineStr">
        <is>
          <t>Large zone high grey level emphasis</t>
        </is>
      </c>
      <c r="D230" t="inlineStr">
        <is>
          <t>LargeZoneHighGrayLevelEmphasis</t>
        </is>
      </c>
      <c r="E230" t="inlineStr">
        <is>
          <t>3-5</t>
        </is>
      </c>
      <c r="F230" t="n">
        <v>70700000</v>
      </c>
      <c r="G230" t="n">
        <v>1500000</v>
      </c>
      <c r="H230" s="8" t="n">
        <v>70717580.9161337</v>
      </c>
      <c r="I230" s="4">
        <f>IFERROR(IF(NOT(H230=""),ABS(ROUNDDOWN(F230-H230, 3 - (1+INT(LOG10(ABS(F230)))))),""),IF(AND(F230=0,NOT(F230="")),ABS(ROUNDDOWN(F230-H230,0)),""))</f>
        <v/>
      </c>
      <c r="J230" s="4">
        <f>IF(NOT(I230=""),IF(I230&lt;=G230,"match",IF(I230&lt;3*G230,"partial match","no match")),"")</f>
        <v/>
      </c>
      <c r="K230" t="inlineStr">
        <is>
          <t>szm_lzhge_3D</t>
        </is>
      </c>
    </row>
    <row r="231" ht="15" customHeight="1" s="10">
      <c r="A231" t="inlineStr">
        <is>
          <t>configuration C</t>
        </is>
      </c>
      <c r="B231" t="inlineStr">
        <is>
          <t>Size zone matrix (3D)</t>
        </is>
      </c>
      <c r="C231" t="inlineStr">
        <is>
          <t>Grey level non-uniformity</t>
        </is>
      </c>
      <c r="D231" t="inlineStr">
        <is>
          <t>GrayLevelNonUniformity</t>
        </is>
      </c>
      <c r="E231" t="inlineStr">
        <is>
          <t>6-9</t>
        </is>
      </c>
      <c r="F231" t="n">
        <v>195</v>
      </c>
      <c r="G231" t="n">
        <v>6</v>
      </c>
      <c r="H231" s="6" t="n">
        <v>192.111375464684</v>
      </c>
      <c r="I231" s="4">
        <f>IFERROR(IF(NOT(H231=""),ABS(ROUNDDOWN(F231-H231, 3 - (1+INT(LOG10(ABS(F231)))))),""),IF(AND(F231=0,NOT(F231="")),ABS(ROUNDDOWN(F231-H231,0)),""))</f>
        <v/>
      </c>
      <c r="J231" s="4">
        <f>IF(NOT(I231=""),IF(I231&lt;=G231,"match",IF(I231&lt;3*G231,"partial match","no match")),"")</f>
        <v/>
      </c>
      <c r="K231" t="inlineStr">
        <is>
          <t>szm_glnu_3D</t>
        </is>
      </c>
    </row>
    <row r="232" ht="15" customHeight="1" s="10">
      <c r="A232" t="inlineStr">
        <is>
          <t>configuration C</t>
        </is>
      </c>
      <c r="B232" t="inlineStr">
        <is>
          <t>Size zone matrix (3D)</t>
        </is>
      </c>
      <c r="C232" t="inlineStr">
        <is>
          <t>Grey level non uniformity normalised</t>
        </is>
      </c>
      <c r="D232" t="inlineStr">
        <is>
          <t>GrayLevelNonUniformityNormalized</t>
        </is>
      </c>
      <c r="E232" t="inlineStr">
        <is>
          <t>6-9</t>
        </is>
      </c>
      <c r="F232" t="n">
        <v>0.0286</v>
      </c>
      <c r="G232" t="n">
        <v>0.0003</v>
      </c>
      <c r="H232" s="6" t="n">
        <v>0.0285667472809939</v>
      </c>
      <c r="I232" s="4">
        <f>IFERROR(IF(NOT(H232=""),ABS(ROUNDDOWN(F232-H232, 3 - (1+INT(LOG10(ABS(F232)))))),""),IF(AND(F232=0,NOT(F232="")),ABS(ROUNDDOWN(F232-H232,0)),""))</f>
        <v/>
      </c>
      <c r="J232" s="4">
        <f>IF(NOT(I232=""),IF(I232&lt;=G232,"match",IF(I232&lt;3*G232,"partial match","no match")),"")</f>
        <v/>
      </c>
      <c r="K232" t="inlineStr">
        <is>
          <t>szm_glnu_norm_3D</t>
        </is>
      </c>
    </row>
    <row r="233" ht="15" customHeight="1" s="10">
      <c r="A233" t="inlineStr">
        <is>
          <t>configuration C</t>
        </is>
      </c>
      <c r="B233" t="inlineStr">
        <is>
          <t>Size zone matrix (3D)</t>
        </is>
      </c>
      <c r="C233" t="inlineStr">
        <is>
          <t>Zone size non-uniformity</t>
        </is>
      </c>
      <c r="D233" t="inlineStr">
        <is>
          <t>SizeZoneNonUniformity</t>
        </is>
      </c>
      <c r="E233" t="inlineStr">
        <is>
          <t>6-9</t>
        </is>
      </c>
      <c r="F233" t="n">
        <v>3040</v>
      </c>
      <c r="G233" t="n">
        <v>100</v>
      </c>
      <c r="H233" s="6" t="n">
        <v>3096.09888475836</v>
      </c>
      <c r="I233" s="4">
        <f>IFERROR(IF(NOT(H233=""),ABS(ROUNDDOWN(F233-H233, 3 - (1+INT(LOG10(ABS(F233)))))),""),IF(AND(F233=0,NOT(F233="")),ABS(ROUNDDOWN(F233-H233,0)),""))</f>
        <v/>
      </c>
      <c r="J233" s="4">
        <f>IF(NOT(I233=""),IF(I233&lt;=G233,"match",IF(I233&lt;3*G233,"partial match","no match")),"")</f>
        <v/>
      </c>
      <c r="K233" t="inlineStr">
        <is>
          <t>szm_zsnu_3D</t>
        </is>
      </c>
    </row>
    <row r="234" ht="15" customHeight="1" s="10">
      <c r="A234" t="inlineStr">
        <is>
          <t>configuration C</t>
        </is>
      </c>
      <c r="B234" t="inlineStr">
        <is>
          <t>Size zone matrix (3D)</t>
        </is>
      </c>
      <c r="C234" t="inlineStr">
        <is>
          <t>Zone size non-uniformity normalised</t>
        </is>
      </c>
      <c r="D234" t="inlineStr">
        <is>
          <t>SizeZoneNonUniformityNormalized</t>
        </is>
      </c>
      <c r="E234" t="inlineStr">
        <is>
          <t>6-9</t>
        </is>
      </c>
      <c r="F234" t="n">
        <v>0.447</v>
      </c>
      <c r="G234" t="n">
        <v>0.001</v>
      </c>
      <c r="H234" s="6" t="n">
        <v>0.460386451265184</v>
      </c>
      <c r="I234" s="4">
        <f>IFERROR(IF(NOT(H234=""),ABS(ROUNDDOWN(F234-H234, 3 - (1+INT(LOG10(ABS(F234)))))),""),IF(AND(F234=0,NOT(F234="")),ABS(ROUNDDOWN(F234-H234,0)),""))</f>
        <v/>
      </c>
      <c r="J234" s="4">
        <f>IF(NOT(I234=""),IF(I234&lt;=G234,"match",IF(I234&lt;3*G234,"partial match","no match")),"")</f>
        <v/>
      </c>
      <c r="K234" t="inlineStr">
        <is>
          <t>szm_zsnu_norm_3D</t>
        </is>
      </c>
    </row>
    <row r="235" ht="15" customHeight="1" s="10">
      <c r="A235" t="inlineStr">
        <is>
          <t>configuration C</t>
        </is>
      </c>
      <c r="B235" t="inlineStr">
        <is>
          <t>Size zone matrix (3D)</t>
        </is>
      </c>
      <c r="C235" t="inlineStr">
        <is>
          <t>Zone percentage</t>
        </is>
      </c>
      <c r="D235" t="inlineStr">
        <is>
          <t>ZonePercentage</t>
        </is>
      </c>
      <c r="E235" t="inlineStr">
        <is>
          <t>6-9</t>
        </is>
      </c>
      <c r="F235" t="n">
        <v>0.148</v>
      </c>
      <c r="G235" t="n">
        <v>0.003</v>
      </c>
      <c r="H235" s="6" t="n">
        <v>0.147174683765921</v>
      </c>
      <c r="I235" s="4">
        <f>IFERROR(IF(NOT(H235=""),ABS(ROUNDDOWN(F235-H235, 3 - (1+INT(LOG10(ABS(F235)))))),""),IF(AND(F235=0,NOT(F235="")),ABS(ROUNDDOWN(F235-H235,0)),""))</f>
        <v/>
      </c>
      <c r="J235" s="4">
        <f>IF(NOT(I235=""),IF(I235&lt;=G235,"match",IF(I235&lt;3*G235,"partial match","no match")),"")</f>
        <v/>
      </c>
      <c r="K235" t="inlineStr">
        <is>
          <t>szm_z_perc_3D</t>
        </is>
      </c>
    </row>
    <row r="236" ht="15" customHeight="1" s="10">
      <c r="A236" t="inlineStr">
        <is>
          <t>configuration C</t>
        </is>
      </c>
      <c r="B236" t="inlineStr">
        <is>
          <t>Size zone matrix (3D)</t>
        </is>
      </c>
      <c r="C236" t="inlineStr">
        <is>
          <t>Grey level variance</t>
        </is>
      </c>
      <c r="D236" t="inlineStr">
        <is>
          <t>GrayLevelVariance</t>
        </is>
      </c>
      <c r="E236" t="inlineStr">
        <is>
          <t>6-9</t>
        </is>
      </c>
      <c r="F236" t="n">
        <v>106</v>
      </c>
      <c r="G236" t="n">
        <v>1</v>
      </c>
      <c r="H236" s="6" t="n">
        <v>107.894086903166</v>
      </c>
      <c r="I236" s="4">
        <f>IFERROR(IF(NOT(H236=""),ABS(ROUNDDOWN(F236-H236, 3 - (1+INT(LOG10(ABS(F236)))))),""),IF(AND(F236=0,NOT(F236="")),ABS(ROUNDDOWN(F236-H236,0)),""))</f>
        <v/>
      </c>
      <c r="J236" s="4">
        <f>IF(NOT(I236=""),IF(I236&lt;=G236,"match",IF(I236&lt;3*G236,"partial match","no match")),"")</f>
        <v/>
      </c>
      <c r="K236" t="inlineStr">
        <is>
          <t>szm_gl_var_3D</t>
        </is>
      </c>
    </row>
    <row r="237" ht="15" customHeight="1" s="10">
      <c r="A237" t="inlineStr">
        <is>
          <t>configuration C</t>
        </is>
      </c>
      <c r="B237" t="inlineStr">
        <is>
          <t>Size zone matrix (3D)</t>
        </is>
      </c>
      <c r="C237" t="inlineStr">
        <is>
          <t>Zone size variance</t>
        </is>
      </c>
      <c r="D237" t="inlineStr">
        <is>
          <t>ZoneSizeVariance</t>
        </is>
      </c>
      <c r="E237" t="inlineStr">
        <is>
          <t>6-9</t>
        </is>
      </c>
      <c r="F237" t="n">
        <v>38900</v>
      </c>
      <c r="G237" t="n">
        <v>900</v>
      </c>
      <c r="H237" s="6" t="n">
        <v>38915.3423653957</v>
      </c>
      <c r="I237" s="4">
        <f>IFERROR(IF(NOT(H237=""),ABS(ROUNDDOWN(F237-H237, 3 - (1+INT(LOG10(ABS(F237)))))),""),IF(AND(F237=0,NOT(F237="")),ABS(ROUNDDOWN(F237-H237,0)),""))</f>
        <v/>
      </c>
      <c r="J237" s="4">
        <f>IF(NOT(I237=""),IF(I237&lt;=G237,"match",IF(I237&lt;3*G237,"partial match","no match")),"")</f>
        <v/>
      </c>
      <c r="K237" t="inlineStr">
        <is>
          <t>szm_zs_var_3D</t>
        </is>
      </c>
    </row>
    <row r="238" ht="15" customHeight="1" s="10">
      <c r="A238" t="inlineStr">
        <is>
          <t>configuration C</t>
        </is>
      </c>
      <c r="B238" t="inlineStr">
        <is>
          <t>Size zone matrix (3D)</t>
        </is>
      </c>
      <c r="C238" t="inlineStr">
        <is>
          <t>Zone size entropy</t>
        </is>
      </c>
      <c r="D238" t="inlineStr">
        <is>
          <t>ZoneSizeEntropy</t>
        </is>
      </c>
      <c r="E238" t="inlineStr">
        <is>
          <t>6-9</t>
        </is>
      </c>
      <c r="F238" t="n">
        <v>7</v>
      </c>
      <c r="G238" t="n">
        <v>0.01</v>
      </c>
      <c r="H238" s="6" t="n">
        <v>6.9702522636196</v>
      </c>
      <c r="I238" s="4">
        <f>IFERROR(IF(NOT(H238=""),ABS(ROUNDDOWN(F238-H238, 3 - (1+INT(LOG10(ABS(F238)))))),""),IF(AND(F238=0,NOT(F238="")),ABS(ROUNDDOWN(F238-H238,0)),""))</f>
        <v/>
      </c>
      <c r="J238" s="4">
        <f>IF(NOT(I238=""),IF(I238&lt;=G238,"match",IF(I238&lt;3*G238,"partial match","no match")),"")</f>
        <v/>
      </c>
      <c r="K238" t="inlineStr">
        <is>
          <t>szm_zs_entr_3D</t>
        </is>
      </c>
    </row>
    <row r="239" ht="15" customHeight="1" s="10">
      <c r="A239" t="inlineStr">
        <is>
          <t>configuration C</t>
        </is>
      </c>
      <c r="B239" t="inlineStr">
        <is>
          <t>Distance zone matrix (3D)</t>
        </is>
      </c>
      <c r="C239" t="inlineStr">
        <is>
          <t>Small distance emphasis</t>
        </is>
      </c>
      <c r="D239" t="inlineStr">
        <is>
          <t>SmallDistanceEmphasis</t>
        </is>
      </c>
      <c r="E239" t="inlineStr">
        <is>
          <t>3-5</t>
        </is>
      </c>
      <c r="F239" t="n">
        <v>0.531</v>
      </c>
      <c r="G239" t="n">
        <v>0.006</v>
      </c>
      <c r="H239" s="6" t="n">
        <v>0.542436317886689</v>
      </c>
      <c r="I239" s="4">
        <f>IFERROR(IF(NOT(H239=""),ABS(ROUNDDOWN(F239-H239, 3 - (1+INT(LOG10(ABS(F239)))))),""),IF(AND(F239=0,NOT(F239="")),ABS(ROUNDDOWN(F239-H239,0)),""))</f>
        <v/>
      </c>
      <c r="J239" s="4">
        <f>IF(NOT(I239=""),IF(I239&lt;=G239,"match",IF(I239&lt;3*G239,"partial match","no match")),"")</f>
        <v/>
      </c>
      <c r="K239" t="inlineStr">
        <is>
          <t>dzm_sde_3D</t>
        </is>
      </c>
    </row>
    <row r="240" ht="15" customHeight="1" s="10">
      <c r="A240" t="inlineStr">
        <is>
          <t>configuration C</t>
        </is>
      </c>
      <c r="B240" t="inlineStr">
        <is>
          <t>Distance zone matrix (3D)</t>
        </is>
      </c>
      <c r="C240" t="inlineStr">
        <is>
          <t>Large distance emphasis</t>
        </is>
      </c>
      <c r="D240" t="inlineStr">
        <is>
          <t>LargeDistanceEmphasis</t>
        </is>
      </c>
      <c r="E240" t="inlineStr">
        <is>
          <t>3-5</t>
        </is>
      </c>
      <c r="F240" t="n">
        <v>11</v>
      </c>
      <c r="G240" t="n">
        <v>0.3</v>
      </c>
      <c r="H240" s="6" t="n">
        <v>10.649814126394</v>
      </c>
      <c r="I240" s="4">
        <f>IFERROR(IF(NOT(H240=""),ABS(ROUNDDOWN(F240-H240, 3 - (1+INT(LOG10(ABS(F240)))))),""),IF(AND(F240=0,NOT(F240="")),ABS(ROUNDDOWN(F240-H240,0)),""))</f>
        <v/>
      </c>
      <c r="J240" s="4">
        <f>IF(NOT(I240=""),IF(I240&lt;=G240,"match",IF(I240&lt;3*G240,"partial match","no match")),"")</f>
        <v/>
      </c>
      <c r="K240" t="inlineStr">
        <is>
          <t>dzm_lde_3D</t>
        </is>
      </c>
    </row>
    <row r="241" ht="15" customHeight="1" s="10">
      <c r="A241" t="inlineStr">
        <is>
          <t>configuration C</t>
        </is>
      </c>
      <c r="B241" t="inlineStr">
        <is>
          <t>Distance zone matrix (3D)</t>
        </is>
      </c>
      <c r="C241" t="inlineStr">
        <is>
          <t>Low grey level emphasis</t>
        </is>
      </c>
      <c r="D241" t="inlineStr">
        <is>
          <t>LowGrayLevelZoneEmphasis</t>
        </is>
      </c>
      <c r="E241" t="inlineStr">
        <is>
          <t>3-5</t>
        </is>
      </c>
      <c r="F241" t="n">
        <v>0.00235</v>
      </c>
      <c r="G241" t="n">
        <v>6e-05</v>
      </c>
      <c r="H241" s="8" t="n">
        <v>0.00245739471529875</v>
      </c>
      <c r="I241" s="4">
        <f>IFERROR(IF(NOT(H241=""),ABS(ROUNDDOWN(F241-H241, 3 - (1+INT(LOG10(ABS(F241)))))),""),IF(AND(F241=0,NOT(F241="")),ABS(ROUNDDOWN(F241-H241,0)),""))</f>
        <v/>
      </c>
      <c r="J241" s="4">
        <f>IF(NOT(I241=""),IF(I241&lt;=G241,"match",IF(I241&lt;3*G241,"partial match","no match")),"")</f>
        <v/>
      </c>
      <c r="K241" t="inlineStr">
        <is>
          <t>dzm_lgze_3D</t>
        </is>
      </c>
    </row>
    <row r="242" ht="15" customHeight="1" s="10">
      <c r="A242" t="inlineStr">
        <is>
          <t>configuration C</t>
        </is>
      </c>
      <c r="B242" t="inlineStr">
        <is>
          <t>Distance zone matrix (3D)</t>
        </is>
      </c>
      <c r="C242" t="inlineStr">
        <is>
          <t>High grey level emphasis</t>
        </is>
      </c>
      <c r="D242" t="inlineStr">
        <is>
          <t>HighGrayLevelZoneEmphasis</t>
        </is>
      </c>
      <c r="E242" t="inlineStr">
        <is>
          <t>3-5</t>
        </is>
      </c>
      <c r="F242" t="n">
        <v>971</v>
      </c>
      <c r="G242" t="n">
        <v>7</v>
      </c>
      <c r="H242" s="6" t="n">
        <v>988.9818587360591</v>
      </c>
      <c r="I242" s="4">
        <f>IFERROR(IF(NOT(H242=""),ABS(ROUNDDOWN(F242-H242, 3 - (1+INT(LOG10(ABS(F242)))))),""),IF(AND(F242=0,NOT(F242="")),ABS(ROUNDDOWN(F242-H242,0)),""))</f>
        <v/>
      </c>
      <c r="J242" s="4">
        <f>IF(NOT(I242=""),IF(I242&lt;=G242,"match",IF(I242&lt;3*G242,"partial match","no match")),"")</f>
        <v/>
      </c>
      <c r="K242" t="inlineStr">
        <is>
          <t>dzm_hgze_3D</t>
        </is>
      </c>
    </row>
    <row r="243" ht="15" customHeight="1" s="10">
      <c r="A243" t="inlineStr">
        <is>
          <t>configuration C</t>
        </is>
      </c>
      <c r="B243" t="inlineStr">
        <is>
          <t>Distance zone matrix (3D)</t>
        </is>
      </c>
      <c r="C243" t="inlineStr">
        <is>
          <t>Small distance low grey level emphasis</t>
        </is>
      </c>
      <c r="D243" t="inlineStr">
        <is>
          <t>SmallDistanceLowGrayLevelEmphasis</t>
        </is>
      </c>
      <c r="E243" t="inlineStr">
        <is>
          <t>3-5</t>
        </is>
      </c>
      <c r="F243" t="n">
        <v>0.00149</v>
      </c>
      <c r="G243" t="n">
        <v>4e-05</v>
      </c>
      <c r="H243" s="8" t="n">
        <v>0.0015992685937522</v>
      </c>
      <c r="I243" s="4">
        <f>IFERROR(IF(NOT(H243=""),ABS(ROUNDDOWN(F243-H243, 3 - (1+INT(LOG10(ABS(F243)))))),""),IF(AND(F243=0,NOT(F243="")),ABS(ROUNDDOWN(F243-H243,0)),""))</f>
        <v/>
      </c>
      <c r="J243" s="4">
        <f>IF(NOT(I243=""),IF(I243&lt;=G243,"match",IF(I243&lt;3*G243,"partial match","no match")),"")</f>
        <v/>
      </c>
      <c r="K243" t="inlineStr">
        <is>
          <t>dzm_sdlge_3D</t>
        </is>
      </c>
    </row>
    <row r="244" ht="15" customHeight="1" s="10">
      <c r="A244" t="inlineStr">
        <is>
          <t>configuration C</t>
        </is>
      </c>
      <c r="B244" t="inlineStr">
        <is>
          <t>Distance zone matrix (3D)</t>
        </is>
      </c>
      <c r="C244" t="inlineStr">
        <is>
          <t>Small distance high grey level emphasis</t>
        </is>
      </c>
      <c r="D244" t="inlineStr">
        <is>
          <t>SmallDistanceHighGrayLevelEmphasis</t>
        </is>
      </c>
      <c r="E244" t="inlineStr">
        <is>
          <t>3-5</t>
        </is>
      </c>
      <c r="F244" t="n">
        <v>476</v>
      </c>
      <c r="G244" t="n">
        <v>11</v>
      </c>
      <c r="H244" s="6" t="n">
        <v>494.38591931457</v>
      </c>
      <c r="I244" s="4">
        <f>IFERROR(IF(NOT(H244=""),ABS(ROUNDDOWN(F244-H244, 3 - (1+INT(LOG10(ABS(F244)))))),""),IF(AND(F244=0,NOT(F244="")),ABS(ROUNDDOWN(F244-H244,0)),""))</f>
        <v/>
      </c>
      <c r="J244" s="4">
        <f>IF(NOT(I244=""),IF(I244&lt;=G244,"match",IF(I244&lt;3*G244,"partial match","no match")),"")</f>
        <v/>
      </c>
      <c r="K244" t="inlineStr">
        <is>
          <t>dzm_sdhge_3D</t>
        </is>
      </c>
    </row>
    <row r="245" ht="15" customHeight="1" s="10">
      <c r="A245" t="inlineStr">
        <is>
          <t>configuration C</t>
        </is>
      </c>
      <c r="B245" t="inlineStr">
        <is>
          <t>Distance zone matrix (3D)</t>
        </is>
      </c>
      <c r="C245" t="inlineStr">
        <is>
          <t>Large distance low grey level emphasis</t>
        </is>
      </c>
      <c r="D245" t="inlineStr">
        <is>
          <t>LargeDistanceLowGrayLevelEmphasis</t>
        </is>
      </c>
      <c r="E245" t="inlineStr">
        <is>
          <t>3-5</t>
        </is>
      </c>
      <c r="F245" t="n">
        <v>0.0154</v>
      </c>
      <c r="G245" t="n">
        <v>0.0005</v>
      </c>
      <c r="H245" s="6" t="n">
        <v>0.0152077739853506</v>
      </c>
      <c r="I245" s="4">
        <f>IFERROR(IF(NOT(H245=""),ABS(ROUNDDOWN(F245-H245, 3 - (1+INT(LOG10(ABS(F245)))))),""),IF(AND(F245=0,NOT(F245="")),ABS(ROUNDDOWN(F245-H245,0)),""))</f>
        <v/>
      </c>
      <c r="J245" s="4">
        <f>IF(NOT(I245=""),IF(I245&lt;=G245,"match",IF(I245&lt;3*G245,"partial match","no match")),"")</f>
        <v/>
      </c>
      <c r="K245" t="inlineStr">
        <is>
          <t>dzm_ldlge_3D</t>
        </is>
      </c>
    </row>
    <row r="246" ht="15" customHeight="1" s="10">
      <c r="A246" t="inlineStr">
        <is>
          <t>configuration C</t>
        </is>
      </c>
      <c r="B246" t="inlineStr">
        <is>
          <t>Distance zone matrix (3D)</t>
        </is>
      </c>
      <c r="C246" t="inlineStr">
        <is>
          <t>Large distance high grey level emphasis</t>
        </is>
      </c>
      <c r="D246" t="inlineStr">
        <is>
          <t>LargeDistanceHighGrayLevelEmphasis</t>
        </is>
      </c>
      <c r="E246" t="inlineStr">
        <is>
          <t>3-5</t>
        </is>
      </c>
      <c r="F246" t="n">
        <v>13400</v>
      </c>
      <c r="G246" t="n">
        <v>200</v>
      </c>
      <c r="H246" s="6" t="n">
        <v>13089.099330855</v>
      </c>
      <c r="I246" s="4">
        <f>IFERROR(IF(NOT(H246=""),ABS(ROUNDDOWN(F246-H246, 3 - (1+INT(LOG10(ABS(F246)))))),""),IF(AND(F246=0,NOT(F246="")),ABS(ROUNDDOWN(F246-H246,0)),""))</f>
        <v/>
      </c>
      <c r="J246" s="4">
        <f>IF(NOT(I246=""),IF(I246&lt;=G246,"match",IF(I246&lt;3*G246,"partial match","no match")),"")</f>
        <v/>
      </c>
      <c r="K246" t="inlineStr">
        <is>
          <t>dzm_ldhge_3D</t>
        </is>
      </c>
    </row>
    <row r="247" ht="15" customHeight="1" s="10">
      <c r="A247" t="inlineStr">
        <is>
          <t>configuration C</t>
        </is>
      </c>
      <c r="B247" t="inlineStr">
        <is>
          <t>Distance zone matrix (3D)</t>
        </is>
      </c>
      <c r="C247" t="inlineStr">
        <is>
          <t>Grey level non-uniformity</t>
        </is>
      </c>
      <c r="D247" t="inlineStr">
        <is>
          <t>GrayLevelNonUniformity</t>
        </is>
      </c>
      <c r="E247" t="inlineStr">
        <is>
          <t>3-5</t>
        </is>
      </c>
      <c r="F247" t="n">
        <v>195</v>
      </c>
      <c r="G247" t="n">
        <v>6</v>
      </c>
      <c r="H247" s="6" t="n">
        <v>192.111375464684</v>
      </c>
      <c r="I247" s="4">
        <f>IFERROR(IF(NOT(H247=""),ABS(ROUNDDOWN(F247-H247, 3 - (1+INT(LOG10(ABS(F247)))))),""),IF(AND(F247=0,NOT(F247="")),ABS(ROUNDDOWN(F247-H247,0)),""))</f>
        <v/>
      </c>
      <c r="J247" s="4">
        <f>IF(NOT(I247=""),IF(I247&lt;=G247,"match",IF(I247&lt;3*G247,"partial match","no match")),"")</f>
        <v/>
      </c>
      <c r="K247" t="inlineStr">
        <is>
          <t>dzm_glnu_3D</t>
        </is>
      </c>
    </row>
    <row r="248" ht="15" customHeight="1" s="10">
      <c r="A248" t="inlineStr">
        <is>
          <t>configuration C</t>
        </is>
      </c>
      <c r="B248" t="inlineStr">
        <is>
          <t>Distance zone matrix (3D)</t>
        </is>
      </c>
      <c r="C248" t="inlineStr">
        <is>
          <t>Grey level non-uniformity normalised</t>
        </is>
      </c>
      <c r="D248" t="inlineStr">
        <is>
          <t>GrayLevelNonUniformityNormalized</t>
        </is>
      </c>
      <c r="E248" t="inlineStr">
        <is>
          <t>3-5</t>
        </is>
      </c>
      <c r="F248" t="n">
        <v>0.0286</v>
      </c>
      <c r="G248" t="n">
        <v>0.0003</v>
      </c>
      <c r="H248" s="6" t="n">
        <v>0.0285667472809939</v>
      </c>
      <c r="I248" s="4">
        <f>IFERROR(IF(NOT(H248=""),ABS(ROUNDDOWN(F248-H248, 3 - (1+INT(LOG10(ABS(F248)))))),""),IF(AND(F248=0,NOT(F248="")),ABS(ROUNDDOWN(F248-H248,0)),""))</f>
        <v/>
      </c>
      <c r="J248" s="4">
        <f>IF(NOT(I248=""),IF(I248&lt;=G248,"match",IF(I248&lt;3*G248,"partial match","no match")),"")</f>
        <v/>
      </c>
      <c r="K248" t="inlineStr">
        <is>
          <t>dzm_glnu_norm_3D</t>
        </is>
      </c>
    </row>
    <row r="249" ht="15" customHeight="1" s="10">
      <c r="A249" t="inlineStr">
        <is>
          <t>configuration C</t>
        </is>
      </c>
      <c r="B249" t="inlineStr">
        <is>
          <t>Distance zone matrix (3D)</t>
        </is>
      </c>
      <c r="C249" t="inlineStr">
        <is>
          <t>Zone distance non-uniformity</t>
        </is>
      </c>
      <c r="D249" t="inlineStr">
        <is>
          <t>ZoneDistanceNonUniformity</t>
        </is>
      </c>
      <c r="E249" t="inlineStr">
        <is>
          <t>3-5</t>
        </is>
      </c>
      <c r="F249" t="n">
        <v>1870</v>
      </c>
      <c r="G249" t="n">
        <v>40</v>
      </c>
      <c r="H249" s="6" t="n">
        <v>1908.40252788104</v>
      </c>
      <c r="I249" s="4">
        <f>IFERROR(IF(NOT(H249=""),ABS(ROUNDDOWN(F249-H249, 3 - (1+INT(LOG10(ABS(F249)))))),""),IF(AND(F249=0,NOT(F249="")),ABS(ROUNDDOWN(F249-H249,0)),""))</f>
        <v/>
      </c>
      <c r="J249" s="4">
        <f>IF(NOT(I249=""),IF(I249&lt;=G249,"match",IF(I249&lt;3*G249,"partial match","no match")),"")</f>
        <v/>
      </c>
      <c r="K249" t="inlineStr">
        <is>
          <t>dzm_zdnu_3D</t>
        </is>
      </c>
    </row>
    <row r="250" ht="15" customHeight="1" s="10">
      <c r="A250" t="inlineStr">
        <is>
          <t>configuration C</t>
        </is>
      </c>
      <c r="B250" t="inlineStr">
        <is>
          <t>Distance zone matrix (3D)</t>
        </is>
      </c>
      <c r="C250" t="inlineStr">
        <is>
          <t>Zone distance non-uniformity normalised</t>
        </is>
      </c>
      <c r="D250" t="inlineStr">
        <is>
          <t>ZoneDistanceNonUniformityNormalized</t>
        </is>
      </c>
      <c r="E250" t="inlineStr">
        <is>
          <t>3-5</t>
        </is>
      </c>
      <c r="F250" t="n">
        <v>0.274</v>
      </c>
      <c r="G250" t="n">
        <v>0.005</v>
      </c>
      <c r="H250" s="6" t="n">
        <v>0.283777327565954</v>
      </c>
      <c r="I250" s="4">
        <f>IFERROR(IF(NOT(H250=""),ABS(ROUNDDOWN(F250-H250, 3 - (1+INT(LOG10(ABS(F250)))))),""),IF(AND(F250=0,NOT(F250="")),ABS(ROUNDDOWN(F250-H250,0)),""))</f>
        <v/>
      </c>
      <c r="J250" s="4">
        <f>IF(NOT(I250=""),IF(I250&lt;=G250,"match",IF(I250&lt;3*G250,"partial match","no match")),"")</f>
        <v/>
      </c>
      <c r="K250" t="inlineStr">
        <is>
          <t>dzm_zdnu_norm_3D</t>
        </is>
      </c>
    </row>
    <row r="251" ht="15" customHeight="1" s="10">
      <c r="A251" t="inlineStr">
        <is>
          <t>configuration C</t>
        </is>
      </c>
      <c r="B251" t="inlineStr">
        <is>
          <t>Distance zone matrix (3D)</t>
        </is>
      </c>
      <c r="C251" t="inlineStr">
        <is>
          <t>Zone percentage</t>
        </is>
      </c>
      <c r="D251" t="inlineStr">
        <is>
          <t>ZonePercentage</t>
        </is>
      </c>
      <c r="E251" t="inlineStr">
        <is>
          <t>3-5</t>
        </is>
      </c>
      <c r="F251" t="n">
        <v>0.148</v>
      </c>
      <c r="G251" t="n">
        <v>0.003</v>
      </c>
      <c r="H251" s="6" t="n">
        <v>0.147174683765921</v>
      </c>
      <c r="I251" s="4">
        <f>IFERROR(IF(NOT(H251=""),ABS(ROUNDDOWN(F251-H251, 3 - (1+INT(LOG10(ABS(F251)))))),""),IF(AND(F251=0,NOT(F251="")),ABS(ROUNDDOWN(F251-H251,0)),""))</f>
        <v/>
      </c>
      <c r="J251" s="4">
        <f>IF(NOT(I251=""),IF(I251&lt;=G251,"match",IF(I251&lt;3*G251,"partial match","no match")),"")</f>
        <v/>
      </c>
      <c r="K251" t="inlineStr">
        <is>
          <t>dzm_z_perc_3D</t>
        </is>
      </c>
    </row>
    <row r="252" ht="15" customHeight="1" s="10">
      <c r="A252" t="inlineStr">
        <is>
          <t>configuration C</t>
        </is>
      </c>
      <c r="B252" t="inlineStr">
        <is>
          <t>Distance zone matrix (3D)</t>
        </is>
      </c>
      <c r="C252" t="inlineStr">
        <is>
          <t>Grey level variance</t>
        </is>
      </c>
      <c r="D252" t="inlineStr">
        <is>
          <t>GrayLevelVariance</t>
        </is>
      </c>
      <c r="E252" t="inlineStr">
        <is>
          <t>6-9</t>
        </is>
      </c>
      <c r="F252" t="n">
        <v>106</v>
      </c>
      <c r="G252" t="n">
        <v>1</v>
      </c>
      <c r="H252" s="6" t="n">
        <v>107.894086903166</v>
      </c>
      <c r="I252" s="4">
        <f>IFERROR(IF(NOT(H252=""),ABS(ROUNDDOWN(F252-H252, 3 - (1+INT(LOG10(ABS(F252)))))),""),IF(AND(F252=0,NOT(F252="")),ABS(ROUNDDOWN(F252-H252,0)),""))</f>
        <v/>
      </c>
      <c r="J252" s="4">
        <f>IF(NOT(I252=""),IF(I252&lt;=G252,"match",IF(I252&lt;3*G252,"partial match","no match")),"")</f>
        <v/>
      </c>
      <c r="K252" t="inlineStr">
        <is>
          <t>dzm_gl_var_3D</t>
        </is>
      </c>
    </row>
    <row r="253" ht="15" customHeight="1" s="10">
      <c r="A253" t="inlineStr">
        <is>
          <t>configuration C</t>
        </is>
      </c>
      <c r="B253" t="inlineStr">
        <is>
          <t>Distance zone matrix (3D)</t>
        </is>
      </c>
      <c r="C253" t="inlineStr">
        <is>
          <t>Zone distance variance</t>
        </is>
      </c>
      <c r="D253" t="inlineStr">
        <is>
          <t>ZoneDistanceVariance</t>
        </is>
      </c>
      <c r="E253" t="inlineStr">
        <is>
          <t>3-5</t>
        </is>
      </c>
      <c r="F253" t="n">
        <v>4.6</v>
      </c>
      <c r="G253" t="n">
        <v>0.06</v>
      </c>
      <c r="H253" s="6" t="n">
        <v>4.48317740219179</v>
      </c>
      <c r="I253" s="4">
        <f>IFERROR(IF(NOT(H253=""),ABS(ROUNDDOWN(F253-H253, 3 - (1+INT(LOG10(ABS(F253)))))),""),IF(AND(F253=0,NOT(F253="")),ABS(ROUNDDOWN(F253-H253,0)),""))</f>
        <v/>
      </c>
      <c r="J253" s="4">
        <f>IF(NOT(I253=""),IF(I253&lt;=G253,"match",IF(I253&lt;3*G253,"partial match","no match")),"")</f>
        <v/>
      </c>
      <c r="K253" t="inlineStr">
        <is>
          <t>dzm_zd_var_3D</t>
        </is>
      </c>
    </row>
    <row r="254" ht="15" customHeight="1" s="10">
      <c r="A254" t="inlineStr">
        <is>
          <t>configuration C</t>
        </is>
      </c>
      <c r="B254" t="inlineStr">
        <is>
          <t>Distance zone matrix (3D)</t>
        </is>
      </c>
      <c r="C254" t="inlineStr">
        <is>
          <t>Zone distance entropy</t>
        </is>
      </c>
      <c r="D254" t="inlineStr">
        <is>
          <t>ZoneDistanceEntropy</t>
        </is>
      </c>
      <c r="E254" t="inlineStr">
        <is>
          <t>3-5</t>
        </is>
      </c>
      <c r="F254" t="n">
        <v>7.56</v>
      </c>
      <c r="G254" t="n">
        <v>0.03</v>
      </c>
      <c r="H254" s="6" t="n">
        <v>7.54088571903384</v>
      </c>
      <c r="I254" s="4">
        <f>IFERROR(IF(NOT(H254=""),ABS(ROUNDDOWN(F254-H254, 3 - (1+INT(LOG10(ABS(F254)))))),""),IF(AND(F254=0,NOT(F254="")),ABS(ROUNDDOWN(F254-H254,0)),""))</f>
        <v/>
      </c>
      <c r="J254" s="4">
        <f>IF(NOT(I254=""),IF(I254&lt;=G254,"match",IF(I254&lt;3*G254,"partial match","no match")),"")</f>
        <v/>
      </c>
      <c r="K254" t="inlineStr">
        <is>
          <t>dzm_zd_entr_3D</t>
        </is>
      </c>
    </row>
    <row r="255" ht="15" customHeight="1" s="10">
      <c r="A255" t="inlineStr">
        <is>
          <t>configuration C</t>
        </is>
      </c>
      <c r="B255" t="inlineStr">
        <is>
          <t>Neighbourhood grey tone difference matrix (3D)</t>
        </is>
      </c>
      <c r="C255" t="inlineStr">
        <is>
          <t>Coarseness</t>
        </is>
      </c>
      <c r="D255" t="inlineStr">
        <is>
          <t>Coarseness</t>
        </is>
      </c>
      <c r="E255" t="inlineStr">
        <is>
          <t>6-9</t>
        </is>
      </c>
      <c r="F255" t="n">
        <v>0.000216</v>
      </c>
      <c r="G255" t="n">
        <v>4e-06</v>
      </c>
      <c r="H255" s="8" t="n">
        <v>0.000215290471759194</v>
      </c>
      <c r="I255" s="4">
        <f>IFERROR(IF(NOT(H255=""),ABS(ROUNDDOWN(F255-H255, 3 - (1+INT(LOG10(ABS(F255)))))),""),IF(AND(F255=0,NOT(F255="")),ABS(ROUNDDOWN(F255-H255,0)),""))</f>
        <v/>
      </c>
      <c r="J255" s="4">
        <f>IF(NOT(I255=""),IF(I255&lt;=G255,"match",IF(I255&lt;3*G255,"partial match","no match")),"")</f>
        <v/>
      </c>
      <c r="K255" t="inlineStr">
        <is>
          <t>ngt_coarseness_3D</t>
        </is>
      </c>
    </row>
    <row r="256" ht="15" customHeight="1" s="10">
      <c r="A256" t="inlineStr">
        <is>
          <t>configuration C</t>
        </is>
      </c>
      <c r="B256" t="inlineStr">
        <is>
          <t>Neighbourhood grey tone difference matrix (3D)</t>
        </is>
      </c>
      <c r="C256" t="inlineStr">
        <is>
          <t>Contrast</t>
        </is>
      </c>
      <c r="D256" t="inlineStr">
        <is>
          <t>Contrast</t>
        </is>
      </c>
      <c r="E256" t="inlineStr">
        <is>
          <t>6-9</t>
        </is>
      </c>
      <c r="F256" t="n">
        <v>0.0873</v>
      </c>
      <c r="G256" t="n">
        <v>0.0019</v>
      </c>
      <c r="H256" s="6" t="n">
        <v>0.0829488955485972</v>
      </c>
      <c r="I256" s="4">
        <f>IFERROR(IF(NOT(H256=""),ABS(ROUNDDOWN(F256-H256, 3 - (1+INT(LOG10(ABS(F256)))))),""),IF(AND(F256=0,NOT(F256="")),ABS(ROUNDDOWN(F256-H256,0)),""))</f>
        <v/>
      </c>
      <c r="J256" s="4">
        <f>IF(NOT(I256=""),IF(I256&lt;=G256,"match",IF(I256&lt;3*G256,"partial match","no match")),"")</f>
        <v/>
      </c>
      <c r="K256" t="inlineStr">
        <is>
          <t>ngt_contrast_3D</t>
        </is>
      </c>
    </row>
    <row r="257" ht="15" customHeight="1" s="10">
      <c r="A257" t="inlineStr">
        <is>
          <t>configuration C</t>
        </is>
      </c>
      <c r="B257" t="inlineStr">
        <is>
          <t>Neighbourhood grey tone difference matrix (3D)</t>
        </is>
      </c>
      <c r="C257" t="inlineStr">
        <is>
          <t>Busyness</t>
        </is>
      </c>
      <c r="D257" t="inlineStr">
        <is>
          <t>Busyness</t>
        </is>
      </c>
      <c r="E257" t="inlineStr">
        <is>
          <t>6-9</t>
        </is>
      </c>
      <c r="F257" t="n">
        <v>1.39</v>
      </c>
      <c r="G257" t="n">
        <v>0.01</v>
      </c>
      <c r="H257" s="6" t="n">
        <v>1.35885864187416</v>
      </c>
      <c r="I257" s="4">
        <f>IFERROR(IF(NOT(H257=""),ABS(ROUNDDOWN(F257-H257, 3 - (1+INT(LOG10(ABS(F257)))))),""),IF(AND(F257=0,NOT(F257="")),ABS(ROUNDDOWN(F257-H257,0)),""))</f>
        <v/>
      </c>
      <c r="J257" s="4">
        <f>IF(NOT(I257=""),IF(I257&lt;=G257,"match",IF(I257&lt;3*G257,"partial match","no match")),"")</f>
        <v/>
      </c>
      <c r="K257" t="inlineStr">
        <is>
          <t>ngt_busyness_3D</t>
        </is>
      </c>
    </row>
    <row r="258" ht="15" customHeight="1" s="10">
      <c r="A258" t="inlineStr">
        <is>
          <t>configuration C</t>
        </is>
      </c>
      <c r="B258" t="inlineStr">
        <is>
          <t>Neighbourhood grey tone difference matrix (3D)</t>
        </is>
      </c>
      <c r="C258" t="inlineStr">
        <is>
          <t>Complexity</t>
        </is>
      </c>
      <c r="D258" t="inlineStr">
        <is>
          <t>Complexity</t>
        </is>
      </c>
      <c r="E258" t="inlineStr">
        <is>
          <t>6-9</t>
        </is>
      </c>
      <c r="F258" t="n">
        <v>1810</v>
      </c>
      <c r="G258" t="n">
        <v>60</v>
      </c>
      <c r="H258" s="6" t="n">
        <v>1862.33722438195</v>
      </c>
      <c r="I258" s="4">
        <f>IFERROR(IF(NOT(H258=""),ABS(ROUNDDOWN(F258-H258, 3 - (1+INT(LOG10(ABS(F258)))))),""),IF(AND(F258=0,NOT(F258="")),ABS(ROUNDDOWN(F258-H258,0)),""))</f>
        <v/>
      </c>
      <c r="J258" s="4">
        <f>IF(NOT(I258=""),IF(I258&lt;=G258,"match",IF(I258&lt;3*G258,"partial match","no match")),"")</f>
        <v/>
      </c>
      <c r="K258" t="inlineStr">
        <is>
          <t>ngt_complexity_3D</t>
        </is>
      </c>
    </row>
    <row r="259" ht="15" customHeight="1" s="10">
      <c r="A259" t="inlineStr">
        <is>
          <t>configuration C</t>
        </is>
      </c>
      <c r="B259" t="inlineStr">
        <is>
          <t>Neighbourhood grey tone difference matrix (3D)</t>
        </is>
      </c>
      <c r="C259" t="inlineStr">
        <is>
          <t>Strength</t>
        </is>
      </c>
      <c r="D259" t="inlineStr">
        <is>
          <t>Strength</t>
        </is>
      </c>
      <c r="E259" t="inlineStr">
        <is>
          <t>6-9</t>
        </is>
      </c>
      <c r="F259" t="n">
        <v>0.651</v>
      </c>
      <c r="G259" t="n">
        <v>0.015</v>
      </c>
      <c r="H259" s="6" t="n">
        <v>0.660351654396819</v>
      </c>
      <c r="I259" s="4">
        <f>IFERROR(IF(NOT(H259=""),ABS(ROUNDDOWN(F259-H259, 3 - (1+INT(LOG10(ABS(F259)))))),""),IF(AND(F259=0,NOT(F259="")),ABS(ROUNDDOWN(F259-H259,0)),""))</f>
        <v/>
      </c>
      <c r="J259" s="4">
        <f>IF(NOT(I259=""),IF(I259&lt;=G259,"match",IF(I259&lt;3*G259,"partial match","no match")),"")</f>
        <v/>
      </c>
      <c r="K259" t="inlineStr">
        <is>
          <t>ngt_strength_3D</t>
        </is>
      </c>
    </row>
    <row r="260" ht="15" customHeight="1" s="10">
      <c r="A260" t="inlineStr">
        <is>
          <t>configuration C</t>
        </is>
      </c>
      <c r="B260" t="inlineStr">
        <is>
          <t>Neighbouring grey level dependence matrix (3D)</t>
        </is>
      </c>
      <c r="C260" t="inlineStr">
        <is>
          <t>Low dependence emphasis</t>
        </is>
      </c>
      <c r="D260" t="inlineStr">
        <is>
          <t>LowDependenceEmphasis</t>
        </is>
      </c>
      <c r="E260" t="inlineStr">
        <is>
          <t>6-9</t>
        </is>
      </c>
      <c r="F260" t="n">
        <v>0.137</v>
      </c>
      <c r="G260" t="n">
        <v>0.003</v>
      </c>
      <c r="H260" s="6" t="n">
        <v>0.137821227534491</v>
      </c>
      <c r="I260" s="4">
        <f>IFERROR(IF(NOT(H260=""),ABS(ROUNDDOWN(F260-H260, 3 - (1+INT(LOG10(ABS(F260)))))),""),IF(AND(F260=0,NOT(F260="")),ABS(ROUNDDOWN(F260-H260,0)),""))</f>
        <v/>
      </c>
      <c r="J260" s="4">
        <f>IF(NOT(I260=""),IF(I260&lt;=G260,"match",IF(I260&lt;3*G260,"partial match","no match")),"")</f>
        <v/>
      </c>
      <c r="K260" t="inlineStr">
        <is>
          <t>ngl_lde_3D</t>
        </is>
      </c>
    </row>
    <row r="261" ht="15" customHeight="1" s="10">
      <c r="A261" t="inlineStr">
        <is>
          <t>configuration C</t>
        </is>
      </c>
      <c r="B261" t="inlineStr">
        <is>
          <t>Neighbouring grey level dependence matrix (3D)</t>
        </is>
      </c>
      <c r="C261" t="inlineStr">
        <is>
          <t>High dependence emphasis</t>
        </is>
      </c>
      <c r="D261" t="inlineStr">
        <is>
          <t>HighDependenceEmphasis</t>
        </is>
      </c>
      <c r="E261" t="inlineStr">
        <is>
          <t>6-9</t>
        </is>
      </c>
      <c r="F261" t="n">
        <v>126</v>
      </c>
      <c r="G261" t="n">
        <v>2</v>
      </c>
      <c r="H261" s="6" t="n">
        <v>125.229920777344</v>
      </c>
      <c r="I261" s="4">
        <f>IFERROR(IF(NOT(H261=""),ABS(ROUNDDOWN(F261-H261, 3 - (1+INT(LOG10(ABS(F261)))))),""),IF(AND(F261=0,NOT(F261="")),ABS(ROUNDDOWN(F261-H261,0)),""))</f>
        <v/>
      </c>
      <c r="J261" s="4">
        <f>IF(NOT(I261=""),IF(I261&lt;=G261,"match",IF(I261&lt;3*G261,"partial match","no match")),"")</f>
        <v/>
      </c>
      <c r="K261" t="inlineStr">
        <is>
          <t>ngl_hde_3D</t>
        </is>
      </c>
    </row>
    <row r="262" ht="15" customHeight="1" s="10">
      <c r="A262" t="inlineStr">
        <is>
          <t>configuration C</t>
        </is>
      </c>
      <c r="B262" t="inlineStr">
        <is>
          <t>Neighbouring grey level dependence matrix (3D)</t>
        </is>
      </c>
      <c r="C262" t="inlineStr">
        <is>
          <t>Low grey level count emphasis</t>
        </is>
      </c>
      <c r="D262" t="inlineStr">
        <is>
          <t>LowGrayLevelCountEmphasis</t>
        </is>
      </c>
      <c r="E262" t="inlineStr">
        <is>
          <t>3-5</t>
        </is>
      </c>
      <c r="F262" t="n">
        <v>0.0013</v>
      </c>
      <c r="G262" t="n">
        <v>4e-05</v>
      </c>
      <c r="H262" s="8" t="n">
        <v>0.00130930923382614</v>
      </c>
      <c r="I262" s="4">
        <f>IFERROR(IF(NOT(H262=""),ABS(ROUNDDOWN(F262-H262, 3 - (1+INT(LOG10(ABS(F262)))))),""),IF(AND(F262=0,NOT(F262="")),ABS(ROUNDDOWN(F262-H262,0)),""))</f>
        <v/>
      </c>
      <c r="J262" s="4">
        <f>IF(NOT(I262=""),IF(I262&lt;=G262,"match",IF(I262&lt;3*G262,"partial match","no match")),"")</f>
        <v/>
      </c>
      <c r="K262" t="inlineStr">
        <is>
          <t>ngl_lgce_3D</t>
        </is>
      </c>
    </row>
    <row r="263" ht="15" customHeight="1" s="10">
      <c r="A263" t="inlineStr">
        <is>
          <t>configuration C</t>
        </is>
      </c>
      <c r="B263" t="inlineStr">
        <is>
          <t>Neighbouring grey level dependence matrix (3D)</t>
        </is>
      </c>
      <c r="C263" t="inlineStr">
        <is>
          <t>High grey level count emphasis</t>
        </is>
      </c>
      <c r="D263" t="inlineStr">
        <is>
          <t>HighGrayLevelCountEmphasis</t>
        </is>
      </c>
      <c r="E263" t="inlineStr">
        <is>
          <t>3-5</t>
        </is>
      </c>
      <c r="F263" t="n">
        <v>1570</v>
      </c>
      <c r="G263" t="n">
        <v>10</v>
      </c>
      <c r="H263" s="6" t="n">
        <v>1572.33188164748</v>
      </c>
      <c r="I263" s="4">
        <f>IFERROR(IF(NOT(H263=""),ABS(ROUNDDOWN(F263-H263, 3 - (1+INT(LOG10(ABS(F263)))))),""),IF(AND(F263=0,NOT(F263="")),ABS(ROUNDDOWN(F263-H263,0)),""))</f>
        <v/>
      </c>
      <c r="J263" s="4">
        <f>IF(NOT(I263=""),IF(I263&lt;=G263,"match",IF(I263&lt;3*G263,"partial match","no match")),"")</f>
        <v/>
      </c>
      <c r="K263" t="inlineStr">
        <is>
          <t>ngl_hgce_3D</t>
        </is>
      </c>
    </row>
    <row r="264" ht="15" customHeight="1" s="10">
      <c r="A264" t="inlineStr">
        <is>
          <t>configuration C</t>
        </is>
      </c>
      <c r="B264" t="inlineStr">
        <is>
          <t>Neighbouring grey level dependence matrix (3D)</t>
        </is>
      </c>
      <c r="C264" t="inlineStr">
        <is>
          <t>Low dependence low grey level emphasis</t>
        </is>
      </c>
      <c r="D264" t="inlineStr">
        <is>
          <t>LowDependenceLowGrayLevelEmphasis</t>
        </is>
      </c>
      <c r="E264" t="inlineStr">
        <is>
          <t>3-5</t>
        </is>
      </c>
      <c r="F264" t="n">
        <v>0.000306</v>
      </c>
      <c r="G264" t="n">
        <v>1.2e-05</v>
      </c>
      <c r="H264" s="8" t="n">
        <v>0.000323411330392143</v>
      </c>
      <c r="I264" s="4">
        <f>IFERROR(IF(NOT(H264=""),ABS(ROUNDDOWN(F264-H264, 3 - (1+INT(LOG10(ABS(F264)))))),""),IF(AND(F264=0,NOT(F264="")),ABS(ROUNDDOWN(F264-H264,0)),""))</f>
        <v/>
      </c>
      <c r="J264" s="4">
        <f>IF(NOT(I264=""),IF(I264&lt;=G264,"match",IF(I264&lt;3*G264,"partial match","no match")),"")</f>
        <v/>
      </c>
      <c r="K264" t="inlineStr">
        <is>
          <t>ngl_ldlge_3D</t>
        </is>
      </c>
    </row>
    <row r="265" ht="15" customHeight="1" s="10">
      <c r="A265" t="inlineStr">
        <is>
          <t>configuration C</t>
        </is>
      </c>
      <c r="B265" t="inlineStr">
        <is>
          <t>Neighbouring grey level dependence matrix (3D)</t>
        </is>
      </c>
      <c r="C265" t="inlineStr">
        <is>
          <t>Low dependence high grey level emphasis</t>
        </is>
      </c>
      <c r="D265" t="inlineStr">
        <is>
          <t>LowDependenceHighGrayLevelEmphasis</t>
        </is>
      </c>
      <c r="E265" t="inlineStr">
        <is>
          <t>3-5</t>
        </is>
      </c>
      <c r="F265" t="n">
        <v>141</v>
      </c>
      <c r="G265" t="n">
        <v>2</v>
      </c>
      <c r="H265" s="6" t="n">
        <v>144.155865776153</v>
      </c>
      <c r="I265" s="4">
        <f>IFERROR(IF(NOT(H265=""),ABS(ROUNDDOWN(F265-H265, 3 - (1+INT(LOG10(ABS(F265)))))),""),IF(AND(F265=0,NOT(F265="")),ABS(ROUNDDOWN(F265-H265,0)),""))</f>
        <v/>
      </c>
      <c r="J265" s="4">
        <f>IF(NOT(I265=""),IF(I265&lt;=G265,"match",IF(I265&lt;3*G265,"partial match","no match")),"")</f>
        <v/>
      </c>
      <c r="K265" t="inlineStr">
        <is>
          <t>ngl_ldhge_3D</t>
        </is>
      </c>
    </row>
    <row r="266" ht="15" customHeight="1" s="10">
      <c r="A266" t="inlineStr">
        <is>
          <t>configuration C</t>
        </is>
      </c>
      <c r="B266" t="inlineStr">
        <is>
          <t>Neighbouring grey level dependence matrix (3D)</t>
        </is>
      </c>
      <c r="C266" t="inlineStr">
        <is>
          <t>High dependence low grey level emphasis</t>
        </is>
      </c>
      <c r="D266" s="11" t="inlineStr">
        <is>
          <t>HighDependenceLowGrayLevelEmphasis</t>
        </is>
      </c>
      <c r="E266" t="inlineStr">
        <is>
          <t>3-5</t>
        </is>
      </c>
      <c r="F266" t="n">
        <v>0.0828</v>
      </c>
      <c r="G266" t="n">
        <v>0.0003</v>
      </c>
      <c r="H266" s="6" t="n">
        <v>0.0816743937073023</v>
      </c>
      <c r="I266" s="4">
        <f>IFERROR(IF(NOT(H266=""),ABS(ROUNDDOWN(F266-H266, 3 - (1+INT(LOG10(ABS(F266)))))),""),IF(AND(F266=0,NOT(F266="")),ABS(ROUNDDOWN(F266-H266,0)),""))</f>
        <v/>
      </c>
      <c r="J266" s="4">
        <f>IF(NOT(I266=""),IF(I266&lt;=G266,"match",IF(I266&lt;3*G266,"partial match","no match")),"")</f>
        <v/>
      </c>
      <c r="K266" t="inlineStr">
        <is>
          <t>ngl_hdlge_3D</t>
        </is>
      </c>
    </row>
    <row r="267" ht="15" customHeight="1" s="10">
      <c r="A267" t="inlineStr">
        <is>
          <t>configuration C</t>
        </is>
      </c>
      <c r="B267" t="inlineStr">
        <is>
          <t>Neighbouring grey level dependence matrix (3D)</t>
        </is>
      </c>
      <c r="C267" t="inlineStr">
        <is>
          <t>High dependence high grey level emphasis</t>
        </is>
      </c>
      <c r="D267" t="inlineStr">
        <is>
          <t>HighDependenceHighGrayLevelEmphasis</t>
        </is>
      </c>
      <c r="E267" t="inlineStr">
        <is>
          <t>3-5</t>
        </is>
      </c>
      <c r="F267" t="n">
        <v>227000</v>
      </c>
      <c r="G267" t="n">
        <v>3000</v>
      </c>
      <c r="H267" s="6" t="n">
        <v>224208.16560161</v>
      </c>
      <c r="I267" s="4">
        <f>IFERROR(IF(NOT(H267=""),ABS(ROUNDDOWN(F267-H267, 3 - (1+INT(LOG10(ABS(F267)))))),""),IF(AND(F267=0,NOT(F267="")),ABS(ROUNDDOWN(F267-H267,0)),""))</f>
        <v/>
      </c>
      <c r="J267" s="4">
        <f>IF(NOT(I267=""),IF(I267&lt;=G267,"match",IF(I267&lt;3*G267,"partial match","no match")),"")</f>
        <v/>
      </c>
      <c r="K267" t="inlineStr">
        <is>
          <t>ngl_hdhge_3D</t>
        </is>
      </c>
    </row>
    <row r="268" ht="15" customHeight="1" s="10">
      <c r="A268" t="inlineStr">
        <is>
          <t>configuration C</t>
        </is>
      </c>
      <c r="B268" t="inlineStr">
        <is>
          <t>Neighbouring grey level dependence matrix (3D)</t>
        </is>
      </c>
      <c r="C268" t="inlineStr">
        <is>
          <t>Grey level non-uniformity</t>
        </is>
      </c>
      <c r="D268" t="inlineStr">
        <is>
          <t>GrayLevelNonUniformity</t>
        </is>
      </c>
      <c r="E268" t="inlineStr">
        <is>
          <t>6-9</t>
        </is>
      </c>
      <c r="F268" t="n">
        <v>6420</v>
      </c>
      <c r="G268" t="n">
        <v>10</v>
      </c>
      <c r="H268" s="6" t="n">
        <v>6393.4025473804</v>
      </c>
      <c r="I268" s="4">
        <f>IFERROR(IF(NOT(H268=""),ABS(ROUNDDOWN(F268-H268, 3 - (1+INT(LOG10(ABS(F268)))))),""),IF(AND(F268=0,NOT(F268="")),ABS(ROUNDDOWN(F268-H268,0)),""))</f>
        <v/>
      </c>
      <c r="J268" s="4">
        <f>IF(NOT(I268=""),IF(I268&lt;=G268,"match",IF(I268&lt;3*G268,"partial match","no match")),"")</f>
        <v/>
      </c>
      <c r="K268" t="inlineStr">
        <is>
          <t>ngl_glnu_3D</t>
        </is>
      </c>
    </row>
    <row r="269" ht="15" customHeight="1" s="10">
      <c r="A269" t="inlineStr">
        <is>
          <t>configuration C</t>
        </is>
      </c>
      <c r="B269" t="inlineStr">
        <is>
          <t>Neighbouring grey level dependence matrix (3D)</t>
        </is>
      </c>
      <c r="C269" t="inlineStr">
        <is>
          <t>Grey level non-uniformity normalised</t>
        </is>
      </c>
      <c r="D269" t="inlineStr">
        <is>
          <t>GrayLevelNonUniformityNormalized</t>
        </is>
      </c>
      <c r="E269" t="inlineStr">
        <is>
          <t>6-9</t>
        </is>
      </c>
      <c r="F269" t="n">
        <v>0.14</v>
      </c>
      <c r="G269" t="n">
        <v>0.003</v>
      </c>
      <c r="H269" s="6" t="n">
        <v>0.139917769234043</v>
      </c>
      <c r="I269" s="4">
        <f>IFERROR(IF(NOT(H269=""),ABS(ROUNDDOWN(F269-H269, 3 - (1+INT(LOG10(ABS(F269)))))),""),IF(AND(F269=0,NOT(F269="")),ABS(ROUNDDOWN(F269-H269,0)),""))</f>
        <v/>
      </c>
      <c r="J269" s="4">
        <f>IF(NOT(I269=""),IF(I269&lt;=G269,"match",IF(I269&lt;3*G269,"partial match","no match")),"")</f>
        <v/>
      </c>
      <c r="K269" t="inlineStr">
        <is>
          <t>ngl_glnu_norm_3D</t>
        </is>
      </c>
    </row>
    <row r="270" ht="15" customHeight="1" s="10">
      <c r="A270" t="inlineStr">
        <is>
          <t>configuration C</t>
        </is>
      </c>
      <c r="B270" t="inlineStr">
        <is>
          <t>Neighbouring grey level dependence matrix (3D)</t>
        </is>
      </c>
      <c r="C270" t="inlineStr">
        <is>
          <t>Dependence count non-uniformity</t>
        </is>
      </c>
      <c r="D270" t="inlineStr">
        <is>
          <t>DependenceCountNonUniformity</t>
        </is>
      </c>
      <c r="E270" t="inlineStr">
        <is>
          <t>6-9</t>
        </is>
      </c>
      <c r="F270" t="n">
        <v>2450</v>
      </c>
      <c r="G270" t="n">
        <v>60</v>
      </c>
      <c r="H270" s="6" t="n">
        <v>2437.67952028712</v>
      </c>
      <c r="I270" s="4">
        <f>IFERROR(IF(NOT(H270=""),ABS(ROUNDDOWN(F270-H270, 3 - (1+INT(LOG10(ABS(F270)))))),""),IF(AND(F270=0,NOT(F270="")),ABS(ROUNDDOWN(F270-H270,0)),""))</f>
        <v/>
      </c>
      <c r="J270" s="4">
        <f>IF(NOT(I270=""),IF(I270&lt;=G270,"match",IF(I270&lt;3*G270,"partial match","no match")),"")</f>
        <v/>
      </c>
      <c r="K270" t="inlineStr">
        <is>
          <t>ngl_dcnu_3D</t>
        </is>
      </c>
    </row>
    <row r="271" ht="15" customHeight="1" s="10">
      <c r="A271" t="inlineStr">
        <is>
          <t>configuration C</t>
        </is>
      </c>
      <c r="B271" t="inlineStr">
        <is>
          <t>Neighbouring grey level dependence matrix (3D)</t>
        </is>
      </c>
      <c r="C271" t="inlineStr">
        <is>
          <t>Dependence count non-uniformity normalised</t>
        </is>
      </c>
      <c r="D271" t="inlineStr">
        <is>
          <t>DependenceCountNonUniformityNormalized</t>
        </is>
      </c>
      <c r="E271" t="inlineStr">
        <is>
          <t>6-9</t>
        </is>
      </c>
      <c r="F271" t="n">
        <v>0.0532</v>
      </c>
      <c r="G271" t="n">
        <v>0.0005</v>
      </c>
      <c r="H271" s="6" t="n">
        <v>0.053347912642516</v>
      </c>
      <c r="I271" s="4">
        <f>IFERROR(IF(NOT(H271=""),ABS(ROUNDDOWN(F271-H271, 3 - (1+INT(LOG10(ABS(F271)))))),""),IF(AND(F271=0,NOT(F271="")),ABS(ROUNDDOWN(F271-H271,0)),""))</f>
        <v/>
      </c>
      <c r="J271" s="4">
        <f>IF(NOT(I271=""),IF(I271&lt;=G271,"match",IF(I271&lt;3*G271,"partial match","no match")),"")</f>
        <v/>
      </c>
      <c r="K271" t="inlineStr">
        <is>
          <t>ngl_dcnu_norm_3D</t>
        </is>
      </c>
    </row>
    <row r="272" ht="15" customHeight="1" s="10">
      <c r="A272" t="inlineStr">
        <is>
          <t>configuration C</t>
        </is>
      </c>
      <c r="B272" t="inlineStr">
        <is>
          <t>Neighbouring grey level dependence matrix (3D)</t>
        </is>
      </c>
      <c r="C272" t="inlineStr">
        <is>
          <t>Dependence count percentage</t>
        </is>
      </c>
      <c r="D272" t="inlineStr">
        <is>
          <t>DependenceCountPercentage</t>
        </is>
      </c>
      <c r="E272" t="inlineStr">
        <is>
          <t>6-9</t>
        </is>
      </c>
      <c r="F272" t="n">
        <v>1</v>
      </c>
      <c r="G272" t="n">
        <v>0</v>
      </c>
      <c r="I272" s="4">
        <f>IFERROR(IF(NOT(H272=""),ABS(ROUNDDOWN(F272-H272, 3 - (1+INT(LOG10(ABS(F272)))))),""),IF(AND(F272=0,NOT(F272="")),ABS(ROUNDDOWN(F272-H273,0)),""))</f>
        <v/>
      </c>
      <c r="J272" s="4">
        <f>IF(NOT(I272=""),IF(I272&lt;=G272,"match",IF(I272&lt;3*G272,"partial match","no match")),"")</f>
        <v/>
      </c>
      <c r="K272" t="inlineStr">
        <is>
          <t>ngl_dc_perc_3D</t>
        </is>
      </c>
    </row>
    <row r="273" ht="15" customHeight="1" s="10">
      <c r="A273" t="inlineStr">
        <is>
          <t>configuration C</t>
        </is>
      </c>
      <c r="B273" t="inlineStr">
        <is>
          <t>Neighbouring grey level dependence matrix (3D)</t>
        </is>
      </c>
      <c r="C273" t="inlineStr">
        <is>
          <t>Grey level variance</t>
        </is>
      </c>
      <c r="D273" t="inlineStr">
        <is>
          <t>GrayLevelVariance</t>
        </is>
      </c>
      <c r="E273" t="inlineStr">
        <is>
          <t>6-9</t>
        </is>
      </c>
      <c r="F273" t="n">
        <v>81.09999999999999</v>
      </c>
      <c r="G273" t="n">
        <v>2.1</v>
      </c>
      <c r="H273" s="6" t="n">
        <v>79.8862675781231</v>
      </c>
      <c r="I273" s="4">
        <f>IFERROR(IF(NOT(H273=""),ABS(ROUNDDOWN(F273-H273, 3 - (1+INT(LOG10(ABS(F273)))))),""),IF(AND(F273=0,NOT(F273="")),ABS(ROUNDDOWN(F273-H274,0)),""))</f>
        <v/>
      </c>
      <c r="J273" s="4">
        <f>IF(NOT(I273=""),IF(I273&lt;=G273,"match",IF(I273&lt;3*G273,"partial match","no match")),"")</f>
        <v/>
      </c>
      <c r="K273" t="inlineStr">
        <is>
          <t>ngl_gl_var_3D</t>
        </is>
      </c>
    </row>
    <row r="274" ht="15" customHeight="1" s="10">
      <c r="A274" t="inlineStr">
        <is>
          <t>configuration C</t>
        </is>
      </c>
      <c r="B274" t="inlineStr">
        <is>
          <t>Neighbouring grey level dependence matrix (3D)</t>
        </is>
      </c>
      <c r="C274" t="inlineStr">
        <is>
          <t>Dependence count variance</t>
        </is>
      </c>
      <c r="D274" t="inlineStr">
        <is>
          <t>DependenceCountVariance</t>
        </is>
      </c>
      <c r="E274" t="inlineStr">
        <is>
          <t>3-5</t>
        </is>
      </c>
      <c r="F274" t="n">
        <v>39.2</v>
      </c>
      <c r="G274" t="n">
        <v>0.1</v>
      </c>
      <c r="H274" s="6" t="n">
        <v>38.780702942982</v>
      </c>
      <c r="I274" s="4">
        <f>IFERROR(IF(NOT(H274=""),ABS(ROUNDDOWN(F274-H274, 3 - (1+INT(LOG10(ABS(F274)))))),""),IF(AND(F274=0,NOT(F274="")),ABS(ROUNDDOWN(F274-H275,0)),""))</f>
        <v/>
      </c>
      <c r="J274" s="4">
        <f>IF(NOT(I274=""),IF(I274&lt;=G274,"match",IF(I274&lt;3*G274,"partial match","no match")),"")</f>
        <v/>
      </c>
      <c r="K274" t="inlineStr">
        <is>
          <t>ngl_dc_var_3D</t>
        </is>
      </c>
    </row>
    <row r="275" ht="15" customHeight="1" s="10">
      <c r="A275" t="inlineStr">
        <is>
          <t>configuration C</t>
        </is>
      </c>
      <c r="B275" t="inlineStr">
        <is>
          <t>Neighbouring grey level dependence matrix (3D)</t>
        </is>
      </c>
      <c r="C275" t="inlineStr">
        <is>
          <t>Dependence count entropy</t>
        </is>
      </c>
      <c r="D275" t="inlineStr">
        <is>
          <t>DependenceCountEntropy</t>
        </is>
      </c>
      <c r="E275" t="inlineStr">
        <is>
          <t>6-9</t>
        </is>
      </c>
      <c r="F275" t="n">
        <v>7.54</v>
      </c>
      <c r="G275" t="n">
        <v>0.03</v>
      </c>
      <c r="H275" s="6" t="n">
        <v>7.53297178981478</v>
      </c>
      <c r="I275" s="4">
        <f>IFERROR(IF(NOT(H275=""),ABS(ROUNDDOWN(F275-H275, 3 - (1+INT(LOG10(ABS(F275)))))),""),IF(AND(F275=0,NOT(F275="")),ABS(ROUNDDOWN(F275-H276,0)),""))</f>
        <v/>
      </c>
      <c r="J275" s="4">
        <f>IF(NOT(I275=""),IF(I275&lt;=G275,"match",IF(I275&lt;3*G275,"partial match","no match")),"")</f>
        <v/>
      </c>
      <c r="K275" t="inlineStr">
        <is>
          <t>ngl_dc_entr_3D</t>
        </is>
      </c>
    </row>
    <row r="276" ht="15" customHeight="1" s="10">
      <c r="A276" t="inlineStr">
        <is>
          <t>configuration C</t>
        </is>
      </c>
      <c r="B276" t="inlineStr">
        <is>
          <t>Neighbouring grey level dependence matrix (3D)</t>
        </is>
      </c>
      <c r="C276" t="inlineStr">
        <is>
          <t>Dependence count energy</t>
        </is>
      </c>
      <c r="D276" t="inlineStr">
        <is>
          <t>DependenceCountEnergy</t>
        </is>
      </c>
      <c r="E276" t="inlineStr">
        <is>
          <t>6-9</t>
        </is>
      </c>
      <c r="F276" t="n">
        <v>0.007889999999999999</v>
      </c>
      <c r="G276" t="n">
        <v>0.00011</v>
      </c>
      <c r="H276" s="6" t="n">
        <v>0.007826807856232611</v>
      </c>
      <c r="I276" s="4">
        <f>IFERROR(IF(NOT(H276=""),ABS(ROUNDDOWN(F276-H276, 3 - (1+INT(LOG10(ABS(F276)))))),""),IF(AND(F276=0,NOT(F276="")),ABS(ROUNDDOWN(F276-H277,0)),""))</f>
        <v/>
      </c>
      <c r="J276" s="4">
        <f>IF(NOT(I276=""),IF(I276&lt;=G276,"match",IF(I276&lt;3*G276,"partial match","no match")),"")</f>
        <v/>
      </c>
      <c r="K276" t="inlineStr">
        <is>
          <t>ngl_dc_energy_3D</t>
        </is>
      </c>
    </row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</sheetData>
  <conditionalFormatting sqref="J2:J276">
    <cfRule type="containsBlanks" priority="5" dxfId="3">
      <formula>LEN(TRIM(J2))=0</formula>
    </cfRule>
    <cfRule type="cellIs" priority="6" operator="equal" dxfId="2">
      <formula>"match"</formula>
    </cfRule>
    <cfRule type="cellIs" priority="7" operator="equal" dxfId="1">
      <formula>"partial match"</formula>
    </cfRule>
    <cfRule type="cellIs" priority="8" operator="equal" dxfId="0">
      <formula>"no match"</formula>
    </cfRule>
  </conditionalFormatting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431"/>
  <sheetViews>
    <sheetView topLeftCell="D28" workbookViewId="0">
      <selection activeCell="I278" sqref="I278"/>
    </sheetView>
  </sheetViews>
  <sheetFormatPr baseColWidth="8" defaultColWidth="14.42578125" defaultRowHeight="15.75" customHeight="1"/>
  <cols>
    <col width="43" customWidth="1" style="10" min="2" max="2"/>
    <col width="50.140625" customWidth="1" style="10" min="3" max="4"/>
    <col width="30.42578125" customWidth="1" style="10" min="11" max="11"/>
  </cols>
  <sheetData>
    <row r="1" ht="15" customHeight="1" s="10">
      <c r="A1" s="1" t="inlineStr">
        <is>
          <t>data_set</t>
        </is>
      </c>
      <c r="B1" s="1" t="inlineStr">
        <is>
          <t>family</t>
        </is>
      </c>
      <c r="C1" s="1" t="inlineStr">
        <is>
          <t>image_biomarker</t>
        </is>
      </c>
      <c r="D1" s="1" t="inlineStr">
        <is>
          <t>RadiomicsJ_NAME</t>
        </is>
      </c>
      <c r="E1" s="1" t="inlineStr">
        <is>
          <t>consensus</t>
        </is>
      </c>
      <c r="F1" s="1" t="inlineStr">
        <is>
          <t>benchmark_value</t>
        </is>
      </c>
      <c r="G1" s="1" t="inlineStr">
        <is>
          <t>tolerance</t>
        </is>
      </c>
      <c r="H1" s="1" t="inlineStr">
        <is>
          <t>your_result</t>
        </is>
      </c>
      <c r="I1" s="1" t="inlineStr">
        <is>
          <t>difference</t>
        </is>
      </c>
      <c r="J1" s="1" t="inlineStr">
        <is>
          <t>check</t>
        </is>
      </c>
      <c r="K1" s="1" t="inlineStr">
        <is>
          <t>tag</t>
        </is>
      </c>
      <c r="L1" t="inlineStr">
        <is>
          <t>reference_status</t>
        </is>
      </c>
    </row>
    <row r="2" ht="15" customHeight="1" s="10">
      <c r="A2" t="inlineStr">
        <is>
          <t>configuration D</t>
        </is>
      </c>
      <c r="B2" t="inlineStr">
        <is>
          <t>Diagnostics-initial image</t>
        </is>
      </c>
      <c r="C2" t="inlineStr">
        <is>
          <t>Image dimension x</t>
        </is>
      </c>
      <c r="D2" t="inlineStr">
        <is>
          <t>DiagnosticsInitialImageImageDimensionX</t>
        </is>
      </c>
      <c r="E2" t="inlineStr">
        <is>
          <t>6-9</t>
        </is>
      </c>
      <c r="F2" t="n">
        <v>204</v>
      </c>
      <c r="G2" t="n">
        <v>0</v>
      </c>
      <c r="H2" s="9" t="n">
        <v>204</v>
      </c>
      <c r="I2" s="4">
        <f>IFERROR(IF(NOT(H2=""),ABS(ROUNDDOWN(F2-H2, 3 - (1+INT(LOG10(ABS(F2)))))),""),IF(AND(F2=0,NOT(F2="")),ABS(ROUNDDOWN(F2-H2,0)),""))</f>
        <v/>
      </c>
      <c r="J2" s="4">
        <f>IF(NOT(I2=""),IF(I2&lt;=G2,"match",IF(I2&lt;3*G2,"partial match","no match")),"")</f>
        <v/>
      </c>
      <c r="K2" t="inlineStr">
        <is>
          <t>img_dim_x_init_img</t>
        </is>
      </c>
    </row>
    <row r="3" ht="15" customHeight="1" s="10">
      <c r="A3" t="inlineStr">
        <is>
          <t>configuration D</t>
        </is>
      </c>
      <c r="B3" t="inlineStr">
        <is>
          <t>Diagnostics-initial image</t>
        </is>
      </c>
      <c r="C3" t="inlineStr">
        <is>
          <t>Image dimension y</t>
        </is>
      </c>
      <c r="D3" t="inlineStr">
        <is>
          <t>DiagnosticsInitialImageImageDimensionY</t>
        </is>
      </c>
      <c r="E3" t="inlineStr">
        <is>
          <t>6-9</t>
        </is>
      </c>
      <c r="F3" t="n">
        <v>201</v>
      </c>
      <c r="G3" t="n">
        <v>0</v>
      </c>
      <c r="H3" s="9" t="n">
        <v>201</v>
      </c>
      <c r="I3" s="4">
        <f>IFERROR(IF(NOT(H3=""),ABS(ROUNDDOWN(F3-H3, 3 - (1+INT(LOG10(ABS(F3)))))),""),IF(AND(F3=0,NOT(F3="")),ABS(ROUNDDOWN(F3-H3,0)),""))</f>
        <v/>
      </c>
      <c r="J3" s="4">
        <f>IF(NOT(I3=""),IF(I3&lt;=G3,"match",IF(I3&lt;3*G3,"partial match","no match")),"")</f>
        <v/>
      </c>
      <c r="K3" t="inlineStr">
        <is>
          <t>img_dim_y_init_img</t>
        </is>
      </c>
    </row>
    <row r="4" ht="15" customHeight="1" s="10">
      <c r="A4" t="inlineStr">
        <is>
          <t>configuration D</t>
        </is>
      </c>
      <c r="B4" t="inlineStr">
        <is>
          <t>Diagnostics-initial image</t>
        </is>
      </c>
      <c r="C4" t="inlineStr">
        <is>
          <t>Image dimension z</t>
        </is>
      </c>
      <c r="D4" t="inlineStr">
        <is>
          <t>DiagnosticsInitialImageImageDimensionZ</t>
        </is>
      </c>
      <c r="E4" t="inlineStr">
        <is>
          <t>6-9</t>
        </is>
      </c>
      <c r="F4" t="n">
        <v>60</v>
      </c>
      <c r="G4" t="n">
        <v>0</v>
      </c>
      <c r="H4" s="9" t="n">
        <v>60</v>
      </c>
      <c r="I4" s="4">
        <f>IFERROR(IF(NOT(H4=""),ABS(ROUNDDOWN(F4-H4, 3 - (1+INT(LOG10(ABS(F4)))))),""),IF(AND(F4=0,NOT(F4="")),ABS(ROUNDDOWN(F4-H4,0)),""))</f>
        <v/>
      </c>
      <c r="J4" s="4">
        <f>IF(NOT(I4=""),IF(I4&lt;=G4,"match",IF(I4&lt;3*G4,"partial match","no match")),"")</f>
        <v/>
      </c>
      <c r="K4" t="inlineStr">
        <is>
          <t>img_dim_z_init_img</t>
        </is>
      </c>
    </row>
    <row r="5" ht="15" customHeight="1" s="10">
      <c r="A5" t="inlineStr">
        <is>
          <t>configuration D</t>
        </is>
      </c>
      <c r="B5" t="inlineStr">
        <is>
          <t>Diagnostics-initial image</t>
        </is>
      </c>
      <c r="C5" t="inlineStr">
        <is>
          <t>Voxel dimension x</t>
        </is>
      </c>
      <c r="D5" t="inlineStr">
        <is>
          <t>DiagnosticsInitialImageVoxelDimensionX</t>
        </is>
      </c>
      <c r="E5" t="inlineStr">
        <is>
          <t>6-9</t>
        </is>
      </c>
      <c r="F5" t="n">
        <v>0.977</v>
      </c>
      <c r="G5" t="n">
        <v>0</v>
      </c>
      <c r="H5" t="n">
        <v>0.976999998092651</v>
      </c>
      <c r="I5" s="4">
        <f>IFERROR(IF(NOT(H5=""),ABS(ROUNDDOWN(F5-H5, 3 - (1+INT(LOG10(ABS(F5)))))),""),IF(AND(F5=0,NOT(F5="")),ABS(ROUNDDOWN(F5-H5,0)),""))</f>
        <v/>
      </c>
      <c r="J5" s="4">
        <f>IF(NOT(I5=""),IF(I5&lt;=G5,"match",IF(I5&lt;3*G5,"partial match","no match")),"")</f>
        <v/>
      </c>
      <c r="K5" t="inlineStr">
        <is>
          <t>vox_dim_x_init_img</t>
        </is>
      </c>
    </row>
    <row r="6" ht="15" customHeight="1" s="10">
      <c r="A6" t="inlineStr">
        <is>
          <t>configuration D</t>
        </is>
      </c>
      <c r="B6" t="inlineStr">
        <is>
          <t>Diagnostics-initial image</t>
        </is>
      </c>
      <c r="C6" t="inlineStr">
        <is>
          <t>Voxel dimension y</t>
        </is>
      </c>
      <c r="D6" t="inlineStr">
        <is>
          <t>DiagnosticsInitialImageVoxelDimensionY</t>
        </is>
      </c>
      <c r="E6" t="inlineStr">
        <is>
          <t>6-9</t>
        </is>
      </c>
      <c r="F6" t="n">
        <v>0.977</v>
      </c>
      <c r="G6" t="n">
        <v>0</v>
      </c>
      <c r="H6" t="n">
        <v>0.976999998092651</v>
      </c>
      <c r="I6" s="4">
        <f>IFERROR(IF(NOT(H6=""),ABS(ROUNDDOWN(F6-H6, 3 - (1+INT(LOG10(ABS(F6)))))),""),IF(AND(F6=0,NOT(F6="")),ABS(ROUNDDOWN(F6-H6,0)),""))</f>
        <v/>
      </c>
      <c r="J6" s="4">
        <f>IF(NOT(I6=""),IF(I6&lt;=G6,"match",IF(I6&lt;3*G6,"partial match","no match")),"")</f>
        <v/>
      </c>
      <c r="K6" t="inlineStr">
        <is>
          <t>vox_dim_y_init_img</t>
        </is>
      </c>
    </row>
    <row r="7" ht="15" customHeight="1" s="10">
      <c r="A7" t="inlineStr">
        <is>
          <t>configuration D</t>
        </is>
      </c>
      <c r="B7" t="inlineStr">
        <is>
          <t>Diagnostics-initial image</t>
        </is>
      </c>
      <c r="C7" t="inlineStr">
        <is>
          <t>Voxel dimension z</t>
        </is>
      </c>
      <c r="D7" t="inlineStr">
        <is>
          <t>DiagnosticsInitialImageVoxelDimensionZ</t>
        </is>
      </c>
      <c r="E7" t="inlineStr">
        <is>
          <t>6-9</t>
        </is>
      </c>
      <c r="F7" t="n">
        <v>3</v>
      </c>
      <c r="G7" t="n">
        <v>0</v>
      </c>
      <c r="H7" t="n">
        <v>3</v>
      </c>
      <c r="I7" s="4">
        <f>IFERROR(IF(NOT(H7=""),ABS(ROUNDDOWN(F7-H7, 3 - (1+INT(LOG10(ABS(F7)))))),""),IF(AND(F7=0,NOT(F7="")),ABS(ROUNDDOWN(F7-H7,0)),""))</f>
        <v/>
      </c>
      <c r="J7" s="4">
        <f>IF(NOT(I7=""),IF(I7&lt;=G7,"match",IF(I7&lt;3*G7,"partial match","no match")),"")</f>
        <v/>
      </c>
      <c r="K7" t="inlineStr">
        <is>
          <t>vox_dim_z_init_img</t>
        </is>
      </c>
    </row>
    <row r="8" ht="15" customHeight="1" s="10">
      <c r="A8" t="inlineStr">
        <is>
          <t>configuration D</t>
        </is>
      </c>
      <c r="B8" t="inlineStr">
        <is>
          <t>Diagnostics-initial image</t>
        </is>
      </c>
      <c r="C8" t="inlineStr">
        <is>
          <t>Mean intensity</t>
        </is>
      </c>
      <c r="D8" t="inlineStr">
        <is>
          <t>DiagnosticsInitialImageMeanIntensity</t>
        </is>
      </c>
      <c r="E8" t="inlineStr">
        <is>
          <t>6-9</t>
        </is>
      </c>
      <c r="F8" t="n">
        <v>-266</v>
      </c>
      <c r="G8" t="n">
        <v>0</v>
      </c>
      <c r="H8" t="n">
        <v>-266.470367118655</v>
      </c>
      <c r="I8" s="4">
        <f>IFERROR(IF(NOT(H8=""),ABS(ROUNDDOWN(F8-H8, 3 - (1+INT(LOG10(ABS(F8)))))),""),IF(AND(F8=0,NOT(F8="")),ABS(ROUNDDOWN(F8-H8,0)),""))</f>
        <v/>
      </c>
      <c r="J8" s="4">
        <f>IF(NOT(I8=""),IF(I8&lt;=G8,"match",IF(I8&lt;3*G8,"partial match","no match")),"")</f>
        <v/>
      </c>
      <c r="K8" t="inlineStr">
        <is>
          <t>mean_int_init_img</t>
        </is>
      </c>
    </row>
    <row r="9" ht="15" customHeight="1" s="10">
      <c r="A9" t="inlineStr">
        <is>
          <t>configuration D</t>
        </is>
      </c>
      <c r="B9" t="inlineStr">
        <is>
          <t>Diagnostics-initial image</t>
        </is>
      </c>
      <c r="C9" t="inlineStr">
        <is>
          <t>Minimum intensity</t>
        </is>
      </c>
      <c r="D9" t="inlineStr">
        <is>
          <t>DiagnosticsInitialImageMinimumIntensity</t>
        </is>
      </c>
      <c r="E9" t="inlineStr">
        <is>
          <t>6-9</t>
        </is>
      </c>
      <c r="F9" t="n">
        <v>-1000</v>
      </c>
      <c r="G9" t="n">
        <v>0</v>
      </c>
      <c r="H9" t="n">
        <v>-1000</v>
      </c>
      <c r="I9" s="4">
        <f>IFERROR(IF(NOT(H9=""),ABS(ROUNDDOWN(F9-H9, 3 - (1+INT(LOG10(ABS(F9)))))),""),IF(AND(F9=0,NOT(F9="")),ABS(ROUNDDOWN(F9-H9,0)),""))</f>
        <v/>
      </c>
      <c r="J9" s="4">
        <f>IF(NOT(I9=""),IF(I9&lt;=G9,"match",IF(I9&lt;3*G9,"partial match","no match")),"")</f>
        <v/>
      </c>
      <c r="K9" t="inlineStr">
        <is>
          <t>min_int_init_img</t>
        </is>
      </c>
    </row>
    <row r="10" ht="15" customHeight="1" s="10">
      <c r="A10" t="inlineStr">
        <is>
          <t>configuration D</t>
        </is>
      </c>
      <c r="B10" t="inlineStr">
        <is>
          <t>Diagnostics-initial image</t>
        </is>
      </c>
      <c r="C10" t="inlineStr">
        <is>
          <t>Maximum intensity</t>
        </is>
      </c>
      <c r="D10" t="inlineStr">
        <is>
          <t>DiagnosticsInitialImageMaximumIntensity</t>
        </is>
      </c>
      <c r="E10" t="inlineStr">
        <is>
          <t>6-9</t>
        </is>
      </c>
      <c r="F10" t="n">
        <v>3065</v>
      </c>
      <c r="G10" t="n">
        <v>0</v>
      </c>
      <c r="H10" t="n">
        <v>3065</v>
      </c>
      <c r="I10" s="4">
        <f>IFERROR(IF(NOT(H10=""),ABS(ROUNDDOWN(F10-H10, 3 - (1+INT(LOG10(ABS(F10)))))),""),IF(AND(F10=0,NOT(F10="")),ABS(ROUNDDOWN(F10-H10,0)),""))</f>
        <v/>
      </c>
      <c r="J10" s="4">
        <f>IF(NOT(I10=""),IF(I10&lt;=G10,"match",IF(I10&lt;3*G10,"partial match","no match")),"")</f>
        <v/>
      </c>
      <c r="K10" t="inlineStr">
        <is>
          <t>max_int_init_img</t>
        </is>
      </c>
    </row>
    <row r="11" ht="15" customHeight="1" s="10">
      <c r="A11" t="inlineStr">
        <is>
          <t>configuration D</t>
        </is>
      </c>
      <c r="B11" t="inlineStr">
        <is>
          <t>Diagnostics-interpolated image</t>
        </is>
      </c>
      <c r="C11" t="inlineStr">
        <is>
          <t>Image dimension x</t>
        </is>
      </c>
      <c r="D11" t="inlineStr">
        <is>
          <t>DiagnosticsInterpolatedImageImageDimensionX</t>
        </is>
      </c>
      <c r="E11" t="inlineStr">
        <is>
          <t>6-9</t>
        </is>
      </c>
      <c r="F11" t="n">
        <v>100</v>
      </c>
      <c r="G11" t="n">
        <v>1</v>
      </c>
      <c r="H11" t="n">
        <v>100</v>
      </c>
      <c r="I11" s="4">
        <f>IFERROR(IF(NOT(H11=""),ABS(ROUNDDOWN(F11-H11, 3 - (1+INT(LOG10(ABS(F11)))))),""),IF(AND(F11=0,NOT(F11="")),ABS(ROUNDDOWN(F11-H11,0)),""))</f>
        <v/>
      </c>
      <c r="J11" s="4">
        <f>IF(NOT(I11=""),IF(I11&lt;=G11,"match",IF(I11&lt;3*G11,"partial match","no match")),"")</f>
        <v/>
      </c>
      <c r="K11" t="inlineStr">
        <is>
          <t>img_dim_x_interp_img</t>
        </is>
      </c>
    </row>
    <row r="12" ht="15" customHeight="1" s="10">
      <c r="A12" t="inlineStr">
        <is>
          <t>configuration D</t>
        </is>
      </c>
      <c r="B12" t="inlineStr">
        <is>
          <t>Diagnostics-interpolated image</t>
        </is>
      </c>
      <c r="C12" t="inlineStr">
        <is>
          <t>Image dimension y</t>
        </is>
      </c>
      <c r="D12" t="inlineStr">
        <is>
          <t>DiagnosticsInterpolatedImageImageDimensionY</t>
        </is>
      </c>
      <c r="E12" t="inlineStr">
        <is>
          <t>6-9</t>
        </is>
      </c>
      <c r="F12" t="n">
        <v>99</v>
      </c>
      <c r="G12" t="n">
        <v>0.8</v>
      </c>
      <c r="H12" t="n">
        <v>99</v>
      </c>
      <c r="I12" s="4">
        <f>IFERROR(IF(NOT(H12=""),ABS(ROUNDDOWN(F12-H12, 3 - (1+INT(LOG10(ABS(F12)))))),""),IF(AND(F12=0,NOT(F12="")),ABS(ROUNDDOWN(F12-H12,0)),""))</f>
        <v/>
      </c>
      <c r="J12" s="4">
        <f>IF(NOT(I12=""),IF(I12&lt;=G12,"match",IF(I12&lt;3*G12,"partial match","no match")),"")</f>
        <v/>
      </c>
      <c r="K12" t="inlineStr">
        <is>
          <t>img_dim_y_interp_img</t>
        </is>
      </c>
    </row>
    <row r="13" ht="15" customHeight="1" s="10">
      <c r="A13" t="inlineStr">
        <is>
          <t>configuration D</t>
        </is>
      </c>
      <c r="B13" t="inlineStr">
        <is>
          <t>Diagnostics-interpolated image</t>
        </is>
      </c>
      <c r="C13" t="inlineStr">
        <is>
          <t>Image dimension z</t>
        </is>
      </c>
      <c r="D13" t="inlineStr">
        <is>
          <t>DiagnosticsInterpolatedImageImageDimensionZ</t>
        </is>
      </c>
      <c r="E13" t="inlineStr">
        <is>
          <t>6-9</t>
        </is>
      </c>
      <c r="F13" t="n">
        <v>90</v>
      </c>
      <c r="G13" t="n">
        <v>0</v>
      </c>
      <c r="H13" t="n">
        <v>90</v>
      </c>
      <c r="I13" s="4">
        <f>IFERROR(IF(NOT(H13=""),ABS(ROUNDDOWN(F13-H13, 3 - (1+INT(LOG10(ABS(F13)))))),""),IF(AND(F13=0,NOT(F13="")),ABS(ROUNDDOWN(F13-H13,0)),""))</f>
        <v/>
      </c>
      <c r="J13" s="4">
        <f>IF(NOT(I13=""),IF(I13&lt;=G13,"match",IF(I13&lt;3*G13,"partial match","no match")),"")</f>
        <v/>
      </c>
      <c r="K13" t="inlineStr">
        <is>
          <t>img_dim_z_interp_img</t>
        </is>
      </c>
    </row>
    <row r="14" ht="15" customHeight="1" s="10">
      <c r="A14" t="inlineStr">
        <is>
          <t>configuration D</t>
        </is>
      </c>
      <c r="B14" t="inlineStr">
        <is>
          <t>Diagnostics-interpolated image</t>
        </is>
      </c>
      <c r="C14" t="inlineStr">
        <is>
          <t>Voxel dimension x</t>
        </is>
      </c>
      <c r="D14" t="inlineStr">
        <is>
          <t>DiagnosticsInterpolatedImageVoxelDimensionX</t>
        </is>
      </c>
      <c r="E14" t="inlineStr">
        <is>
          <t>6-9</t>
        </is>
      </c>
      <c r="F14" t="n">
        <v>2</v>
      </c>
      <c r="G14" t="n">
        <v>0</v>
      </c>
      <c r="H14" t="n">
        <v>2</v>
      </c>
      <c r="I14" s="4">
        <f>IFERROR(IF(NOT(H14=""),ABS(ROUNDDOWN(F14-H14, 3 - (1+INT(LOG10(ABS(F14)))))),""),IF(AND(F14=0,NOT(F14="")),ABS(ROUNDDOWN(F14-H14,0)),""))</f>
        <v/>
      </c>
      <c r="J14" s="4">
        <f>IF(NOT(I14=""),IF(I14&lt;=G14,"match",IF(I14&lt;3*G14,"partial match","no match")),"")</f>
        <v/>
      </c>
      <c r="K14" t="inlineStr">
        <is>
          <t>vox_dim_x_interp_img</t>
        </is>
      </c>
    </row>
    <row r="15" ht="15" customHeight="1" s="10">
      <c r="A15" t="inlineStr">
        <is>
          <t>configuration D</t>
        </is>
      </c>
      <c r="B15" t="inlineStr">
        <is>
          <t>Diagnostics-interpolated image</t>
        </is>
      </c>
      <c r="C15" t="inlineStr">
        <is>
          <t>Voxel dimension y</t>
        </is>
      </c>
      <c r="D15" t="inlineStr">
        <is>
          <t>DiagnosticsInterpolatedImageVoxelDimensionY</t>
        </is>
      </c>
      <c r="E15" t="inlineStr">
        <is>
          <t>6-9</t>
        </is>
      </c>
      <c r="F15" t="n">
        <v>2</v>
      </c>
      <c r="G15" t="n">
        <v>0</v>
      </c>
      <c r="H15" t="n">
        <v>2</v>
      </c>
      <c r="I15" s="4">
        <f>IFERROR(IF(NOT(H15=""),ABS(ROUNDDOWN(F15-H15, 3 - (1+INT(LOG10(ABS(F15)))))),""),IF(AND(F15=0,NOT(F15="")),ABS(ROUNDDOWN(F15-H15,0)),""))</f>
        <v/>
      </c>
      <c r="J15" s="4">
        <f>IF(NOT(I15=""),IF(I15&lt;=G15,"match",IF(I15&lt;3*G15,"partial match","no match")),"")</f>
        <v/>
      </c>
      <c r="K15" t="inlineStr">
        <is>
          <t>vox_dim_y_interp_img</t>
        </is>
      </c>
    </row>
    <row r="16" ht="15" customHeight="1" s="10">
      <c r="A16" t="inlineStr">
        <is>
          <t>configuration D</t>
        </is>
      </c>
      <c r="B16" t="inlineStr">
        <is>
          <t>Diagnostics-interpolated image</t>
        </is>
      </c>
      <c r="C16" t="inlineStr">
        <is>
          <t>Voxel dimension z</t>
        </is>
      </c>
      <c r="D16" t="inlineStr">
        <is>
          <t>DiagnosticsInterpolatedImageVoxelDimensionZ</t>
        </is>
      </c>
      <c r="E16" t="inlineStr">
        <is>
          <t>6-9</t>
        </is>
      </c>
      <c r="F16" t="n">
        <v>2</v>
      </c>
      <c r="G16" t="n">
        <v>0</v>
      </c>
      <c r="H16" t="n">
        <v>2</v>
      </c>
      <c r="I16" s="4">
        <f>IFERROR(IF(NOT(H16=""),ABS(ROUNDDOWN(F16-H16, 3 - (1+INT(LOG10(ABS(F16)))))),""),IF(AND(F16=0,NOT(F16="")),ABS(ROUNDDOWN(F16-H16,0)),""))</f>
        <v/>
      </c>
      <c r="J16" s="4">
        <f>IF(NOT(I16=""),IF(I16&lt;=G16,"match",IF(I16&lt;3*G16,"partial match","no match")),"")</f>
        <v/>
      </c>
      <c r="K16" t="inlineStr">
        <is>
          <t>vox_dim_z_interp_img</t>
        </is>
      </c>
    </row>
    <row r="17" ht="15" customHeight="1" s="10">
      <c r="A17" t="inlineStr">
        <is>
          <t>configuration D</t>
        </is>
      </c>
      <c r="B17" t="inlineStr">
        <is>
          <t>Diagnostics-interpolated image</t>
        </is>
      </c>
      <c r="C17" t="inlineStr">
        <is>
          <t>Mean intensity</t>
        </is>
      </c>
      <c r="D17" t="inlineStr">
        <is>
          <t>DiagnosticsInterpolatedImageMeanIntensity</t>
        </is>
      </c>
      <c r="E17" t="inlineStr">
        <is>
          <t>6-9</t>
        </is>
      </c>
      <c r="F17" t="n">
        <v>-270</v>
      </c>
      <c r="G17" t="n">
        <v>3</v>
      </c>
      <c r="H17" t="n">
        <v>-269.30318344032</v>
      </c>
      <c r="I17" s="4">
        <f>IFERROR(IF(NOT(H17=""),ABS(ROUNDDOWN(F17-H17, 3 - (1+INT(LOG10(ABS(F17)))))),""),IF(AND(F17=0,NOT(F17="")),ABS(ROUNDDOWN(F17-H17,0)),""))</f>
        <v/>
      </c>
      <c r="J17" s="4">
        <f>IF(NOT(I17=""),IF(I17&lt;=G17,"match",IF(I17&lt;3*G17,"partial match","no match")),"")</f>
        <v/>
      </c>
      <c r="K17" t="inlineStr">
        <is>
          <t>mean_int_interp_img</t>
        </is>
      </c>
    </row>
    <row r="18" ht="15" customHeight="1" s="10">
      <c r="A18" t="inlineStr">
        <is>
          <t>configuration D</t>
        </is>
      </c>
      <c r="B18" t="inlineStr">
        <is>
          <t>Diagnostics-interpolated image</t>
        </is>
      </c>
      <c r="C18" t="inlineStr">
        <is>
          <t>Minimum intensity</t>
        </is>
      </c>
      <c r="D18" t="inlineStr">
        <is>
          <t>DiagnosticsInterpolatedImageMinimumIntensity</t>
        </is>
      </c>
      <c r="E18" t="inlineStr">
        <is>
          <t>6-9</t>
        </is>
      </c>
      <c r="F18" t="n">
        <v>-1000</v>
      </c>
      <c r="G18" t="n">
        <v>0</v>
      </c>
      <c r="H18" t="n">
        <v>-1000</v>
      </c>
      <c r="I18" s="4">
        <f>IFERROR(IF(NOT(H18=""),ABS(ROUNDDOWN(F18-H18, 3 - (1+INT(LOG10(ABS(F18)))))),""),IF(AND(F18=0,NOT(F18="")),ABS(ROUNDDOWN(F18-H18,0)),""))</f>
        <v/>
      </c>
      <c r="J18" s="4">
        <f>IF(NOT(I18=""),IF(I18&lt;=G18,"match",IF(I18&lt;3*G18,"partial match","no match")),"")</f>
        <v/>
      </c>
      <c r="K18" t="inlineStr">
        <is>
          <t>min_int_interp_img</t>
        </is>
      </c>
    </row>
    <row r="19" ht="15" customHeight="1" s="10">
      <c r="A19" t="inlineStr">
        <is>
          <t>configuration D</t>
        </is>
      </c>
      <c r="B19" t="inlineStr">
        <is>
          <t>Diagnostics-interpolated image</t>
        </is>
      </c>
      <c r="C19" t="inlineStr">
        <is>
          <t>Maximum intensity</t>
        </is>
      </c>
      <c r="D19" t="inlineStr">
        <is>
          <t>DiagnosticsInterpolatedImageMaximumIntensity</t>
        </is>
      </c>
      <c r="E19" t="inlineStr">
        <is>
          <t>6-9</t>
        </is>
      </c>
      <c r="F19" t="n">
        <v>1854</v>
      </c>
      <c r="G19" t="n">
        <v>30</v>
      </c>
      <c r="H19" t="n">
        <v>1748.79296875</v>
      </c>
      <c r="I19" s="4">
        <f>IFERROR(IF(NOT(H19=""),ABS(ROUNDDOWN(F19-H19, 3 - (1+INT(LOG10(ABS(F19)))))),""),IF(AND(F19=0,NOT(F19="")),ABS(ROUNDDOWN(F19-H19,0)),""))</f>
        <v/>
      </c>
      <c r="J19" s="4">
        <f>IF(NOT(I19=""),IF(I19&lt;=G19,"match",IF(I19&lt;3*G19,"partial match","no match")),"")</f>
        <v/>
      </c>
      <c r="K19" t="inlineStr">
        <is>
          <t>max_int_interp_img</t>
        </is>
      </c>
    </row>
    <row r="20" ht="15" customHeight="1" s="10">
      <c r="A20" t="inlineStr">
        <is>
          <t>configuration D</t>
        </is>
      </c>
      <c r="B20" t="inlineStr">
        <is>
          <t>Diagnostics-initial ROI</t>
        </is>
      </c>
      <c r="C20" t="inlineStr">
        <is>
          <t>Int. mask dimension x</t>
        </is>
      </c>
      <c r="D20" t="inlineStr">
        <is>
          <t>DiagnosticsInitialROIMaskDimensionX</t>
        </is>
      </c>
      <c r="E20" t="inlineStr">
        <is>
          <t>6-9</t>
        </is>
      </c>
      <c r="F20" t="n">
        <v>204</v>
      </c>
      <c r="G20" t="n">
        <v>0</v>
      </c>
      <c r="H20" t="n">
        <v>204</v>
      </c>
      <c r="I20" s="4">
        <f>IFERROR(IF(NOT(H20=""),ABS(ROUNDDOWN(F20-H20, 3 - (1+INT(LOG10(ABS(F20)))))),""),IF(AND(F20=0,NOT(F20="")),ABS(ROUNDDOWN(F20-H20,0)),""))</f>
        <v/>
      </c>
      <c r="J20" s="4">
        <f>IF(NOT(I20=""),IF(I20&lt;=G20,"match",IF(I20&lt;3*G20,"partial match","no match")),"")</f>
        <v/>
      </c>
      <c r="K20" t="inlineStr">
        <is>
          <t>int_mask_dim_x_init_roi</t>
        </is>
      </c>
    </row>
    <row r="21" ht="15" customHeight="1" s="10">
      <c r="A21" t="inlineStr">
        <is>
          <t>configuration D</t>
        </is>
      </c>
      <c r="B21" t="inlineStr">
        <is>
          <t>Diagnostics-initial ROI</t>
        </is>
      </c>
      <c r="C21" t="inlineStr">
        <is>
          <t>Int. mask dimension y</t>
        </is>
      </c>
      <c r="D21" t="inlineStr">
        <is>
          <t>DiagnosticsInitialROIMaskDimensionY</t>
        </is>
      </c>
      <c r="E21" t="inlineStr">
        <is>
          <t>6-9</t>
        </is>
      </c>
      <c r="F21" t="n">
        <v>201</v>
      </c>
      <c r="G21" t="n">
        <v>0</v>
      </c>
      <c r="H21" t="n">
        <v>201</v>
      </c>
      <c r="I21" s="4">
        <f>IFERROR(IF(NOT(H21=""),ABS(ROUNDDOWN(F21-H21, 3 - (1+INT(LOG10(ABS(F21)))))),""),IF(AND(F21=0,NOT(F21="")),ABS(ROUNDDOWN(F21-H21,0)),""))</f>
        <v/>
      </c>
      <c r="J21" s="4">
        <f>IF(NOT(I21=""),IF(I21&lt;=G21,"match",IF(I21&lt;3*G21,"partial match","no match")),"")</f>
        <v/>
      </c>
      <c r="K21" t="inlineStr">
        <is>
          <t>int_mask_dim_y_init_roi</t>
        </is>
      </c>
    </row>
    <row r="22" ht="15" customHeight="1" s="10">
      <c r="A22" t="inlineStr">
        <is>
          <t>configuration D</t>
        </is>
      </c>
      <c r="B22" t="inlineStr">
        <is>
          <t>Diagnostics-initial ROI</t>
        </is>
      </c>
      <c r="C22" t="inlineStr">
        <is>
          <t>Int. mask dimension z</t>
        </is>
      </c>
      <c r="D22" t="inlineStr">
        <is>
          <t>DiagnosticsInitialROIMaskDimensionZ</t>
        </is>
      </c>
      <c r="E22" t="inlineStr">
        <is>
          <t>6-9</t>
        </is>
      </c>
      <c r="F22" t="n">
        <v>60</v>
      </c>
      <c r="G22" t="n">
        <v>0</v>
      </c>
      <c r="H22" t="n">
        <v>60</v>
      </c>
      <c r="I22" s="4">
        <f>IFERROR(IF(NOT(H22=""),ABS(ROUNDDOWN(F22-H22, 3 - (1+INT(LOG10(ABS(F22)))))),""),IF(AND(F22=0,NOT(F22="")),ABS(ROUNDDOWN(F22-H22,0)),""))</f>
        <v/>
      </c>
      <c r="J22" s="4">
        <f>IF(NOT(I22=""),IF(I22&lt;=G22,"match",IF(I22&lt;3*G22,"partial match","no match")),"")</f>
        <v/>
      </c>
      <c r="K22" t="inlineStr">
        <is>
          <t>int_mask_dim_z_init_roi</t>
        </is>
      </c>
    </row>
    <row r="23" ht="15" customHeight="1" s="10">
      <c r="A23" t="inlineStr">
        <is>
          <t>configuration D</t>
        </is>
      </c>
      <c r="B23" t="inlineStr">
        <is>
          <t>Diagnostics-initial ROI</t>
        </is>
      </c>
      <c r="C23" t="inlineStr">
        <is>
          <t>Int. mask bounding box dimension x</t>
        </is>
      </c>
      <c r="D23" t="inlineStr">
        <is>
          <t>DiagnosticsInitialROIMaskBoundingBoxDimensionX</t>
        </is>
      </c>
      <c r="E23" t="inlineStr">
        <is>
          <t>6-9</t>
        </is>
      </c>
      <c r="F23" t="n">
        <v>100</v>
      </c>
      <c r="G23" t="n">
        <v>0</v>
      </c>
      <c r="H23" t="n">
        <v>100</v>
      </c>
      <c r="I23" s="4">
        <f>IFERROR(IF(NOT(H23=""),ABS(ROUNDDOWN(F23-H23, 3 - (1+INT(LOG10(ABS(F23)))))),""),IF(AND(F23=0,NOT(F23="")),ABS(ROUNDDOWN(F23-H23,0)),""))</f>
        <v/>
      </c>
      <c r="J23" s="4">
        <f>IF(NOT(I23=""),IF(I23&lt;=G23,"match",IF(I23&lt;3*G23,"partial match","no match")),"")</f>
        <v/>
      </c>
      <c r="K23" t="inlineStr">
        <is>
          <t>int_mask_bb_dim_x_init_roi</t>
        </is>
      </c>
    </row>
    <row r="24" ht="15" customHeight="1" s="10">
      <c r="A24" t="inlineStr">
        <is>
          <t>configuration D</t>
        </is>
      </c>
      <c r="B24" t="inlineStr">
        <is>
          <t>Diagnostics-initial ROI</t>
        </is>
      </c>
      <c r="C24" t="inlineStr">
        <is>
          <t>Int. mask bounding box dimension y</t>
        </is>
      </c>
      <c r="D24" t="inlineStr">
        <is>
          <t>DiagnosticsInitialROIMaskBoundingBoxDimensionY</t>
        </is>
      </c>
      <c r="E24" t="inlineStr">
        <is>
          <t>6-9</t>
        </is>
      </c>
      <c r="F24" t="n">
        <v>99</v>
      </c>
      <c r="G24" t="n">
        <v>0</v>
      </c>
      <c r="H24" t="n">
        <v>99</v>
      </c>
      <c r="I24" s="4">
        <f>IFERROR(IF(NOT(H24=""),ABS(ROUNDDOWN(F24-H24, 3 - (1+INT(LOG10(ABS(F24)))))),""),IF(AND(F24=0,NOT(F24="")),ABS(ROUNDDOWN(F24-H24,0)),""))</f>
        <v/>
      </c>
      <c r="J24" s="4">
        <f>IF(NOT(I24=""),IF(I24&lt;=G24,"match",IF(I24&lt;3*G24,"partial match","no match")),"")</f>
        <v/>
      </c>
      <c r="K24" t="inlineStr">
        <is>
          <t>int_mask_bb_dim_y_init_roi</t>
        </is>
      </c>
    </row>
    <row r="25" ht="15" customHeight="1" s="10">
      <c r="A25" t="inlineStr">
        <is>
          <t>configuration D</t>
        </is>
      </c>
      <c r="B25" t="inlineStr">
        <is>
          <t>Diagnostics-initial ROI</t>
        </is>
      </c>
      <c r="C25" t="inlineStr">
        <is>
          <t>Int. mask bounding box dimension z</t>
        </is>
      </c>
      <c r="D25" t="inlineStr">
        <is>
          <t>DiagnosticsInitialROIMaskBoundingBoxDimensionZ</t>
        </is>
      </c>
      <c r="E25" t="inlineStr">
        <is>
          <t>6-9</t>
        </is>
      </c>
      <c r="F25" t="n">
        <v>26</v>
      </c>
      <c r="G25" t="n">
        <v>0</v>
      </c>
      <c r="H25" t="n">
        <v>26</v>
      </c>
      <c r="I25" s="4">
        <f>IFERROR(IF(NOT(H25=""),ABS(ROUNDDOWN(F25-H25, 3 - (1+INT(LOG10(ABS(F25)))))),""),IF(AND(F25=0,NOT(F25="")),ABS(ROUNDDOWN(F25-H25,0)),""))</f>
        <v/>
      </c>
      <c r="J25" s="4">
        <f>IF(NOT(I25=""),IF(I25&lt;=G25,"match",IF(I25&lt;3*G25,"partial match","no match")),"")</f>
        <v/>
      </c>
      <c r="K25" t="inlineStr">
        <is>
          <t>int_mask_bb_dim_z_init_roi</t>
        </is>
      </c>
    </row>
    <row r="26" ht="15" customHeight="1" s="10">
      <c r="A26" t="inlineStr">
        <is>
          <t>configuration D</t>
        </is>
      </c>
      <c r="B26" t="inlineStr">
        <is>
          <t>Diagnostics-initial ROI</t>
        </is>
      </c>
      <c r="C26" t="inlineStr">
        <is>
          <t>Morph. mask bounding box dimension x</t>
        </is>
      </c>
      <c r="D26" t="inlineStr">
        <is>
          <t>DiagnosticsInitialROIMorphMaskBoundingBoxDimensionX</t>
        </is>
      </c>
      <c r="E26" t="inlineStr">
        <is>
          <t>6-9</t>
        </is>
      </c>
      <c r="F26" t="n">
        <v>100</v>
      </c>
      <c r="G26" t="n">
        <v>0</v>
      </c>
      <c r="H26" t="n">
        <v>100</v>
      </c>
      <c r="I26" s="4">
        <f>IFERROR(IF(NOT(H26=""),ABS(ROUNDDOWN(F26-H26, 3 - (1+INT(LOG10(ABS(F26)))))),""),IF(AND(F26=0,NOT(F26="")),ABS(ROUNDDOWN(F26-H26,0)),""))</f>
        <v/>
      </c>
      <c r="J26" s="4">
        <f>IF(NOT(I26=""),IF(I26&lt;=G26,"match",IF(I26&lt;3*G26,"partial match","no match")),"")</f>
        <v/>
      </c>
      <c r="K26" t="inlineStr">
        <is>
          <t>morph_mask_bb_dim_x_init_roi</t>
        </is>
      </c>
    </row>
    <row r="27" ht="15" customHeight="1" s="10">
      <c r="A27" t="inlineStr">
        <is>
          <t>configuration D</t>
        </is>
      </c>
      <c r="B27" t="inlineStr">
        <is>
          <t>Diagnostics-initial ROI</t>
        </is>
      </c>
      <c r="C27" t="inlineStr">
        <is>
          <t>Morph. mask bounding box dimension y</t>
        </is>
      </c>
      <c r="D27" t="inlineStr">
        <is>
          <t>DiagnosticsInitialROIMorphMaskBoundingBoxDimensionY</t>
        </is>
      </c>
      <c r="E27" t="inlineStr">
        <is>
          <t>6-9</t>
        </is>
      </c>
      <c r="F27" t="n">
        <v>99</v>
      </c>
      <c r="G27" t="n">
        <v>0</v>
      </c>
      <c r="H27" t="n">
        <v>99</v>
      </c>
      <c r="I27" s="4">
        <f>IFERROR(IF(NOT(H27=""),ABS(ROUNDDOWN(F27-H27, 3 - (1+INT(LOG10(ABS(F27)))))),""),IF(AND(F27=0,NOT(F27="")),ABS(ROUNDDOWN(F27-H27,0)),""))</f>
        <v/>
      </c>
      <c r="J27" s="4">
        <f>IF(NOT(I27=""),IF(I27&lt;=G27,"match",IF(I27&lt;3*G27,"partial match","no match")),"")</f>
        <v/>
      </c>
      <c r="K27" t="inlineStr">
        <is>
          <t>morph_mask_bb_dim_y_init_roi</t>
        </is>
      </c>
    </row>
    <row r="28" ht="15" customHeight="1" s="10">
      <c r="A28" t="inlineStr">
        <is>
          <t>configuration D</t>
        </is>
      </c>
      <c r="B28" t="inlineStr">
        <is>
          <t>Diagnostics-initial ROI</t>
        </is>
      </c>
      <c r="C28" t="inlineStr">
        <is>
          <t>Morph. mask bounding box dimension z</t>
        </is>
      </c>
      <c r="D28" t="inlineStr">
        <is>
          <t>DiagnosticsInitialROIMorphMaskBoundingBoxDimensionZ</t>
        </is>
      </c>
      <c r="E28" t="inlineStr">
        <is>
          <t>6-9</t>
        </is>
      </c>
      <c r="F28" t="n">
        <v>26</v>
      </c>
      <c r="G28" t="n">
        <v>0</v>
      </c>
      <c r="H28" t="n">
        <v>26</v>
      </c>
      <c r="I28" s="4">
        <f>IFERROR(IF(NOT(H28=""),ABS(ROUNDDOWN(F28-H28, 3 - (1+INT(LOG10(ABS(F28)))))),""),IF(AND(F28=0,NOT(F28="")),ABS(ROUNDDOWN(F28-H28,0)),""))</f>
        <v/>
      </c>
      <c r="J28" s="4">
        <f>IF(NOT(I28=""),IF(I28&lt;=G28,"match",IF(I28&lt;3*G28,"partial match","no match")),"")</f>
        <v/>
      </c>
      <c r="K28" t="inlineStr">
        <is>
          <t>morph_mask_bb_dim_z_init_roi</t>
        </is>
      </c>
    </row>
    <row r="29" ht="15" customHeight="1" s="10">
      <c r="A29" t="inlineStr">
        <is>
          <t>configuration D</t>
        </is>
      </c>
      <c r="B29" t="inlineStr">
        <is>
          <t>Diagnostics-initial ROI</t>
        </is>
      </c>
      <c r="C29" t="inlineStr">
        <is>
          <t>Int. mask voxel count</t>
        </is>
      </c>
      <c r="D29" t="inlineStr">
        <is>
          <t>DiagnosticsInitialROIIntMaskVoxelCount</t>
        </is>
      </c>
      <c r="E29" t="inlineStr">
        <is>
          <t>6-9</t>
        </is>
      </c>
      <c r="F29" t="n">
        <v>125256</v>
      </c>
      <c r="G29" t="n">
        <v>0</v>
      </c>
      <c r="H29" t="n">
        <v>125256</v>
      </c>
      <c r="I29" s="4">
        <f>IFERROR(IF(NOT(H29=""),ABS(ROUNDDOWN(F29-H29, 3 - (1+INT(LOG10(ABS(F29)))))),""),IF(AND(F29=0,NOT(F29="")),ABS(ROUNDDOWN(F29-H29,0)),""))</f>
        <v/>
      </c>
      <c r="J29" s="4">
        <f>IF(NOT(I29=""),IF(I29&lt;=G29,"match",IF(I29&lt;3*G29,"partial match","no match")),"")</f>
        <v/>
      </c>
      <c r="K29" t="inlineStr">
        <is>
          <t>int_mask_vox_count_init_roi</t>
        </is>
      </c>
    </row>
    <row r="30" ht="15" customHeight="1" s="10">
      <c r="A30" t="inlineStr">
        <is>
          <t>configuration D</t>
        </is>
      </c>
      <c r="B30" t="inlineStr">
        <is>
          <t>Diagnostics-initial ROI</t>
        </is>
      </c>
      <c r="C30" t="inlineStr">
        <is>
          <t>Morph. mask voxel count</t>
        </is>
      </c>
      <c r="D30" t="inlineStr">
        <is>
          <t>DiagnosticsInitialROIMorphMaskVoxelCount</t>
        </is>
      </c>
      <c r="E30" t="inlineStr">
        <is>
          <t>6-9</t>
        </is>
      </c>
      <c r="F30" t="n">
        <v>125256</v>
      </c>
      <c r="G30" t="n">
        <v>0</v>
      </c>
      <c r="I30" s="4">
        <f>IFERROR(IF(NOT(H30=""),ABS(ROUNDDOWN(F30-H30, 3 - (1+INT(LOG10(ABS(F30)))))),""),IF(AND(F30=0,NOT(F30="")),ABS(ROUNDDOWN(F30-H30,0)),""))</f>
        <v/>
      </c>
      <c r="J30" s="4">
        <f>IF(NOT(I30=""),IF(I30&lt;=G30,"match",IF(I30&lt;3*G30,"partial match","no match")),"")</f>
        <v/>
      </c>
      <c r="K30" t="inlineStr">
        <is>
          <t>morph_mask_vox_count_init_roi</t>
        </is>
      </c>
    </row>
    <row r="31" ht="15" customHeight="1" s="10">
      <c r="A31" t="inlineStr">
        <is>
          <t>configuration D</t>
        </is>
      </c>
      <c r="B31" t="inlineStr">
        <is>
          <t>Diagnostics-initial ROI</t>
        </is>
      </c>
      <c r="C31" t="inlineStr">
        <is>
          <t>Int. mask mean intensity</t>
        </is>
      </c>
      <c r="D31" t="inlineStr">
        <is>
          <t>DiagnosticsInitialROIIntMaskMeanIntensity</t>
        </is>
      </c>
      <c r="E31" t="inlineStr">
        <is>
          <t>6-9</t>
        </is>
      </c>
      <c r="F31" t="n">
        <v>-46.9</v>
      </c>
      <c r="G31" t="n">
        <v>0</v>
      </c>
      <c r="H31" t="n">
        <v>-46.8827201890528</v>
      </c>
      <c r="I31" s="4">
        <f>IFERROR(IF(NOT(H31=""),ABS(ROUNDDOWN(F31-H31, 3 - (1+INT(LOG10(ABS(F31)))))),""),IF(AND(F31=0,NOT(F31="")),ABS(ROUNDDOWN(F31-H31,0)),""))</f>
        <v/>
      </c>
      <c r="J31" s="4">
        <f>IF(NOT(I31=""),IF(I31&lt;=G31,"match",IF(I31&lt;3*G31,"partial match","no match")),"")</f>
        <v/>
      </c>
      <c r="K31" t="inlineStr">
        <is>
          <t>int_mask_mean_int_init_roi</t>
        </is>
      </c>
    </row>
    <row r="32" ht="15" customHeight="1" s="10">
      <c r="A32" t="inlineStr">
        <is>
          <t>configuration D</t>
        </is>
      </c>
      <c r="B32" t="inlineStr">
        <is>
          <t>Diagnostics-initial ROI</t>
        </is>
      </c>
      <c r="C32" t="inlineStr">
        <is>
          <t>Int. mask minimum intensity</t>
        </is>
      </c>
      <c r="D32" t="inlineStr">
        <is>
          <t>DiagnosticsInitialROIIntMaskMinimumIntensity</t>
        </is>
      </c>
      <c r="E32" t="inlineStr">
        <is>
          <t>6-9</t>
        </is>
      </c>
      <c r="F32" t="n">
        <v>-1000</v>
      </c>
      <c r="G32" t="n">
        <v>0</v>
      </c>
      <c r="H32" t="n">
        <v>-1000</v>
      </c>
      <c r="I32" s="4">
        <f>IFERROR(IF(NOT(H32=""),ABS(ROUNDDOWN(F32-H32, 3 - (1+INT(LOG10(ABS(F32)))))),""),IF(AND(F32=0,NOT(F32="")),ABS(ROUNDDOWN(F32-H32,0)),""))</f>
        <v/>
      </c>
      <c r="J32" s="4">
        <f>IF(NOT(I32=""),IF(I32&lt;=G32,"match",IF(I32&lt;3*G32,"partial match","no match")),"")</f>
        <v/>
      </c>
      <c r="K32" t="inlineStr">
        <is>
          <t>int_mask_min_int_init_roi</t>
        </is>
      </c>
    </row>
    <row r="33" ht="15" customHeight="1" s="10">
      <c r="A33" t="inlineStr">
        <is>
          <t>configuration D</t>
        </is>
      </c>
      <c r="B33" t="inlineStr">
        <is>
          <t>Diagnostics-initial ROI</t>
        </is>
      </c>
      <c r="C33" t="inlineStr">
        <is>
          <t>Int. mask maximum intensity</t>
        </is>
      </c>
      <c r="D33" t="inlineStr">
        <is>
          <t>DiagnosticsInitialROIIntMaskMaximumIntensity</t>
        </is>
      </c>
      <c r="E33" t="inlineStr">
        <is>
          <t>6-9</t>
        </is>
      </c>
      <c r="F33" t="n">
        <v>723</v>
      </c>
      <c r="G33" t="n">
        <v>0</v>
      </c>
      <c r="H33" t="n">
        <v>723</v>
      </c>
      <c r="I33" s="4">
        <f>IFERROR(IF(NOT(H33=""),ABS(ROUNDDOWN(F33-H33, 3 - (1+INT(LOG10(ABS(F33)))))),""),IF(AND(F33=0,NOT(F33="")),ABS(ROUNDDOWN(F33-H33,0)),""))</f>
        <v/>
      </c>
      <c r="J33" s="4">
        <f>IF(NOT(I33=""),IF(I33&lt;=G33,"match",IF(I33&lt;3*G33,"partial match","no match")),"")</f>
        <v/>
      </c>
      <c r="K33" t="inlineStr">
        <is>
          <t>int_mask_max_int_init_roi</t>
        </is>
      </c>
    </row>
    <row r="34" ht="15" customHeight="1" s="10">
      <c r="A34" t="inlineStr">
        <is>
          <t>configuration D</t>
        </is>
      </c>
      <c r="B34" t="inlineStr">
        <is>
          <t>Diagnostics-interpolated ROI</t>
        </is>
      </c>
      <c r="C34" t="inlineStr">
        <is>
          <t>Int. mask dimension x</t>
        </is>
      </c>
      <c r="D34" t="inlineStr">
        <is>
          <t>DiagnosticsInterpolatedROIIntMaskDimensionX</t>
        </is>
      </c>
      <c r="E34" t="inlineStr">
        <is>
          <t>6-9</t>
        </is>
      </c>
      <c r="F34" t="n">
        <v>100</v>
      </c>
      <c r="G34" t="n">
        <v>1</v>
      </c>
      <c r="H34" t="n">
        <v>100</v>
      </c>
      <c r="I34" s="4">
        <f>IFERROR(IF(NOT(H34=""),ABS(ROUNDDOWN(F34-H34, 3 - (1+INT(LOG10(ABS(F34)))))),""),IF(AND(F34=0,NOT(F34="")),ABS(ROUNDDOWN(F34-H34,0)),""))</f>
        <v/>
      </c>
      <c r="J34" s="4">
        <f>IF(NOT(I34=""),IF(I34&lt;=G34,"match",IF(I34&lt;3*G34,"partial match","no match")),"")</f>
        <v/>
      </c>
      <c r="K34" t="inlineStr">
        <is>
          <t>int_mask_dim_x_interp_roi</t>
        </is>
      </c>
    </row>
    <row r="35" ht="15" customHeight="1" s="10">
      <c r="A35" t="inlineStr">
        <is>
          <t>configuration D</t>
        </is>
      </c>
      <c r="B35" t="inlineStr">
        <is>
          <t>Diagnostics-interpolated ROI</t>
        </is>
      </c>
      <c r="C35" t="inlineStr">
        <is>
          <t>Int. mask dimension y</t>
        </is>
      </c>
      <c r="D35" t="inlineStr">
        <is>
          <t>DiagnosticsInterpolatedROIIntMaskDimensionY</t>
        </is>
      </c>
      <c r="E35" t="inlineStr">
        <is>
          <t>6-9</t>
        </is>
      </c>
      <c r="F35" t="n">
        <v>99</v>
      </c>
      <c r="G35" t="n">
        <v>0.8</v>
      </c>
      <c r="H35" t="n">
        <v>99</v>
      </c>
      <c r="I35" s="4">
        <f>IFERROR(IF(NOT(H35=""),ABS(ROUNDDOWN(F35-H35, 3 - (1+INT(LOG10(ABS(F35)))))),""),IF(AND(F35=0,NOT(F35="")),ABS(ROUNDDOWN(F35-H35,0)),""))</f>
        <v/>
      </c>
      <c r="J35" s="4">
        <f>IF(NOT(I35=""),IF(I35&lt;=G35,"match",IF(I35&lt;3*G35,"partial match","no match")),"")</f>
        <v/>
      </c>
      <c r="K35" t="inlineStr">
        <is>
          <t>int_mask_dim_y_interp_roi</t>
        </is>
      </c>
    </row>
    <row r="36" ht="15" customHeight="1" s="10">
      <c r="A36" t="inlineStr">
        <is>
          <t>configuration D</t>
        </is>
      </c>
      <c r="B36" t="inlineStr">
        <is>
          <t>Diagnostics-interpolated ROI</t>
        </is>
      </c>
      <c r="C36" t="inlineStr">
        <is>
          <t>Int. mask dimension z</t>
        </is>
      </c>
      <c r="D36" t="inlineStr">
        <is>
          <t>DiagnosticsInterpolatedROIIntMaskDimensionZ</t>
        </is>
      </c>
      <c r="E36" t="inlineStr">
        <is>
          <t>6-9</t>
        </is>
      </c>
      <c r="F36" t="n">
        <v>90</v>
      </c>
      <c r="G36" t="n">
        <v>0</v>
      </c>
      <c r="H36" t="n">
        <v>90</v>
      </c>
      <c r="I36" s="4">
        <f>IFERROR(IF(NOT(H36=""),ABS(ROUNDDOWN(F36-H36, 3 - (1+INT(LOG10(ABS(F36)))))),""),IF(AND(F36=0,NOT(F36="")),ABS(ROUNDDOWN(F36-H36,0)),""))</f>
        <v/>
      </c>
      <c r="J36" s="4">
        <f>IF(NOT(I36=""),IF(I36&lt;=G36,"match",IF(I36&lt;3*G36,"partial match","no match")),"")</f>
        <v/>
      </c>
      <c r="K36" t="inlineStr">
        <is>
          <t>int_mask_dim_z_interp_roi</t>
        </is>
      </c>
    </row>
    <row r="37" ht="15" customHeight="1" s="10">
      <c r="A37" t="inlineStr">
        <is>
          <t>configuration D</t>
        </is>
      </c>
      <c r="B37" t="inlineStr">
        <is>
          <t>Diagnostics-interpolated ROI</t>
        </is>
      </c>
      <c r="C37" t="inlineStr">
        <is>
          <t>Int. mask bounding box dimension x</t>
        </is>
      </c>
      <c r="D37" t="inlineStr">
        <is>
          <t>DiagnosticsInterpolatedROIIntMaskBoundingBoxDimensionX</t>
        </is>
      </c>
      <c r="E37" t="inlineStr">
        <is>
          <t>6-9</t>
        </is>
      </c>
      <c r="F37" t="n">
        <v>49</v>
      </c>
      <c r="G37" t="n">
        <v>0.2</v>
      </c>
      <c r="H37" t="n">
        <v>49</v>
      </c>
      <c r="I37" s="4">
        <f>IFERROR(IF(NOT(H37=""),ABS(ROUNDDOWN(F37-H37, 3 - (1+INT(LOG10(ABS(F37)))))),""),IF(AND(F37=0,NOT(F37="")),ABS(ROUNDDOWN(F37-H37,0)),""))</f>
        <v/>
      </c>
      <c r="J37" s="4">
        <f>IF(NOT(I37=""),IF(I37&lt;=G37,"match",IF(I37&lt;3*G37,"partial match","no match")),"")</f>
        <v/>
      </c>
      <c r="K37" t="inlineStr">
        <is>
          <t>int_mask_bb_dim_x_interp_roi</t>
        </is>
      </c>
    </row>
    <row r="38" ht="15" customHeight="1" s="10">
      <c r="A38" t="inlineStr">
        <is>
          <t>configuration D</t>
        </is>
      </c>
      <c r="B38" t="inlineStr">
        <is>
          <t>Diagnostics-interpolated ROI</t>
        </is>
      </c>
      <c r="C38" t="inlineStr">
        <is>
          <t>Int. mask bounding box dimension y</t>
        </is>
      </c>
      <c r="D38" t="inlineStr">
        <is>
          <t>DiagnosticsInterpolatedROIIntMaskBoundingBoxDimensionY</t>
        </is>
      </c>
      <c r="E38" t="inlineStr">
        <is>
          <t>6-9</t>
        </is>
      </c>
      <c r="F38" t="n">
        <v>49</v>
      </c>
      <c r="G38" t="n">
        <v>0.3</v>
      </c>
      <c r="H38" t="n">
        <v>49</v>
      </c>
      <c r="I38" s="4">
        <f>IFERROR(IF(NOT(H38=""),ABS(ROUNDDOWN(F38-H38, 3 - (1+INT(LOG10(ABS(F38)))))),""),IF(AND(F38=0,NOT(F38="")),ABS(ROUNDDOWN(F38-H38,0)),""))</f>
        <v/>
      </c>
      <c r="J38" s="4">
        <f>IF(NOT(I38=""),IF(I38&lt;=G38,"match",IF(I38&lt;3*G38,"partial match","no match")),"")</f>
        <v/>
      </c>
      <c r="K38" t="inlineStr">
        <is>
          <t>int_mask_bb_dim_y_interp_roi</t>
        </is>
      </c>
    </row>
    <row r="39" ht="15" customHeight="1" s="10">
      <c r="A39" t="inlineStr">
        <is>
          <t>configuration D</t>
        </is>
      </c>
      <c r="B39" t="inlineStr">
        <is>
          <t>Diagnostics-interpolated ROI</t>
        </is>
      </c>
      <c r="C39" t="inlineStr">
        <is>
          <t>Int. mask bounding box dimension z</t>
        </is>
      </c>
      <c r="D39" t="inlineStr">
        <is>
          <t>DiagnosticsInterpolatedROIIntMaskBoundingBoxDimensionZ</t>
        </is>
      </c>
      <c r="E39" t="inlineStr">
        <is>
          <t>6-9</t>
        </is>
      </c>
      <c r="F39" t="n">
        <v>40</v>
      </c>
      <c r="G39" t="n">
        <v>0</v>
      </c>
      <c r="H39" t="n">
        <v>39</v>
      </c>
      <c r="I39" s="4">
        <f>IFERROR(IF(NOT(H39=""),ABS(ROUNDDOWN(F39-H39, 3 - (1+INT(LOG10(ABS(F39)))))),""),IF(AND(F39=0,NOT(F39="")),ABS(ROUNDDOWN(F39-H39,0)),""))</f>
        <v/>
      </c>
      <c r="J39" s="4">
        <f>IF(NOT(I39=""),IF(I39&lt;=G39,"match",IF(I39&lt;3*G39,"partial match","no match")),"")</f>
        <v/>
      </c>
      <c r="K39" t="inlineStr">
        <is>
          <t>int_mask_bb_dim_z_interp_roi</t>
        </is>
      </c>
    </row>
    <row r="40" ht="15" customHeight="1" s="10">
      <c r="A40" t="inlineStr">
        <is>
          <t>configuration D</t>
        </is>
      </c>
      <c r="B40" t="inlineStr">
        <is>
          <t>Diagnostics-interpolated ROI</t>
        </is>
      </c>
      <c r="C40" t="inlineStr">
        <is>
          <t>Morph. mask bounding box dimension x</t>
        </is>
      </c>
      <c r="D40" t="inlineStr">
        <is>
          <t>DiagnosticsInterpolatedROIMorphMaskBoundingBoxDimensionX</t>
        </is>
      </c>
      <c r="E40" t="inlineStr">
        <is>
          <t>6-9</t>
        </is>
      </c>
      <c r="F40" t="n">
        <v>49</v>
      </c>
      <c r="G40" t="n">
        <v>0.2</v>
      </c>
      <c r="I40" s="4">
        <f>IFERROR(IF(NOT(H40=""),ABS(ROUNDDOWN(F40-H40, 3 - (1+INT(LOG10(ABS(F40)))))),""),IF(AND(F40=0,NOT(F40="")),ABS(ROUNDDOWN(F40-H40,0)),""))</f>
        <v/>
      </c>
      <c r="J40" s="4">
        <f>IF(NOT(I40=""),IF(I40&lt;=G40,"match",IF(I40&lt;3*G40,"partial match","no match")),"")</f>
        <v/>
      </c>
      <c r="K40" t="inlineStr">
        <is>
          <t>morph_mask_bb_dim_x_interp_roi</t>
        </is>
      </c>
    </row>
    <row r="41" ht="15" customHeight="1" s="10">
      <c r="A41" t="inlineStr">
        <is>
          <t>configuration D</t>
        </is>
      </c>
      <c r="B41" t="inlineStr">
        <is>
          <t>Diagnostics-interpolated ROI</t>
        </is>
      </c>
      <c r="C41" t="inlineStr">
        <is>
          <t>Morph. mask bounding box dimension y</t>
        </is>
      </c>
      <c r="D41" t="inlineStr">
        <is>
          <t>DiagnosticsInterpolatedROIMorphMaskBoundingBoxDimensionY</t>
        </is>
      </c>
      <c r="E41" t="inlineStr">
        <is>
          <t>6-9</t>
        </is>
      </c>
      <c r="F41" t="n">
        <v>49</v>
      </c>
      <c r="G41" t="n">
        <v>0.3</v>
      </c>
      <c r="I41" s="4">
        <f>IFERROR(IF(NOT(H41=""),ABS(ROUNDDOWN(F41-H41, 3 - (1+INT(LOG10(ABS(F41)))))),""),IF(AND(F41=0,NOT(F41="")),ABS(ROUNDDOWN(F41-H41,0)),""))</f>
        <v/>
      </c>
      <c r="J41" s="4">
        <f>IF(NOT(I41=""),IF(I41&lt;=G41,"match",IF(I41&lt;3*G41,"partial match","no match")),"")</f>
        <v/>
      </c>
      <c r="K41" t="inlineStr">
        <is>
          <t>morph_mask_bb_dim_y_interp_roi</t>
        </is>
      </c>
    </row>
    <row r="42" ht="15" customHeight="1" s="10">
      <c r="A42" t="inlineStr">
        <is>
          <t>configuration D</t>
        </is>
      </c>
      <c r="B42" t="inlineStr">
        <is>
          <t>Diagnostics-interpolated ROI</t>
        </is>
      </c>
      <c r="C42" t="inlineStr">
        <is>
          <t>Morph. mask bounding box dimension z</t>
        </is>
      </c>
      <c r="D42" t="inlineStr">
        <is>
          <t>DiagnosticsInterpolatedROIMorphMaskBoundingBoxDimensionZ</t>
        </is>
      </c>
      <c r="E42" t="inlineStr">
        <is>
          <t>6-9</t>
        </is>
      </c>
      <c r="F42" t="n">
        <v>40</v>
      </c>
      <c r="G42" t="n">
        <v>0</v>
      </c>
      <c r="I42" s="4">
        <f>IFERROR(IF(NOT(H42=""),ABS(ROUNDDOWN(F42-H42, 3 - (1+INT(LOG10(ABS(F42)))))),""),IF(AND(F42=0,NOT(F42="")),ABS(ROUNDDOWN(F42-H42,0)),""))</f>
        <v/>
      </c>
      <c r="J42" s="4">
        <f>IF(NOT(I42=""),IF(I42&lt;=G42,"match",IF(I42&lt;3*G42,"partial match","no match")),"")</f>
        <v/>
      </c>
      <c r="K42" t="inlineStr">
        <is>
          <t>morph_mask_bb_dim_z_interp_roi</t>
        </is>
      </c>
    </row>
    <row r="43" ht="15" customHeight="1" s="10">
      <c r="A43" t="inlineStr">
        <is>
          <t>configuration D</t>
        </is>
      </c>
      <c r="B43" t="inlineStr">
        <is>
          <t>Diagnostics-interpolated ROI</t>
        </is>
      </c>
      <c r="C43" t="inlineStr">
        <is>
          <t>Int. mask voxel count</t>
        </is>
      </c>
      <c r="D43" t="inlineStr">
        <is>
          <t>DiagnosticsInterpolatedROIIntMaskVoxelCount</t>
        </is>
      </c>
      <c r="E43" t="inlineStr">
        <is>
          <t>6-9</t>
        </is>
      </c>
      <c r="F43" t="n">
        <v>45985</v>
      </c>
      <c r="G43" t="n">
        <v>100</v>
      </c>
      <c r="H43" t="n">
        <v>45701</v>
      </c>
      <c r="I43" s="4">
        <f>IFERROR(IF(NOT(H43=""),ABS(ROUNDDOWN(F43-H43, 3 - (1+INT(LOG10(ABS(F43)))))),""),IF(AND(F43=0,NOT(F43="")),ABS(ROUNDDOWN(F43-H43,0)),""))</f>
        <v/>
      </c>
      <c r="J43" s="4">
        <f>IF(NOT(I43=""),IF(I43&lt;=G43,"match",IF(I43&lt;3*G43,"partial match","no match")),"")</f>
        <v/>
      </c>
      <c r="K43" t="inlineStr">
        <is>
          <t>int_mask_vox_count_interp_roi</t>
        </is>
      </c>
    </row>
    <row r="44" ht="15" customHeight="1" s="10">
      <c r="A44" t="inlineStr">
        <is>
          <t>configuration D</t>
        </is>
      </c>
      <c r="B44" t="inlineStr">
        <is>
          <t>Diagnostics-interpolated ROI</t>
        </is>
      </c>
      <c r="C44" t="inlineStr">
        <is>
          <t>Morph. mask voxel count</t>
        </is>
      </c>
      <c r="D44" t="inlineStr">
        <is>
          <t>DiagnosticsInterpolatedROIMorphMaskVoxelCount</t>
        </is>
      </c>
      <c r="E44" t="inlineStr">
        <is>
          <t>6-9</t>
        </is>
      </c>
      <c r="F44" t="n">
        <v>45985</v>
      </c>
      <c r="G44" t="n">
        <v>100</v>
      </c>
      <c r="I44" s="4">
        <f>IFERROR(IF(NOT(H44=""),ABS(ROUNDDOWN(F44-H44, 3 - (1+INT(LOG10(ABS(F44)))))),""),IF(AND(F44=0,NOT(F44="")),ABS(ROUNDDOWN(F44-H44,0)),""))</f>
        <v/>
      </c>
      <c r="J44" s="4">
        <f>IF(NOT(I44=""),IF(I44&lt;=G44,"match",IF(I44&lt;3*G44,"partial match","no match")),"")</f>
        <v/>
      </c>
      <c r="K44" t="inlineStr">
        <is>
          <t>morph_mask_vox_count_interp_roi</t>
        </is>
      </c>
    </row>
    <row r="45" ht="15" customHeight="1" s="10">
      <c r="A45" t="inlineStr">
        <is>
          <t>configuration D</t>
        </is>
      </c>
      <c r="B45" t="inlineStr">
        <is>
          <t>Diagnostics-interpolated ROI</t>
        </is>
      </c>
      <c r="C45" t="inlineStr">
        <is>
          <t>Int. mask mean intensity</t>
        </is>
      </c>
      <c r="D45" t="inlineStr">
        <is>
          <t>DiagnosticsInterpolatedROIIntMaskMeanIntensity</t>
        </is>
      </c>
      <c r="E45" t="inlineStr">
        <is>
          <t>6-9</t>
        </is>
      </c>
      <c r="F45" t="n">
        <v>-48.9</v>
      </c>
      <c r="G45" t="n">
        <v>0.1</v>
      </c>
      <c r="H45" t="n">
        <v>-46.6396533751665</v>
      </c>
      <c r="I45" s="4">
        <f>IFERROR(IF(NOT(H45=""),ABS(ROUNDDOWN(F45-H45, 3 - (1+INT(LOG10(ABS(F45)))))),""),IF(AND(F45=0,NOT(F45="")),ABS(ROUNDDOWN(F45-H45,0)),""))</f>
        <v/>
      </c>
      <c r="J45" s="4">
        <f>IF(NOT(I45=""),IF(I45&lt;=G45,"match",IF(I45&lt;3*G45,"partial match","no match")),"")</f>
        <v/>
      </c>
      <c r="K45" t="inlineStr">
        <is>
          <t>int_mask_mean_int_interp_roi</t>
        </is>
      </c>
    </row>
    <row r="46" ht="15" customHeight="1" s="10">
      <c r="A46" t="inlineStr">
        <is>
          <t>configuration D</t>
        </is>
      </c>
      <c r="B46" t="inlineStr">
        <is>
          <t>Diagnostics-interpolated ROI</t>
        </is>
      </c>
      <c r="C46" t="inlineStr">
        <is>
          <t>Int. mask minimum intensity</t>
        </is>
      </c>
      <c r="D46" t="inlineStr">
        <is>
          <t>DiagnosticsInterpolatedROIIntMaskMinimumIntensity</t>
        </is>
      </c>
      <c r="E46" t="inlineStr">
        <is>
          <t>6-9</t>
        </is>
      </c>
      <c r="F46" t="n">
        <v>-939</v>
      </c>
      <c r="G46" t="n">
        <v>1</v>
      </c>
      <c r="H46" t="n">
        <v>-949.345336914062</v>
      </c>
      <c r="I46" s="4">
        <f>IFERROR(IF(NOT(H46=""),ABS(ROUNDDOWN(F46-H46, 3 - (1+INT(LOG10(ABS(F46)))))),""),IF(AND(F46=0,NOT(F46="")),ABS(ROUNDDOWN(F46-H46,0)),""))</f>
        <v/>
      </c>
      <c r="J46" s="4">
        <f>IF(NOT(I46=""),IF(I46&lt;=G46,"match",IF(I46&lt;3*G46,"partial match","no match")),"")</f>
        <v/>
      </c>
      <c r="K46" t="inlineStr">
        <is>
          <t>int_mask_min_int_interp_roi</t>
        </is>
      </c>
    </row>
    <row r="47" ht="15" customHeight="1" s="10">
      <c r="A47" t="inlineStr">
        <is>
          <t>configuration D</t>
        </is>
      </c>
      <c r="B47" t="inlineStr">
        <is>
          <t>Diagnostics-interpolated ROI</t>
        </is>
      </c>
      <c r="C47" t="inlineStr">
        <is>
          <t>Int. mask maximum intensity</t>
        </is>
      </c>
      <c r="D47" t="inlineStr">
        <is>
          <t>DiagnosticsInterpolatedROIIntMaskMaximumIntensity</t>
        </is>
      </c>
      <c r="E47" t="inlineStr">
        <is>
          <t>6-9</t>
        </is>
      </c>
      <c r="F47" t="n">
        <v>521</v>
      </c>
      <c r="G47" t="n">
        <v>4</v>
      </c>
      <c r="H47" t="n">
        <v>641.559265136718</v>
      </c>
      <c r="I47" s="4">
        <f>IFERROR(IF(NOT(H47=""),ABS(ROUNDDOWN(F47-H47, 3 - (1+INT(LOG10(ABS(F47)))))),""),IF(AND(F47=0,NOT(F47="")),ABS(ROUNDDOWN(F47-H47,0)),""))</f>
        <v/>
      </c>
      <c r="J47" s="4">
        <f>IF(NOT(I47=""),IF(I47&lt;=G47,"match",IF(I47&lt;3*G47,"partial match","no match")),"")</f>
        <v/>
      </c>
      <c r="K47" t="inlineStr">
        <is>
          <t>int_mask_max_int_interp_roi</t>
        </is>
      </c>
    </row>
    <row r="48" ht="15" customHeight="1" s="10">
      <c r="A48" t="inlineStr">
        <is>
          <t>configuration D</t>
        </is>
      </c>
      <c r="B48" t="inlineStr">
        <is>
          <t>Diagnostics-resegmented ROI</t>
        </is>
      </c>
      <c r="C48" t="inlineStr">
        <is>
          <t>Int. mask dimension x</t>
        </is>
      </c>
      <c r="D48" t="inlineStr">
        <is>
          <t>DiagnosticsResegmentedROIIntMaskDimensionX</t>
        </is>
      </c>
      <c r="E48" t="inlineStr">
        <is>
          <t>6-9</t>
        </is>
      </c>
      <c r="F48" t="n">
        <v>100</v>
      </c>
      <c r="G48" t="n">
        <v>1</v>
      </c>
      <c r="H48" t="n">
        <v>100</v>
      </c>
      <c r="I48" s="4">
        <f>IFERROR(IF(NOT(H48=""),ABS(ROUNDDOWN(F48-H48, 3 - (1+INT(LOG10(ABS(F48)))))),""),IF(AND(F48=0,NOT(F48="")),ABS(ROUNDDOWN(F48-H48,0)),""))</f>
        <v/>
      </c>
      <c r="J48" s="4">
        <f>IF(NOT(I48=""),IF(I48&lt;=G48,"match",IF(I48&lt;3*G48,"partial match","no match")),"")</f>
        <v/>
      </c>
      <c r="K48" t="inlineStr">
        <is>
          <t>int_mask_dim_x_reseg_roi</t>
        </is>
      </c>
    </row>
    <row r="49" ht="15" customHeight="1" s="10">
      <c r="A49" t="inlineStr">
        <is>
          <t>configuration D</t>
        </is>
      </c>
      <c r="B49" t="inlineStr">
        <is>
          <t>Diagnostics-resegmented ROI</t>
        </is>
      </c>
      <c r="C49" t="inlineStr">
        <is>
          <t>Int. mask dimension y</t>
        </is>
      </c>
      <c r="D49" t="inlineStr">
        <is>
          <t>DiagnosticsResegmentedROIIntMaskDimensionY</t>
        </is>
      </c>
      <c r="E49" t="inlineStr">
        <is>
          <t>6-9</t>
        </is>
      </c>
      <c r="F49" t="n">
        <v>99</v>
      </c>
      <c r="G49" t="n">
        <v>0.8</v>
      </c>
      <c r="H49" t="n">
        <v>99</v>
      </c>
      <c r="I49" s="4">
        <f>IFERROR(IF(NOT(H49=""),ABS(ROUNDDOWN(F49-H49, 3 - (1+INT(LOG10(ABS(F49)))))),""),IF(AND(F49=0,NOT(F49="")),ABS(ROUNDDOWN(F49-H49,0)),""))</f>
        <v/>
      </c>
      <c r="J49" s="4">
        <f>IF(NOT(I49=""),IF(I49&lt;=G49,"match",IF(I49&lt;3*G49,"partial match","no match")),"")</f>
        <v/>
      </c>
      <c r="K49" t="inlineStr">
        <is>
          <t>int_mask_dim_y_reseg_roi</t>
        </is>
      </c>
    </row>
    <row r="50" ht="15" customHeight="1" s="10">
      <c r="A50" t="inlineStr">
        <is>
          <t>configuration D</t>
        </is>
      </c>
      <c r="B50" t="inlineStr">
        <is>
          <t>Diagnostics-resegmented ROI</t>
        </is>
      </c>
      <c r="C50" t="inlineStr">
        <is>
          <t>Int. mask dimension z</t>
        </is>
      </c>
      <c r="D50" t="inlineStr">
        <is>
          <t>DiagnosticsResegmentedROIIntMaskDimensionZ</t>
        </is>
      </c>
      <c r="E50" t="inlineStr">
        <is>
          <t>6-9</t>
        </is>
      </c>
      <c r="F50" t="n">
        <v>90</v>
      </c>
      <c r="G50" t="n">
        <v>0</v>
      </c>
      <c r="H50" t="n">
        <v>90</v>
      </c>
      <c r="I50" s="4">
        <f>IFERROR(IF(NOT(H50=""),ABS(ROUNDDOWN(F50-H50, 3 - (1+INT(LOG10(ABS(F50)))))),""),IF(AND(F50=0,NOT(F50="")),ABS(ROUNDDOWN(F50-H50,0)),""))</f>
        <v/>
      </c>
      <c r="J50" s="4">
        <f>IF(NOT(I50=""),IF(I50&lt;=G50,"match",IF(I50&lt;3*G50,"partial match","no match")),"")</f>
        <v/>
      </c>
      <c r="K50" t="inlineStr">
        <is>
          <t>int_mask_dim_z_reseg_roi</t>
        </is>
      </c>
    </row>
    <row r="51" ht="15" customHeight="1" s="10">
      <c r="A51" t="inlineStr">
        <is>
          <t>configuration D</t>
        </is>
      </c>
      <c r="B51" t="inlineStr">
        <is>
          <t>Diagnostics-resegmented ROI</t>
        </is>
      </c>
      <c r="C51" t="inlineStr">
        <is>
          <t>Int. mask bounding box dimension x</t>
        </is>
      </c>
      <c r="D51" t="inlineStr">
        <is>
          <t>DiagnosticsResegmentedROIIntMaskBoundingBoxDimensionX</t>
        </is>
      </c>
      <c r="E51" t="inlineStr">
        <is>
          <t>6-9</t>
        </is>
      </c>
      <c r="F51" t="n">
        <v>49</v>
      </c>
      <c r="G51" t="n">
        <v>0.3</v>
      </c>
      <c r="H51" t="n">
        <v>49</v>
      </c>
      <c r="I51" s="4">
        <f>IFERROR(IF(NOT(H51=""),ABS(ROUNDDOWN(F51-H51, 3 - (1+INT(LOG10(ABS(F51)))))),""),IF(AND(F51=0,NOT(F51="")),ABS(ROUNDDOWN(F51-H51,0)),""))</f>
        <v/>
      </c>
      <c r="J51" s="4">
        <f>IF(NOT(I51=""),IF(I51&lt;=G51,"match",IF(I51&lt;3*G51,"partial match","no match")),"")</f>
        <v/>
      </c>
      <c r="K51" t="inlineStr">
        <is>
          <t>int_mask_bb_dim_x_reseg_roi</t>
        </is>
      </c>
    </row>
    <row r="52" ht="15" customHeight="1" s="10">
      <c r="A52" t="inlineStr">
        <is>
          <t>configuration D</t>
        </is>
      </c>
      <c r="B52" t="inlineStr">
        <is>
          <t>Diagnostics-resegmented ROI</t>
        </is>
      </c>
      <c r="C52" t="inlineStr">
        <is>
          <t>Int. mask bounding box dimension y</t>
        </is>
      </c>
      <c r="D52" t="inlineStr">
        <is>
          <t>DiagnosticsResegmentedROIIntMaskBoundingBoxDimensionY</t>
        </is>
      </c>
      <c r="E52" t="inlineStr">
        <is>
          <t>6-9</t>
        </is>
      </c>
      <c r="F52" t="n">
        <v>49</v>
      </c>
      <c r="G52" t="n">
        <v>0.3</v>
      </c>
      <c r="H52" t="n">
        <v>49</v>
      </c>
      <c r="I52" s="4">
        <f>IFERROR(IF(NOT(H52=""),ABS(ROUNDDOWN(F52-H52, 3 - (1+INT(LOG10(ABS(F52)))))),""),IF(AND(F52=0,NOT(F52="")),ABS(ROUNDDOWN(F52-H52,0)),""))</f>
        <v/>
      </c>
      <c r="J52" s="4">
        <f>IF(NOT(I52=""),IF(I52&lt;=G52,"match",IF(I52&lt;3*G52,"partial match","no match")),"")</f>
        <v/>
      </c>
      <c r="K52" t="inlineStr">
        <is>
          <t>int_mask_bb_dim_y_reseg_roi</t>
        </is>
      </c>
    </row>
    <row r="53" ht="15" customHeight="1" s="10">
      <c r="A53" t="inlineStr">
        <is>
          <t>configuration D</t>
        </is>
      </c>
      <c r="B53" t="inlineStr">
        <is>
          <t>Diagnostics-resegmented ROI</t>
        </is>
      </c>
      <c r="C53" t="inlineStr">
        <is>
          <t>Int. mask bounding box dimension z</t>
        </is>
      </c>
      <c r="D53" t="inlineStr">
        <is>
          <t>DiagnosticsResegmentedROIIntMaskBoundingBoxDimensionZ</t>
        </is>
      </c>
      <c r="E53" t="inlineStr">
        <is>
          <t>6-9</t>
        </is>
      </c>
      <c r="F53" t="n">
        <v>40</v>
      </c>
      <c r="G53" t="n">
        <v>0.3</v>
      </c>
      <c r="H53" t="n">
        <v>39</v>
      </c>
      <c r="I53" s="4">
        <f>IFERROR(IF(NOT(H53=""),ABS(ROUNDDOWN(F53-H53, 3 - (1+INT(LOG10(ABS(F53)))))),""),IF(AND(F53=0,NOT(F53="")),ABS(ROUNDDOWN(F53-H53,0)),""))</f>
        <v/>
      </c>
      <c r="J53" s="4">
        <f>IF(NOT(I53=""),IF(I53&lt;=G53,"match",IF(I53&lt;3*G53,"partial match","no match")),"")</f>
        <v/>
      </c>
      <c r="K53" t="inlineStr">
        <is>
          <t>int_mask_bb_dim_z_reseg_roi</t>
        </is>
      </c>
    </row>
    <row r="54" ht="15" customHeight="1" s="10">
      <c r="A54" t="inlineStr">
        <is>
          <t>configuration D</t>
        </is>
      </c>
      <c r="B54" t="inlineStr">
        <is>
          <t>Diagnostics-resegmented ROI</t>
        </is>
      </c>
      <c r="C54" t="inlineStr">
        <is>
          <t>Morph. mask bounding box dimension x</t>
        </is>
      </c>
      <c r="D54" t="inlineStr">
        <is>
          <t>DiagnosticsResegmentedROIMorphMaskBoundingBoxDimensionX</t>
        </is>
      </c>
      <c r="E54" t="inlineStr">
        <is>
          <t>6-9</t>
        </is>
      </c>
      <c r="F54" t="n">
        <v>49</v>
      </c>
      <c r="G54" t="n">
        <v>0.3</v>
      </c>
      <c r="I54" s="4">
        <f>IFERROR(IF(NOT(H54=""),ABS(ROUNDDOWN(F54-H54, 3 - (1+INT(LOG10(ABS(F54)))))),""),IF(AND(F54=0,NOT(F54="")),ABS(ROUNDDOWN(F54-H54,0)),""))</f>
        <v/>
      </c>
      <c r="J54" s="4">
        <f>IF(NOT(I54=""),IF(I54&lt;=G54,"match",IF(I54&lt;3*G54,"partial match","no match")),"")</f>
        <v/>
      </c>
      <c r="K54" t="inlineStr">
        <is>
          <t>morph_mask_bb_dim_x_reseg_roi</t>
        </is>
      </c>
    </row>
    <row r="55" ht="15" customHeight="1" s="10">
      <c r="A55" t="inlineStr">
        <is>
          <t>configuration D</t>
        </is>
      </c>
      <c r="B55" t="inlineStr">
        <is>
          <t>Diagnostics-resegmented ROI</t>
        </is>
      </c>
      <c r="C55" t="inlineStr">
        <is>
          <t>Morph. mask bounding box dimension y</t>
        </is>
      </c>
      <c r="D55" t="inlineStr">
        <is>
          <t>DiagnosticsResegmentedROIMorphMaskBoundingBoxDimensionY</t>
        </is>
      </c>
      <c r="E55" t="inlineStr">
        <is>
          <t>6-9</t>
        </is>
      </c>
      <c r="F55" t="n">
        <v>49</v>
      </c>
      <c r="G55" t="n">
        <v>0.3</v>
      </c>
      <c r="I55" s="4">
        <f>IFERROR(IF(NOT(H55=""),ABS(ROUNDDOWN(F55-H55, 3 - (1+INT(LOG10(ABS(F55)))))),""),IF(AND(F55=0,NOT(F55="")),ABS(ROUNDDOWN(F55-H55,0)),""))</f>
        <v/>
      </c>
      <c r="J55" s="4">
        <f>IF(NOT(I55=""),IF(I55&lt;=G55,"match",IF(I55&lt;3*G55,"partial match","no match")),"")</f>
        <v/>
      </c>
      <c r="K55" t="inlineStr">
        <is>
          <t>morph_mask_bb_dim_y_reseg_roi</t>
        </is>
      </c>
    </row>
    <row r="56" ht="15" customHeight="1" s="10">
      <c r="A56" t="inlineStr">
        <is>
          <t>configuration D</t>
        </is>
      </c>
      <c r="B56" t="inlineStr">
        <is>
          <t>Diagnostics-resegmented ROI</t>
        </is>
      </c>
      <c r="C56" t="inlineStr">
        <is>
          <t>Morph. mask bounding box dimension z</t>
        </is>
      </c>
      <c r="D56" t="inlineStr">
        <is>
          <t>DiagnosticsResegmentedROIMorphMaskBoundingBoxDimensionZ</t>
        </is>
      </c>
      <c r="E56" t="inlineStr">
        <is>
          <t>6-9</t>
        </is>
      </c>
      <c r="F56" t="n">
        <v>40</v>
      </c>
      <c r="G56" t="n">
        <v>0.3</v>
      </c>
      <c r="I56" s="4">
        <f>IFERROR(IF(NOT(H56=""),ABS(ROUNDDOWN(F56-H56, 3 - (1+INT(LOG10(ABS(F56)))))),""),IF(AND(F56=0,NOT(F56="")),ABS(ROUNDDOWN(F56-H56,0)),""))</f>
        <v/>
      </c>
      <c r="J56" s="4">
        <f>IF(NOT(I56=""),IF(I56&lt;=G56,"match",IF(I56&lt;3*G56,"partial match","no match")),"")</f>
        <v/>
      </c>
      <c r="K56" t="inlineStr">
        <is>
          <t>morph_mask_bb_dim_z_reseg_roi</t>
        </is>
      </c>
    </row>
    <row r="57" ht="15" customHeight="1" s="10">
      <c r="A57" t="inlineStr">
        <is>
          <t>configuration D</t>
        </is>
      </c>
      <c r="B57" t="inlineStr">
        <is>
          <t>Diagnostics-resegmented ROI</t>
        </is>
      </c>
      <c r="C57" t="inlineStr">
        <is>
          <t>Int. mask voxel count</t>
        </is>
      </c>
      <c r="D57" t="inlineStr">
        <is>
          <t>DiagnosticsResegmentedROIIntMaskVoxelCount</t>
        </is>
      </c>
      <c r="E57" t="inlineStr">
        <is>
          <t>6-9</t>
        </is>
      </c>
      <c r="F57" t="n">
        <v>44465</v>
      </c>
      <c r="G57" t="n">
        <v>800</v>
      </c>
      <c r="H57" t="n">
        <v>44120</v>
      </c>
      <c r="I57" s="4">
        <f>IFERROR(IF(NOT(H57=""),ABS(ROUNDDOWN(F57-H57, 3 - (1+INT(LOG10(ABS(F57)))))),""),IF(AND(F57=0,NOT(F57="")),ABS(ROUNDDOWN(F57-H57,0)),""))</f>
        <v/>
      </c>
      <c r="J57" s="4">
        <f>IF(NOT(I57=""),IF(I57&lt;=G57,"match",IF(I57&lt;3*G57,"partial match","no match")),"")</f>
        <v/>
      </c>
      <c r="K57" t="inlineStr">
        <is>
          <t>int_mask_vox_count_reseg_roi</t>
        </is>
      </c>
    </row>
    <row r="58" ht="15" customHeight="1" s="10">
      <c r="A58" t="inlineStr">
        <is>
          <t>configuration D</t>
        </is>
      </c>
      <c r="B58" t="inlineStr">
        <is>
          <t>Diagnostics-resegmented ROI</t>
        </is>
      </c>
      <c r="C58" t="inlineStr">
        <is>
          <t>Morph. mask voxel count</t>
        </is>
      </c>
      <c r="D58" t="inlineStr">
        <is>
          <t>DiagnosticsResegmentedROIMorphMaskVoxelCount</t>
        </is>
      </c>
      <c r="E58" t="inlineStr">
        <is>
          <t>6-9</t>
        </is>
      </c>
      <c r="F58" t="n">
        <v>45985</v>
      </c>
      <c r="G58" t="n">
        <v>800</v>
      </c>
      <c r="I58" s="4">
        <f>IFERROR(IF(NOT(H58=""),ABS(ROUNDDOWN(F58-H58, 3 - (1+INT(LOG10(ABS(F58)))))),""),IF(AND(F58=0,NOT(F58="")),ABS(ROUNDDOWN(F58-H58,0)),""))</f>
        <v/>
      </c>
      <c r="J58" s="4">
        <f>IF(NOT(I58=""),IF(I58&lt;=G58,"match",IF(I58&lt;3*G58,"partial match","no match")),"")</f>
        <v/>
      </c>
      <c r="K58" t="inlineStr">
        <is>
          <t>morph_mask_vox_count_reseg_roi</t>
        </is>
      </c>
    </row>
    <row r="59" ht="15" customHeight="1" s="10">
      <c r="A59" t="inlineStr">
        <is>
          <t>configuration D</t>
        </is>
      </c>
      <c r="B59" t="inlineStr">
        <is>
          <t>Diagnostics-resegmented ROI</t>
        </is>
      </c>
      <c r="C59" t="inlineStr">
        <is>
          <t>Int. mask mean intensity</t>
        </is>
      </c>
      <c r="D59" t="inlineStr">
        <is>
          <t>DiagnosticsResegmentedROIIntMaskMeanIntensity</t>
        </is>
      </c>
      <c r="E59" t="inlineStr">
        <is>
          <t>6-9</t>
        </is>
      </c>
      <c r="F59" t="n">
        <v>-23.5</v>
      </c>
      <c r="G59" t="n">
        <v>3.9</v>
      </c>
      <c r="H59" t="n">
        <v>-20.0277137959052</v>
      </c>
      <c r="I59" s="4">
        <f>IFERROR(IF(NOT(H59=""),ABS(ROUNDDOWN(F59-H59, 3 - (1+INT(LOG10(ABS(F59)))))),""),IF(AND(F59=0,NOT(F59="")),ABS(ROUNDDOWN(F59-H59,0)),""))</f>
        <v/>
      </c>
      <c r="J59" s="4">
        <f>IF(NOT(I59=""),IF(I59&lt;=G59,"match",IF(I59&lt;3*G59,"partial match","no match")),"")</f>
        <v/>
      </c>
      <c r="K59" t="inlineStr">
        <is>
          <t>int_mask_mean_int_reseg_roi</t>
        </is>
      </c>
    </row>
    <row r="60" ht="15" customHeight="1" s="10">
      <c r="A60" t="inlineStr">
        <is>
          <t>configuration D</t>
        </is>
      </c>
      <c r="B60" t="inlineStr">
        <is>
          <t>Diagnostics-resegmented ROI</t>
        </is>
      </c>
      <c r="C60" t="inlineStr">
        <is>
          <t>Int. mask minimum intensity</t>
        </is>
      </c>
      <c r="D60" t="inlineStr">
        <is>
          <t>DiagnosticsResegmentedROIIntMaskMinimumIntensity</t>
        </is>
      </c>
      <c r="E60" t="inlineStr">
        <is>
          <t>6-9</t>
        </is>
      </c>
      <c r="F60" t="n">
        <v>-724</v>
      </c>
      <c r="G60" t="n">
        <v>12</v>
      </c>
      <c r="H60" t="n">
        <v>-716.759216308593</v>
      </c>
      <c r="I60" s="4">
        <f>IFERROR(IF(NOT(H60=""),ABS(ROUNDDOWN(F60-H60, 3 - (1+INT(LOG10(ABS(F60)))))),""),IF(AND(F60=0,NOT(F60="")),ABS(ROUNDDOWN(F60-H60,0)),""))</f>
        <v/>
      </c>
      <c r="J60" s="4">
        <f>IF(NOT(I60=""),IF(I60&lt;=G60,"match",IF(I60&lt;3*G60,"partial match","no match")),"")</f>
        <v/>
      </c>
      <c r="K60" t="inlineStr">
        <is>
          <t>int_mask_min_int_reseg_roi</t>
        </is>
      </c>
    </row>
    <row r="61" ht="15" customHeight="1" s="10">
      <c r="A61" t="inlineStr">
        <is>
          <t>configuration D</t>
        </is>
      </c>
      <c r="B61" t="inlineStr">
        <is>
          <t>Diagnostics-resegmented ROI</t>
        </is>
      </c>
      <c r="C61" t="inlineStr">
        <is>
          <t>Int. mask maximum intensity</t>
        </is>
      </c>
      <c r="D61" t="inlineStr">
        <is>
          <t>DiagnosticsResegmentedROIIntMaskMaximumIntensity</t>
        </is>
      </c>
      <c r="E61" t="inlineStr">
        <is>
          <t>6-9</t>
        </is>
      </c>
      <c r="F61" t="n">
        <v>521</v>
      </c>
      <c r="G61" t="n">
        <v>21</v>
      </c>
      <c r="H61" t="n">
        <v>617.665344238281</v>
      </c>
      <c r="I61" s="4">
        <f>IFERROR(IF(NOT(H61=""),ABS(ROUNDDOWN(F61-H61, 3 - (1+INT(LOG10(ABS(F61)))))),""),IF(AND(F61=0,NOT(F61="")),ABS(ROUNDDOWN(F61-H61,0)),""))</f>
        <v/>
      </c>
      <c r="J61" s="4">
        <f>IF(NOT(I61=""),IF(I61&lt;=G61,"match",IF(I61&lt;3*G61,"partial match","no match")),"")</f>
        <v/>
      </c>
      <c r="K61" t="inlineStr">
        <is>
          <t>int_mask_max_int_reseg_roi</t>
        </is>
      </c>
    </row>
    <row r="62" ht="15" customHeight="1" s="10">
      <c r="A62" t="inlineStr">
        <is>
          <t>configuration D</t>
        </is>
      </c>
      <c r="B62" t="inlineStr">
        <is>
          <t>Morphology</t>
        </is>
      </c>
      <c r="C62" t="inlineStr">
        <is>
          <t>Volume (mesh-based)</t>
        </is>
      </c>
      <c r="D62" t="inlineStr">
        <is>
          <t>VolumeMesh</t>
        </is>
      </c>
      <c r="E62" t="inlineStr">
        <is>
          <t>6-9</t>
        </is>
      </c>
      <c r="F62" t="n">
        <v>367000</v>
      </c>
      <c r="G62" t="n">
        <v>6000</v>
      </c>
      <c r="H62" s="6" t="n">
        <v>340435.34375</v>
      </c>
      <c r="I62" s="4">
        <f>IFERROR(IF(NOT(H62=""),ABS(ROUNDDOWN(F62-H62, 3 - (1+INT(LOG10(ABS(F62)))))),""),IF(AND(F62=0,NOT(F62="")),ABS(ROUNDDOWN(F62-H62,0)),""))</f>
        <v/>
      </c>
      <c r="J62" s="4">
        <f>IF(NOT(I62=""),IF(I62&lt;=G62,"match",IF(I62&lt;3*G62,"partial match","no match")),"")</f>
        <v/>
      </c>
      <c r="K62" t="inlineStr">
        <is>
          <t>morph_volume</t>
        </is>
      </c>
    </row>
    <row r="63" ht="15" customHeight="1" s="10">
      <c r="A63" t="inlineStr">
        <is>
          <t>configuration D</t>
        </is>
      </c>
      <c r="B63" t="inlineStr">
        <is>
          <t>Morphology</t>
        </is>
      </c>
      <c r="C63" t="inlineStr">
        <is>
          <t>Volume (counting)</t>
        </is>
      </c>
      <c r="D63" t="inlineStr">
        <is>
          <t>VolumeVoxelCounting</t>
        </is>
      </c>
      <c r="E63" t="inlineStr">
        <is>
          <t>6-9</t>
        </is>
      </c>
      <c r="F63" t="n">
        <v>368000</v>
      </c>
      <c r="G63" t="n">
        <v>6000</v>
      </c>
      <c r="H63" s="6" t="n">
        <v>352960</v>
      </c>
      <c r="I63" s="4">
        <f>IFERROR(IF(NOT(H63=""),ABS(ROUNDDOWN(F63-H63, 3 - (1+INT(LOG10(ABS(F63)))))),""),IF(AND(F63=0,NOT(F63="")),ABS(ROUNDDOWN(F63-H63,0)),""))</f>
        <v/>
      </c>
      <c r="J63" s="4">
        <f>IF(NOT(I63=""),IF(I63&lt;=G63,"match",IF(I63&lt;3*G63,"partial match","no match")),"")</f>
        <v/>
      </c>
      <c r="K63" t="inlineStr">
        <is>
          <t>morph_vol_approx</t>
        </is>
      </c>
    </row>
    <row r="64" ht="15" customHeight="1" s="10">
      <c r="A64" t="inlineStr">
        <is>
          <t>configuration D</t>
        </is>
      </c>
      <c r="B64" t="inlineStr">
        <is>
          <t>Morphology</t>
        </is>
      </c>
      <c r="C64" t="inlineStr">
        <is>
          <t>Surface area</t>
        </is>
      </c>
      <c r="D64" t="inlineStr">
        <is>
          <t>SurfaceAreaMesh</t>
        </is>
      </c>
      <c r="E64" t="inlineStr">
        <is>
          <t>6-9</t>
        </is>
      </c>
      <c r="F64" t="n">
        <v>34300</v>
      </c>
      <c r="G64" t="n">
        <v>400</v>
      </c>
      <c r="H64" s="6" t="n">
        <v>34894.2862516641</v>
      </c>
      <c r="I64" s="4">
        <f>IFERROR(IF(NOT(H64=""),ABS(ROUNDDOWN(F64-H64, 3 - (1+INT(LOG10(ABS(F64)))))),""),IF(AND(F64=0,NOT(F64="")),ABS(ROUNDDOWN(F64-H64,0)),""))</f>
        <v/>
      </c>
      <c r="J64" s="4">
        <f>IF(NOT(I64=""),IF(I64&lt;=G64,"match",IF(I64&lt;3*G64,"partial match","no match")),"")</f>
        <v/>
      </c>
      <c r="K64" t="inlineStr">
        <is>
          <t>morph_area_mesh</t>
        </is>
      </c>
    </row>
    <row r="65" ht="15" customHeight="1" s="10">
      <c r="A65" t="inlineStr">
        <is>
          <t>configuration D</t>
        </is>
      </c>
      <c r="B65" t="inlineStr">
        <is>
          <t>Morphology</t>
        </is>
      </c>
      <c r="C65" t="inlineStr">
        <is>
          <t>Surface to volume ratio</t>
        </is>
      </c>
      <c r="D65" t="inlineStr">
        <is>
          <t>SurfaceToVolumeRatio</t>
        </is>
      </c>
      <c r="E65" t="inlineStr">
        <is>
          <t>6-9</t>
        </is>
      </c>
      <c r="F65" t="n">
        <v>0.0934</v>
      </c>
      <c r="G65" t="n">
        <v>0.0007</v>
      </c>
      <c r="H65" s="6" t="n">
        <v>0.102499011610524</v>
      </c>
      <c r="I65" s="4">
        <f>IFERROR(IF(NOT(H65=""),ABS(ROUNDDOWN(F65-H65, 3 - (1+INT(LOG10(ABS(F65)))))),""),IF(AND(F65=0,NOT(F65="")),ABS(ROUNDDOWN(F65-H65,0)),""))</f>
        <v/>
      </c>
      <c r="J65" s="4">
        <f>IF(NOT(I65=""),IF(I65&lt;=G65,"match",IF(I65&lt;3*G65,"partial match","no match")),"")</f>
        <v/>
      </c>
      <c r="K65" t="inlineStr">
        <is>
          <t>morph_av</t>
        </is>
      </c>
    </row>
    <row r="66" ht="15" customHeight="1" s="10">
      <c r="A66" t="inlineStr">
        <is>
          <t>configuration D</t>
        </is>
      </c>
      <c r="B66" t="inlineStr">
        <is>
          <t>Morphology</t>
        </is>
      </c>
      <c r="C66" t="inlineStr">
        <is>
          <t>Compactness 1</t>
        </is>
      </c>
      <c r="D66" t="inlineStr">
        <is>
          <t>Compactness1</t>
        </is>
      </c>
      <c r="E66" t="inlineStr">
        <is>
          <t>3-5</t>
        </is>
      </c>
      <c r="F66" t="n">
        <v>0.0326</v>
      </c>
      <c r="G66" t="n">
        <v>0.0002</v>
      </c>
      <c r="H66" s="6" t="n">
        <v>0.0294664777806727</v>
      </c>
      <c r="I66" s="4">
        <f>IFERROR(IF(NOT(H66=""),ABS(ROUNDDOWN(F66-H66, 3 - (1+INT(LOG10(ABS(F66)))))),""),IF(AND(F66=0,NOT(F66="")),ABS(ROUNDDOWN(F66-H66,0)),""))</f>
        <v/>
      </c>
      <c r="J66" s="4">
        <f>IF(NOT(I66=""),IF(I66&lt;=G66,"match",IF(I66&lt;3*G66,"partial match","no match")),"")</f>
        <v/>
      </c>
      <c r="K66" t="inlineStr">
        <is>
          <t>morph_comp_1</t>
        </is>
      </c>
    </row>
    <row r="67" ht="15" customHeight="1" s="10">
      <c r="A67" t="inlineStr">
        <is>
          <t>configuration D</t>
        </is>
      </c>
      <c r="B67" t="inlineStr">
        <is>
          <t>Morphology</t>
        </is>
      </c>
      <c r="C67" t="inlineStr">
        <is>
          <t>Compactness 2</t>
        </is>
      </c>
      <c r="D67" t="inlineStr">
        <is>
          <t>Compactness2</t>
        </is>
      </c>
      <c r="E67" t="inlineStr">
        <is>
          <t>6-9</t>
        </is>
      </c>
      <c r="F67" t="n">
        <v>0.378</v>
      </c>
      <c r="G67" t="n">
        <v>0.004</v>
      </c>
      <c r="H67" s="6" t="n">
        <v>0.308502507936538</v>
      </c>
      <c r="I67" s="4">
        <f>IFERROR(IF(NOT(H67=""),ABS(ROUNDDOWN(F67-H67, 3 - (1+INT(LOG10(ABS(F67)))))),""),IF(AND(F67=0,NOT(F67="")),ABS(ROUNDDOWN(F67-H67,0)),""))</f>
        <v/>
      </c>
      <c r="J67" s="4">
        <f>IF(NOT(I67=""),IF(I67&lt;=G67,"match",IF(I67&lt;3*G67,"partial match","no match")),"")</f>
        <v/>
      </c>
      <c r="K67" t="inlineStr">
        <is>
          <t>morph_comp_2</t>
        </is>
      </c>
    </row>
    <row r="68" ht="15" customHeight="1" s="10">
      <c r="A68" t="inlineStr">
        <is>
          <t>configuration D</t>
        </is>
      </c>
      <c r="B68" t="inlineStr">
        <is>
          <t>Morphology</t>
        </is>
      </c>
      <c r="C68" t="inlineStr">
        <is>
          <t>Spherical disproportion</t>
        </is>
      </c>
      <c r="D68" t="inlineStr">
        <is>
          <t>SphericalDisproportion</t>
        </is>
      </c>
      <c r="E68" t="inlineStr">
        <is>
          <t>6-9</t>
        </is>
      </c>
      <c r="F68" t="n">
        <v>1.38</v>
      </c>
      <c r="G68" t="n">
        <v>0.01</v>
      </c>
      <c r="H68" s="6" t="n">
        <v>1.4799501953293</v>
      </c>
      <c r="I68" s="4">
        <f>IFERROR(IF(NOT(H68=""),ABS(ROUNDDOWN(F68-H68, 3 - (1+INT(LOG10(ABS(F68)))))),""),IF(AND(F68=0,NOT(F68="")),ABS(ROUNDDOWN(F68-H68,0)),""))</f>
        <v/>
      </c>
      <c r="J68" s="4">
        <f>IF(NOT(I68=""),IF(I68&lt;=G68,"match",IF(I68&lt;3*G68,"partial match","no match")),"")</f>
        <v/>
      </c>
      <c r="K68" t="inlineStr">
        <is>
          <t>morph_sph_dispr</t>
        </is>
      </c>
    </row>
    <row r="69" ht="15" customHeight="1" s="10">
      <c r="A69" t="inlineStr">
        <is>
          <t>configuration D</t>
        </is>
      </c>
      <c r="B69" t="inlineStr">
        <is>
          <t>Morphology</t>
        </is>
      </c>
      <c r="C69" t="inlineStr">
        <is>
          <t>Sphericity</t>
        </is>
      </c>
      <c r="D69" t="inlineStr">
        <is>
          <t>Sphericity</t>
        </is>
      </c>
      <c r="E69" t="inlineStr">
        <is>
          <t>6-9</t>
        </is>
      </c>
      <c r="F69" t="n">
        <v>0.723</v>
      </c>
      <c r="G69" t="n">
        <v>0.003</v>
      </c>
      <c r="H69" s="6" t="n">
        <v>0.675698414146623</v>
      </c>
      <c r="I69" s="4">
        <f>IFERROR(IF(NOT(H69=""),ABS(ROUNDDOWN(F69-H69, 3 - (1+INT(LOG10(ABS(F69)))))),""),IF(AND(F69=0,NOT(F69="")),ABS(ROUNDDOWN(F69-H69,0)),""))</f>
        <v/>
      </c>
      <c r="J69" s="4">
        <f>IF(NOT(I69=""),IF(I69&lt;=G69,"match",IF(I69&lt;3*G69,"partial match","no match")),"")</f>
        <v/>
      </c>
      <c r="K69" t="inlineStr">
        <is>
          <t>morph_sphericity</t>
        </is>
      </c>
    </row>
    <row r="70" ht="15" customHeight="1" s="10">
      <c r="A70" t="inlineStr">
        <is>
          <t>configuration D</t>
        </is>
      </c>
      <c r="B70" t="inlineStr">
        <is>
          <t>Morphology</t>
        </is>
      </c>
      <c r="C70" t="inlineStr">
        <is>
          <t>Asphericity</t>
        </is>
      </c>
      <c r="D70" t="inlineStr">
        <is>
          <t>Asphericity</t>
        </is>
      </c>
      <c r="E70" t="inlineStr">
        <is>
          <t>3-5</t>
        </is>
      </c>
      <c r="F70" t="n">
        <v>0.383</v>
      </c>
      <c r="G70" t="n">
        <v>0.004</v>
      </c>
      <c r="H70" s="6" t="n">
        <v>0.479950195329309</v>
      </c>
      <c r="I70" s="4">
        <f>IFERROR(IF(NOT(H70=""),ABS(ROUNDDOWN(F70-H70, 3 - (1+INT(LOG10(ABS(F70)))))),""),IF(AND(F70=0,NOT(F70="")),ABS(ROUNDDOWN(F70-H70,0)),""))</f>
        <v/>
      </c>
      <c r="J70" s="4">
        <f>IF(NOT(I70=""),IF(I70&lt;=G70,"match",IF(I70&lt;3*G70,"partial match","no match")),"")</f>
        <v/>
      </c>
      <c r="K70" t="inlineStr">
        <is>
          <t>morph_asphericity</t>
        </is>
      </c>
    </row>
    <row r="71" ht="15" customHeight="1" s="10">
      <c r="A71" t="inlineStr">
        <is>
          <t>configuration D</t>
        </is>
      </c>
      <c r="B71" t="inlineStr">
        <is>
          <t>Morphology</t>
        </is>
      </c>
      <c r="C71" t="inlineStr">
        <is>
          <t>Centre of mass shift</t>
        </is>
      </c>
      <c r="D71" t="inlineStr">
        <is>
          <t>CentreOfMassShift</t>
        </is>
      </c>
      <c r="E71" t="inlineStr">
        <is>
          <t>6-9</t>
        </is>
      </c>
      <c r="F71" t="n">
        <v>64.90000000000001</v>
      </c>
      <c r="G71" t="n">
        <v>2.8</v>
      </c>
      <c r="H71" s="6" t="n">
        <v>73.53605221301881</v>
      </c>
      <c r="I71" s="4">
        <f>IFERROR(IF(NOT(H71=""),ABS(ROUNDDOWN(F71-H71, 3 - (1+INT(LOG10(ABS(F71)))))),""),IF(AND(F71=0,NOT(F71="")),ABS(ROUNDDOWN(F71-H71,0)),""))</f>
        <v/>
      </c>
      <c r="J71" s="4">
        <f>IF(NOT(I71=""),IF(I71&lt;=G71,"match",IF(I71&lt;3*G71,"partial match","no match")),"")</f>
        <v/>
      </c>
      <c r="K71" t="inlineStr">
        <is>
          <t>morph_com</t>
        </is>
      </c>
    </row>
    <row r="72" ht="15" customHeight="1" s="10">
      <c r="A72" t="inlineStr">
        <is>
          <t>configuration D</t>
        </is>
      </c>
      <c r="B72" t="inlineStr">
        <is>
          <t>Morphology</t>
        </is>
      </c>
      <c r="C72" t="inlineStr">
        <is>
          <t>Maximum 3D diameter</t>
        </is>
      </c>
      <c r="D72" t="inlineStr">
        <is>
          <t>Maximum3DDiameter</t>
        </is>
      </c>
      <c r="E72" t="inlineStr">
        <is>
          <t>6-9</t>
        </is>
      </c>
      <c r="F72" t="n">
        <v>125</v>
      </c>
      <c r="G72" t="n">
        <v>1</v>
      </c>
      <c r="H72" s="6" t="n">
        <v>123.98387145996</v>
      </c>
      <c r="I72" s="4">
        <f>IFERROR(IF(NOT(H72=""),ABS(ROUNDDOWN(F72-H72, 3 - (1+INT(LOG10(ABS(F72)))))),""),IF(AND(F72=0,NOT(F72="")),ABS(ROUNDDOWN(F72-H72,0)),""))</f>
        <v/>
      </c>
      <c r="J72" s="4">
        <f>IF(NOT(I72=""),IF(I72&lt;=G72,"match",IF(I72&lt;3*G72,"partial match","no match")),"")</f>
        <v/>
      </c>
      <c r="K72" t="inlineStr">
        <is>
          <t>morph_diam</t>
        </is>
      </c>
    </row>
    <row r="73" ht="15" customHeight="1" s="10">
      <c r="A73" t="inlineStr">
        <is>
          <t>configuration D</t>
        </is>
      </c>
      <c r="B73" t="inlineStr">
        <is>
          <t>Morphology</t>
        </is>
      </c>
      <c r="C73" t="inlineStr">
        <is>
          <t>Major axis length</t>
        </is>
      </c>
      <c r="D73" t="inlineStr">
        <is>
          <t>MajorAxisLength</t>
        </is>
      </c>
      <c r="E73" t="inlineStr">
        <is>
          <t>6-9</t>
        </is>
      </c>
      <c r="F73" t="n">
        <v>93.3</v>
      </c>
      <c r="G73" t="n">
        <v>0.5</v>
      </c>
      <c r="H73" s="6" t="n">
        <v>93.0063796189287</v>
      </c>
      <c r="I73" s="4">
        <f>IFERROR(IF(NOT(H73=""),ABS(ROUNDDOWN(F73-H73, 3 - (1+INT(LOG10(ABS(F73)))))),""),IF(AND(F73=0,NOT(F73="")),ABS(ROUNDDOWN(F73-H73,0)),""))</f>
        <v/>
      </c>
      <c r="J73" s="4">
        <f>IF(NOT(I73=""),IF(I73&lt;=G73,"match",IF(I73&lt;3*G73,"partial match","no match")),"")</f>
        <v/>
      </c>
      <c r="K73" t="inlineStr">
        <is>
          <t>morph_pca_maj_axis</t>
        </is>
      </c>
    </row>
    <row r="74" ht="15" customHeight="1" s="10">
      <c r="A74" t="inlineStr">
        <is>
          <t>configuration D</t>
        </is>
      </c>
      <c r="B74" t="inlineStr">
        <is>
          <t>Morphology</t>
        </is>
      </c>
      <c r="C74" t="inlineStr">
        <is>
          <t>Minor axis length</t>
        </is>
      </c>
      <c r="D74" t="inlineStr">
        <is>
          <t>MinorAxisLength</t>
        </is>
      </c>
      <c r="E74" t="inlineStr">
        <is>
          <t>6-9</t>
        </is>
      </c>
      <c r="F74" t="n">
        <v>82</v>
      </c>
      <c r="G74" t="n">
        <v>0.5</v>
      </c>
      <c r="H74" s="6" t="n">
        <v>82.7864941342212</v>
      </c>
      <c r="I74" s="4">
        <f>IFERROR(IF(NOT(H74=""),ABS(ROUNDDOWN(F74-H74, 3 - (1+INT(LOG10(ABS(F74)))))),""),IF(AND(F74=0,NOT(F74="")),ABS(ROUNDDOWN(F74-H74,0)),""))</f>
        <v/>
      </c>
      <c r="J74" s="4">
        <f>IF(NOT(I74=""),IF(I74&lt;=G74,"match",IF(I74&lt;3*G74,"partial match","no match")),"")</f>
        <v/>
      </c>
      <c r="K74" t="inlineStr">
        <is>
          <t>morph_pca_min_axis</t>
        </is>
      </c>
    </row>
    <row r="75" ht="15" customHeight="1" s="10">
      <c r="A75" t="inlineStr">
        <is>
          <t>configuration D</t>
        </is>
      </c>
      <c r="B75" t="inlineStr">
        <is>
          <t>Morphology</t>
        </is>
      </c>
      <c r="C75" t="inlineStr">
        <is>
          <t>Least axis length</t>
        </is>
      </c>
      <c r="D75" t="inlineStr">
        <is>
          <t>LeastAxisLength</t>
        </is>
      </c>
      <c r="E75" t="inlineStr">
        <is>
          <t>6-9</t>
        </is>
      </c>
      <c r="F75" t="n">
        <v>70.90000000000001</v>
      </c>
      <c r="G75" t="n">
        <v>0.4</v>
      </c>
      <c r="H75" s="6" t="n">
        <v>68.27075937748521</v>
      </c>
      <c r="I75" s="4">
        <f>IFERROR(IF(NOT(H75=""),ABS(ROUNDDOWN(F75-H75, 3 - (1+INT(LOG10(ABS(F75)))))),""),IF(AND(F75=0,NOT(F75="")),ABS(ROUNDDOWN(F75-H75,0)),""))</f>
        <v/>
      </c>
      <c r="J75" s="4">
        <f>IF(NOT(I75=""),IF(I75&lt;=G75,"match",IF(I75&lt;3*G75,"partial match","no match")),"")</f>
        <v/>
      </c>
      <c r="K75" t="inlineStr">
        <is>
          <t>morph_pca_least_axis</t>
        </is>
      </c>
    </row>
    <row r="76" ht="15" customHeight="1" s="10">
      <c r="A76" t="inlineStr">
        <is>
          <t>configuration D</t>
        </is>
      </c>
      <c r="B76" t="inlineStr">
        <is>
          <t>Morphology</t>
        </is>
      </c>
      <c r="C76" t="inlineStr">
        <is>
          <t>Elongation</t>
        </is>
      </c>
      <c r="D76" t="inlineStr">
        <is>
          <t>Elongation</t>
        </is>
      </c>
      <c r="E76" t="inlineStr">
        <is>
          <t>6-9</t>
        </is>
      </c>
      <c r="F76" t="n">
        <v>0.879</v>
      </c>
      <c r="G76" t="n">
        <v>0.001</v>
      </c>
      <c r="H76" s="6" t="n">
        <v>0.890116296037099</v>
      </c>
      <c r="I76" s="4">
        <f>IFERROR(IF(NOT(H76=""),ABS(ROUNDDOWN(F76-H76, 3 - (1+INT(LOG10(ABS(F76)))))),""),IF(AND(F76=0,NOT(F76="")),ABS(ROUNDDOWN(F76-H76,0)),""))</f>
        <v/>
      </c>
      <c r="J76" s="4">
        <f>IF(NOT(I76=""),IF(I76&lt;=G76,"match",IF(I76&lt;3*G76,"partial match","no match")),"")</f>
        <v/>
      </c>
      <c r="K76" t="inlineStr">
        <is>
          <t>morph_pca_elongation</t>
        </is>
      </c>
    </row>
    <row r="77" ht="15" customHeight="1" s="10">
      <c r="A77" t="inlineStr">
        <is>
          <t>configuration D</t>
        </is>
      </c>
      <c r="B77" t="inlineStr">
        <is>
          <t>Morphology</t>
        </is>
      </c>
      <c r="C77" t="inlineStr">
        <is>
          <t>Flatness</t>
        </is>
      </c>
      <c r="D77" t="inlineStr">
        <is>
          <t>Flatness</t>
        </is>
      </c>
      <c r="E77" t="inlineStr">
        <is>
          <t>6-9</t>
        </is>
      </c>
      <c r="F77" t="n">
        <v>0.76</v>
      </c>
      <c r="G77" t="n">
        <v>0.001</v>
      </c>
      <c r="H77" s="6" t="n">
        <v>0.734043832876929</v>
      </c>
      <c r="I77" s="4">
        <f>IFERROR(IF(NOT(H77=""),ABS(ROUNDDOWN(F77-H77, 3 - (1+INT(LOG10(ABS(F77)))))),""),IF(AND(F77=0,NOT(F77="")),ABS(ROUNDDOWN(F77-H77,0)),""))</f>
        <v/>
      </c>
      <c r="J77" s="4">
        <f>IF(NOT(I77=""),IF(I77&lt;=G77,"match",IF(I77&lt;3*G77,"partial match","no match")),"")</f>
        <v/>
      </c>
      <c r="K77" t="inlineStr">
        <is>
          <t>morph_pca_flatness</t>
        </is>
      </c>
    </row>
    <row r="78" ht="15" customHeight="1" s="10">
      <c r="A78" t="inlineStr">
        <is>
          <t>configuration D</t>
        </is>
      </c>
      <c r="B78" t="inlineStr">
        <is>
          <t>Morphology</t>
        </is>
      </c>
      <c r="C78" t="inlineStr">
        <is>
          <t>Volume density (AABB)</t>
        </is>
      </c>
      <c r="D78" t="inlineStr">
        <is>
          <t>VolumeDensity_AxisAlignedBoundingBox</t>
        </is>
      </c>
      <c r="E78" t="inlineStr">
        <is>
          <t>3-5</t>
        </is>
      </c>
      <c r="F78" t="n">
        <v>0.478</v>
      </c>
      <c r="G78" t="n">
        <v>0.003</v>
      </c>
      <c r="H78" s="6" t="n">
        <v>0.12404985227794</v>
      </c>
      <c r="I78" s="4">
        <f>IFERROR(IF(NOT(H78=""),ABS(ROUNDDOWN(F78-H78, 3 - (1+INT(LOG10(ABS(F78)))))),""),IF(AND(F78=0,NOT(F78="")),ABS(ROUNDDOWN(F78-H78,0)),""))</f>
        <v/>
      </c>
      <c r="J78" s="4">
        <f>IF(NOT(I78=""),IF(I78&lt;=G78,"match",IF(I78&lt;3*G78,"partial match","no match")),"")</f>
        <v/>
      </c>
      <c r="K78" t="inlineStr">
        <is>
          <t>morph_vol_dens_aabb</t>
        </is>
      </c>
    </row>
    <row r="79" ht="15" customHeight="1" s="10">
      <c r="A79" t="inlineStr">
        <is>
          <t>configuration D</t>
        </is>
      </c>
      <c r="B79" t="inlineStr">
        <is>
          <t>Morphology</t>
        </is>
      </c>
      <c r="C79" t="inlineStr">
        <is>
          <t>Area density (AABB)</t>
        </is>
      </c>
      <c r="D79" t="inlineStr">
        <is>
          <t>AreaDensity_AxisAlignedBoundingBox</t>
        </is>
      </c>
      <c r="E79" t="inlineStr">
        <is>
          <t>3-5</t>
        </is>
      </c>
      <c r="F79" t="n">
        <v>0.678</v>
      </c>
      <c r="G79" t="n">
        <v>0.003</v>
      </c>
      <c r="H79" s="6" t="n">
        <v>0.295980170760718</v>
      </c>
      <c r="I79" s="4">
        <f>IFERROR(IF(NOT(H79=""),ABS(ROUNDDOWN(F79-H79, 3 - (1+INT(LOG10(ABS(F79)))))),""),IF(AND(F79=0,NOT(F79="")),ABS(ROUNDDOWN(F79-H79,0)),""))</f>
        <v/>
      </c>
      <c r="J79" s="4">
        <f>IF(NOT(I79=""),IF(I79&lt;=G79,"match",IF(I79&lt;3*G79,"partial match","no match")),"")</f>
        <v/>
      </c>
      <c r="K79" t="inlineStr">
        <is>
          <t>morph_area_dens_aabb</t>
        </is>
      </c>
    </row>
    <row r="80" ht="15" customHeight="1" s="10">
      <c r="A80" t="inlineStr">
        <is>
          <t>configuration D</t>
        </is>
      </c>
      <c r="B80" t="inlineStr">
        <is>
          <t>Morphology</t>
        </is>
      </c>
      <c r="C80" t="inlineStr">
        <is>
          <t>Volume density (OMBB)</t>
        </is>
      </c>
      <c r="D80" t="inlineStr">
        <is>
          <t>VolumeDensity_OrientedMinimumBoundingBox</t>
        </is>
      </c>
      <c r="E80" t="inlineStr">
        <is>
          <t>&lt; 3</t>
        </is>
      </c>
      <c r="H80" s="6" t="n"/>
      <c r="I80" s="4">
        <f>IFERROR(IF(NOT(H80=""),ABS(ROUNDDOWN(F80-H80, 3 - (1+INT(LOG10(ABS(F80)))))),""),IF(AND(F80=0,NOT(F80="")),ABS(ROUNDDOWN(F80-H80,0)),""))</f>
        <v/>
      </c>
      <c r="J80" s="4">
        <f>IF(NOT(I80=""),IF(I80&lt;=G80,"match",IF(I80&lt;3*G80,"partial match","no match")),"")</f>
        <v/>
      </c>
      <c r="K80" t="inlineStr">
        <is>
          <t>morph_vol_dens_ombb</t>
        </is>
      </c>
    </row>
    <row r="81" ht="15" customHeight="1" s="10">
      <c r="A81" t="inlineStr">
        <is>
          <t>configuration D</t>
        </is>
      </c>
      <c r="B81" t="inlineStr">
        <is>
          <t>Morphology</t>
        </is>
      </c>
      <c r="C81" t="inlineStr">
        <is>
          <t>Area density (OMBB)</t>
        </is>
      </c>
      <c r="D81" t="inlineStr">
        <is>
          <t>AreaDensity_OrientedMinimumBoundingBox</t>
        </is>
      </c>
      <c r="E81" t="inlineStr">
        <is>
          <t>&lt; 3</t>
        </is>
      </c>
      <c r="H81" s="6" t="n"/>
      <c r="I81" s="4">
        <f>IFERROR(IF(NOT(H81=""),ABS(ROUNDDOWN(F81-H81, 3 - (1+INT(LOG10(ABS(F81)))))),""),IF(AND(F81=0,NOT(F81="")),ABS(ROUNDDOWN(F81-H81,0)),""))</f>
        <v/>
      </c>
      <c r="J81" s="4">
        <f>IF(NOT(I81=""),IF(I81&lt;=G81,"match",IF(I81&lt;3*G81,"partial match","no match")),"")</f>
        <v/>
      </c>
      <c r="K81" t="inlineStr">
        <is>
          <t>morph_area_dens_ombb</t>
        </is>
      </c>
    </row>
    <row r="82" ht="15" customHeight="1" s="10">
      <c r="A82" t="inlineStr">
        <is>
          <t>configuration D</t>
        </is>
      </c>
      <c r="B82" t="inlineStr">
        <is>
          <t>Morphology</t>
        </is>
      </c>
      <c r="C82" t="inlineStr">
        <is>
          <t>Volume density (AEE)</t>
        </is>
      </c>
      <c r="D82" t="inlineStr">
        <is>
          <t>VolumeDensity_ApproximateEnclosingEllipsoid</t>
        </is>
      </c>
      <c r="E82" t="inlineStr">
        <is>
          <t>3-5</t>
        </is>
      </c>
      <c r="F82" t="n">
        <v>1.29</v>
      </c>
      <c r="G82" t="n">
        <v>0.01</v>
      </c>
      <c r="H82" s="6" t="n">
        <v>1.23688423851393</v>
      </c>
      <c r="I82" s="4">
        <f>IFERROR(IF(NOT(H82=""),ABS(ROUNDDOWN(F82-H82, 3 - (1+INT(LOG10(ABS(F82)))))),""),IF(AND(F82=0,NOT(F82="")),ABS(ROUNDDOWN(F82-H82,0)),""))</f>
        <v/>
      </c>
      <c r="J82" s="4">
        <f>IF(NOT(I82=""),IF(I82&lt;=G82,"match",IF(I82&lt;3*G82,"partial match","no match")),"")</f>
        <v/>
      </c>
      <c r="K82" t="inlineStr">
        <is>
          <t>morph_vol_dens_aee</t>
        </is>
      </c>
    </row>
    <row r="83" ht="15" customHeight="1" s="10">
      <c r="A83" t="inlineStr">
        <is>
          <t>configuration D</t>
        </is>
      </c>
      <c r="B83" t="inlineStr">
        <is>
          <t>Morphology</t>
        </is>
      </c>
      <c r="C83" t="inlineStr">
        <is>
          <t>Area density (AEE)</t>
        </is>
      </c>
      <c r="D83" t="inlineStr">
        <is>
          <t>AreaDensity_ApproximateEnclosingEllipsoid</t>
        </is>
      </c>
      <c r="E83" t="inlineStr">
        <is>
          <t>3-5</t>
        </is>
      </c>
      <c r="F83" t="n">
        <v>1.62</v>
      </c>
      <c r="G83" t="n">
        <v>0.01</v>
      </c>
      <c r="H83" s="6" t="n">
        <v>1.64143228269421</v>
      </c>
      <c r="I83" s="4">
        <f>IFERROR(IF(NOT(H83=""),ABS(ROUNDDOWN(F83-H83, 3 - (1+INT(LOG10(ABS(F83)))))),""),IF(AND(F83=0,NOT(F83="")),ABS(ROUNDDOWN(F83-H83,0)),""))</f>
        <v/>
      </c>
      <c r="J83" s="4">
        <f>IF(NOT(I83=""),IF(I83&lt;=G83,"match",IF(I83&lt;3*G83,"partial match","no match")),"")</f>
        <v/>
      </c>
      <c r="K83" t="inlineStr">
        <is>
          <t>morph_area_dens_aee</t>
        </is>
      </c>
    </row>
    <row r="84" ht="15" customHeight="1" s="10">
      <c r="A84" t="inlineStr">
        <is>
          <t>configuration D</t>
        </is>
      </c>
      <c r="B84" t="inlineStr">
        <is>
          <t>Morphology</t>
        </is>
      </c>
      <c r="C84" t="inlineStr">
        <is>
          <t>Volume density (MVEE)</t>
        </is>
      </c>
      <c r="D84" t="inlineStr">
        <is>
          <t>VolumeDensity_MinimumVolumeEnclosingEllipsoid</t>
        </is>
      </c>
      <c r="E84" t="inlineStr">
        <is>
          <t>&lt; 3</t>
        </is>
      </c>
      <c r="H84" s="6" t="n"/>
      <c r="I84" s="4">
        <f>IFERROR(IF(NOT(H84=""),ABS(ROUNDDOWN(F84-H84, 3 - (1+INT(LOG10(ABS(F84)))))),""),IF(AND(F84=0,NOT(F84="")),ABS(ROUNDDOWN(F84-H84,0)),""))</f>
        <v/>
      </c>
      <c r="J84" s="4">
        <f>IF(NOT(I84=""),IF(I84&lt;=G84,"match",IF(I84&lt;3*G84,"partial match","no match")),"")</f>
        <v/>
      </c>
      <c r="K84" t="inlineStr">
        <is>
          <t>morph_vol_dens_mvee</t>
        </is>
      </c>
    </row>
    <row r="85" ht="15" customHeight="1" s="10">
      <c r="A85" t="inlineStr">
        <is>
          <t>configuration D</t>
        </is>
      </c>
      <c r="B85" t="inlineStr">
        <is>
          <t>Morphology</t>
        </is>
      </c>
      <c r="C85" t="inlineStr">
        <is>
          <t>Area density (MVEE)</t>
        </is>
      </c>
      <c r="D85" t="inlineStr">
        <is>
          <t>AreaDensity_MinimumVolumeEnclosingEllipsoid</t>
        </is>
      </c>
      <c r="E85" t="inlineStr">
        <is>
          <t>&lt; 3</t>
        </is>
      </c>
      <c r="H85" s="6" t="n"/>
      <c r="I85" s="4">
        <f>IFERROR(IF(NOT(H85=""),ABS(ROUNDDOWN(F85-H85, 3 - (1+INT(LOG10(ABS(F85)))))),""),IF(AND(F85=0,NOT(F85="")),ABS(ROUNDDOWN(F85-H85,0)),""))</f>
        <v/>
      </c>
      <c r="J85" s="4">
        <f>IF(NOT(I85=""),IF(I85&lt;=G85,"match",IF(I85&lt;3*G85,"partial match","no match")),"")</f>
        <v/>
      </c>
      <c r="K85" t="inlineStr">
        <is>
          <t>morph_area_dens_mvee</t>
        </is>
      </c>
    </row>
    <row r="86" ht="15" customHeight="1" s="10">
      <c r="A86" t="inlineStr">
        <is>
          <t>configuration D</t>
        </is>
      </c>
      <c r="B86" t="inlineStr">
        <is>
          <t>Morphology</t>
        </is>
      </c>
      <c r="C86" t="inlineStr">
        <is>
          <t>Volume density (convex hull)</t>
        </is>
      </c>
      <c r="D86" t="inlineStr">
        <is>
          <t>VolumeDensity_ConvexHull</t>
        </is>
      </c>
      <c r="E86" t="inlineStr">
        <is>
          <t>3-5</t>
        </is>
      </c>
      <c r="F86" t="n">
        <v>0.834</v>
      </c>
      <c r="G86" t="n">
        <v>0.002</v>
      </c>
      <c r="H86" s="6" t="n">
        <v>0.74119118900842</v>
      </c>
      <c r="I86" s="4">
        <f>IFERROR(IF(NOT(H86=""),ABS(ROUNDDOWN(F86-H86, 3 - (1+INT(LOG10(ABS(F86)))))),""),IF(AND(F86=0,NOT(F86="")),ABS(ROUNDDOWN(F86-H86,0)),""))</f>
        <v/>
      </c>
      <c r="J86" s="4">
        <f>IF(NOT(I86=""),IF(I86&lt;=G86,"match",IF(I86&lt;3*G86,"partial match","no match")),"")</f>
        <v/>
      </c>
      <c r="K86" t="inlineStr">
        <is>
          <t>morph_vol_dens_conv_hull</t>
        </is>
      </c>
    </row>
    <row r="87" ht="15" customHeight="1" s="10">
      <c r="A87" t="inlineStr">
        <is>
          <t>configuration D</t>
        </is>
      </c>
      <c r="B87" t="inlineStr">
        <is>
          <t>Morphology</t>
        </is>
      </c>
      <c r="C87" t="inlineStr">
        <is>
          <t>Area density (convex hull)</t>
        </is>
      </c>
      <c r="D87" t="inlineStr">
        <is>
          <t>AreaDensity_ConvexHull</t>
        </is>
      </c>
      <c r="E87" t="inlineStr">
        <is>
          <t>3-5</t>
        </is>
      </c>
      <c r="F87" t="n">
        <v>1.13</v>
      </c>
      <c r="G87" t="n">
        <v>0.01</v>
      </c>
      <c r="H87" s="6" t="n">
        <v>1.08451604741412</v>
      </c>
      <c r="I87" s="4">
        <f>IFERROR(IF(NOT(H87=""),ABS(ROUNDDOWN(F87-H87, 3 - (1+INT(LOG10(ABS(F87)))))),""),IF(AND(F87=0,NOT(F87="")),ABS(ROUNDDOWN(F87-H87,0)),""))</f>
        <v/>
      </c>
      <c r="J87" s="4">
        <f>IF(NOT(I87=""),IF(I87&lt;=G87,"match",IF(I87&lt;3*G87,"partial match","no match")),"")</f>
        <v/>
      </c>
      <c r="K87" t="inlineStr">
        <is>
          <t>morph_area_dens_conv_hull</t>
        </is>
      </c>
    </row>
    <row r="88" ht="15" customHeight="1" s="10">
      <c r="A88" t="inlineStr">
        <is>
          <t>configuration D</t>
        </is>
      </c>
      <c r="B88" t="inlineStr">
        <is>
          <t>Morphology</t>
        </is>
      </c>
      <c r="C88" t="inlineStr">
        <is>
          <t>Integrated intensity</t>
        </is>
      </c>
      <c r="D88" t="inlineStr">
        <is>
          <t>IntegratedIntensity</t>
        </is>
      </c>
      <c r="E88" t="inlineStr">
        <is>
          <t>3-5</t>
        </is>
      </c>
      <c r="F88" t="n">
        <v>-8640000</v>
      </c>
      <c r="G88" t="n">
        <v>1560000</v>
      </c>
      <c r="H88" s="6" t="n">
        <v>-6818141.63063562</v>
      </c>
      <c r="I88" s="4">
        <f>IFERROR(IF(NOT(H88=""),ABS(ROUNDDOWN(F88-H88, 3 - (1+INT(LOG10(ABS(F88)))))),""),IF(AND(F88=0,NOT(F88="")),ABS(ROUNDDOWN(F88-H88,0)),""))</f>
        <v/>
      </c>
      <c r="J88" s="4">
        <f>IF(NOT(I88=""),IF(I88&lt;=G88,"match",IF(I88&lt;3*G88,"partial match","no match")),"")</f>
        <v/>
      </c>
      <c r="K88" t="inlineStr">
        <is>
          <t>morph_integ_int</t>
        </is>
      </c>
    </row>
    <row r="89" ht="15" customHeight="1" s="10">
      <c r="A89" t="inlineStr">
        <is>
          <t>configuration D</t>
        </is>
      </c>
      <c r="B89" t="inlineStr">
        <is>
          <t>Morphology</t>
        </is>
      </c>
      <c r="C89" t="inlineStr">
        <is>
          <t>Moran's I index</t>
        </is>
      </c>
      <c r="D89" t="inlineStr">
        <is>
          <t>MoransIIndex</t>
        </is>
      </c>
      <c r="E89" t="inlineStr">
        <is>
          <t>3-5</t>
        </is>
      </c>
      <c r="F89" t="n">
        <v>0.0622</v>
      </c>
      <c r="G89" t="n">
        <v>0.0013</v>
      </c>
      <c r="H89" s="6" t="n">
        <v>0.059665246752391</v>
      </c>
      <c r="I89" s="4">
        <f>IFERROR(IF(NOT(H89=""),ABS(ROUNDDOWN(F89-H89, 3 - (1+INT(LOG10(ABS(F89)))))),""),IF(AND(F89=0,NOT(F89="")),ABS(ROUNDDOWN(F89-H89,0)),""))</f>
        <v/>
      </c>
      <c r="J89" s="4">
        <f>IF(NOT(I89=""),IF(I89&lt;=G89,"match",IF(I89&lt;3*G89,"partial match","no match")),"")</f>
        <v/>
      </c>
      <c r="K89" t="inlineStr">
        <is>
          <t>morph_moran_i</t>
        </is>
      </c>
    </row>
    <row r="90" ht="15" customHeight="1" s="10">
      <c r="A90" t="inlineStr">
        <is>
          <t>configuration D</t>
        </is>
      </c>
      <c r="B90" t="inlineStr">
        <is>
          <t>Morphology</t>
        </is>
      </c>
      <c r="C90" t="inlineStr">
        <is>
          <t>Geary's C measure</t>
        </is>
      </c>
      <c r="D90" t="inlineStr">
        <is>
          <t>GearysCMeasure</t>
        </is>
      </c>
      <c r="E90" t="inlineStr">
        <is>
          <t>3-5</t>
        </is>
      </c>
      <c r="F90" t="n">
        <v>0.851</v>
      </c>
      <c r="G90" t="n">
        <v>0.001</v>
      </c>
      <c r="H90" s="6" t="n">
        <v>0.851442740794369</v>
      </c>
      <c r="I90" s="4">
        <f>IFERROR(IF(NOT(H90=""),ABS(ROUNDDOWN(F90-H90, 3 - (1+INT(LOG10(ABS(F90)))))),""),IF(AND(F90=0,NOT(F90="")),ABS(ROUNDDOWN(F90-H90,0)),""))</f>
        <v/>
      </c>
      <c r="J90" s="4">
        <f>IF(NOT(I90=""),IF(I90&lt;=G90,"match",IF(I90&lt;3*G90,"partial match","no match")),"")</f>
        <v/>
      </c>
      <c r="K90" t="inlineStr">
        <is>
          <t>morph_geary_c</t>
        </is>
      </c>
    </row>
    <row r="91" ht="15" customHeight="1" s="10">
      <c r="A91" t="inlineStr">
        <is>
          <t>configuration D</t>
        </is>
      </c>
      <c r="B91" t="inlineStr">
        <is>
          <t>Local intensity</t>
        </is>
      </c>
      <c r="C91" t="inlineStr">
        <is>
          <t>Local intensity peak</t>
        </is>
      </c>
      <c r="D91" t="inlineStr">
        <is>
          <t>LocalIntensityPeak</t>
        </is>
      </c>
      <c r="E91" t="inlineStr">
        <is>
          <t>3-5</t>
        </is>
      </c>
      <c r="F91" t="n">
        <v>201</v>
      </c>
      <c r="G91" t="n">
        <v>10</v>
      </c>
      <c r="H91" s="6" t="n">
        <v>191.373892064986</v>
      </c>
      <c r="I91" s="4">
        <f>IFERROR(IF(NOT(H91=""),ABS(ROUNDDOWN(F91-H91, 3 - (1+INT(LOG10(ABS(F91)))))),""),IF(AND(F91=0,NOT(F91="")),ABS(ROUNDDOWN(F91-H91,0)),""))</f>
        <v/>
      </c>
      <c r="J91" s="4">
        <f>IF(NOT(I91=""),IF(I91&lt;=G91,"match",IF(I91&lt;3*G91,"partial match","no match")),"")</f>
        <v/>
      </c>
      <c r="K91" t="inlineStr">
        <is>
          <t>loc_peak_loc</t>
        </is>
      </c>
    </row>
    <row r="92" ht="15" customHeight="1" s="10">
      <c r="A92" t="inlineStr">
        <is>
          <t>configuration D</t>
        </is>
      </c>
      <c r="B92" t="inlineStr">
        <is>
          <t>Local intensity</t>
        </is>
      </c>
      <c r="C92" t="inlineStr">
        <is>
          <t>Global intensity peak</t>
        </is>
      </c>
      <c r="D92" s="11" t="inlineStr">
        <is>
          <t>GlobalIntensityPeak</t>
        </is>
      </c>
      <c r="E92" t="inlineStr">
        <is>
          <t>3-5</t>
        </is>
      </c>
      <c r="F92" t="n">
        <v>201</v>
      </c>
      <c r="G92" t="n">
        <v>5</v>
      </c>
      <c r="H92" s="6" t="n">
        <v>211.811799592118</v>
      </c>
      <c r="I92" s="4">
        <f>IFERROR(IF(NOT(H92=""),ABS(ROUNDDOWN(F92-H92, 3 - (1+INT(LOG10(ABS(F92)))))),""),IF(AND(F92=0,NOT(F92="")),ABS(ROUNDDOWN(F92-H92,0)),""))</f>
        <v/>
      </c>
      <c r="J92" s="4">
        <f>IF(NOT(I92=""),IF(I92&lt;=G92,"match",IF(I92&lt;3*G92,"partial match","no match")),"")</f>
        <v/>
      </c>
      <c r="K92" t="inlineStr">
        <is>
          <t>loc_peak_glob</t>
        </is>
      </c>
    </row>
    <row r="93" ht="15" customHeight="1" s="10">
      <c r="A93" t="inlineStr">
        <is>
          <t>configuration D</t>
        </is>
      </c>
      <c r="B93" t="inlineStr">
        <is>
          <t>Statistics</t>
        </is>
      </c>
      <c r="C93" t="inlineStr">
        <is>
          <t>Mean</t>
        </is>
      </c>
      <c r="D93" t="inlineStr">
        <is>
          <t>Mean</t>
        </is>
      </c>
      <c r="E93" t="inlineStr">
        <is>
          <t>6-9</t>
        </is>
      </c>
      <c r="F93" t="n">
        <v>-23.5</v>
      </c>
      <c r="G93" t="n">
        <v>3.9</v>
      </c>
      <c r="H93" s="6" t="n">
        <v>-20.0277137959052</v>
      </c>
      <c r="I93" s="4">
        <f>IFERROR(IF(NOT(H93=""),ABS(ROUNDDOWN(F93-H93, 3 - (1+INT(LOG10(ABS(F93)))))),""),IF(AND(F93=0,NOT(F93="")),ABS(ROUNDDOWN(F93-H93,0)),""))</f>
        <v/>
      </c>
      <c r="J93" s="4">
        <f>IF(NOT(I93=""),IF(I93&lt;=G93,"match",IF(I93&lt;3*G93,"partial match","no match")),"")</f>
        <v/>
      </c>
      <c r="K93" t="inlineStr">
        <is>
          <t>stat_mean</t>
        </is>
      </c>
    </row>
    <row r="94" ht="15" customHeight="1" s="10">
      <c r="A94" t="inlineStr">
        <is>
          <t>configuration D</t>
        </is>
      </c>
      <c r="B94" t="inlineStr">
        <is>
          <t>Statistics</t>
        </is>
      </c>
      <c r="C94" t="inlineStr">
        <is>
          <t>Variance</t>
        </is>
      </c>
      <c r="D94" t="inlineStr">
        <is>
          <t>Variance</t>
        </is>
      </c>
      <c r="E94" t="inlineStr">
        <is>
          <t>6-9</t>
        </is>
      </c>
      <c r="F94" t="n">
        <v>32800</v>
      </c>
      <c r="G94" t="n">
        <v>2100</v>
      </c>
      <c r="H94" s="6" t="n">
        <v>31102.948912876</v>
      </c>
      <c r="I94" s="4">
        <f>IFERROR(IF(NOT(H94=""),ABS(ROUNDDOWN(F94-H94, 3 - (1+INT(LOG10(ABS(F94)))))),""),IF(AND(F94=0,NOT(F94="")),ABS(ROUNDDOWN(F94-H94,0)),""))</f>
        <v/>
      </c>
      <c r="J94" s="4">
        <f>IF(NOT(I94=""),IF(I94&lt;=G94,"match",IF(I94&lt;3*G94,"partial match","no match")),"")</f>
        <v/>
      </c>
      <c r="K94" t="inlineStr">
        <is>
          <t>stat_var</t>
        </is>
      </c>
    </row>
    <row r="95" ht="15" customHeight="1" s="10">
      <c r="A95" t="inlineStr">
        <is>
          <t>configuration D</t>
        </is>
      </c>
      <c r="B95" t="inlineStr">
        <is>
          <t>Statistics</t>
        </is>
      </c>
      <c r="C95" t="inlineStr">
        <is>
          <t>Skewness</t>
        </is>
      </c>
      <c r="D95" t="inlineStr">
        <is>
          <t>Skewness</t>
        </is>
      </c>
      <c r="E95" t="inlineStr">
        <is>
          <t>6-9</t>
        </is>
      </c>
      <c r="F95" t="n">
        <v>-2.28</v>
      </c>
      <c r="G95" t="n">
        <v>0.06</v>
      </c>
      <c r="H95" s="6" t="n">
        <v>-2.32513189449932</v>
      </c>
      <c r="I95" s="4">
        <f>IFERROR(IF(NOT(H95=""),ABS(ROUNDDOWN(F95-H95, 3 - (1+INT(LOG10(ABS(F95)))))),""),IF(AND(F95=0,NOT(F95="")),ABS(ROUNDDOWN(F95-H95,0)),""))</f>
        <v/>
      </c>
      <c r="J95" s="4">
        <f>IF(NOT(I95=""),IF(I95&lt;=G95,"match",IF(I95&lt;3*G95,"partial match","no match")),"")</f>
        <v/>
      </c>
      <c r="K95" t="inlineStr">
        <is>
          <t>stat_skew</t>
        </is>
      </c>
    </row>
    <row r="96" ht="15" customHeight="1" s="10">
      <c r="A96" t="inlineStr">
        <is>
          <t>configuration D</t>
        </is>
      </c>
      <c r="B96" t="inlineStr">
        <is>
          <t>Statistics</t>
        </is>
      </c>
      <c r="C96" t="inlineStr">
        <is>
          <t>(Excess) kurtosis</t>
        </is>
      </c>
      <c r="D96" t="inlineStr">
        <is>
          <t>Kurtosis</t>
        </is>
      </c>
      <c r="E96" t="inlineStr">
        <is>
          <t>6-9</t>
        </is>
      </c>
      <c r="F96" t="n">
        <v>4.35</v>
      </c>
      <c r="G96" t="n">
        <v>0.32</v>
      </c>
      <c r="H96" s="6" t="n">
        <v>7.62466720381505</v>
      </c>
      <c r="I96" s="4">
        <f>IFERROR(IF(NOT(H96=""),ABS(ROUNDDOWN(F96-H96, 3 - (1+INT(LOG10(ABS(F96)))))),""),IF(AND(F96=0,NOT(F96="")),ABS(ROUNDDOWN(F96-H96,0)),""))</f>
        <v/>
      </c>
      <c r="J96" s="4">
        <f>IF(NOT(I96=""),IF(I96&lt;=G96,"match",IF(I96&lt;3*G96,"partial match","no match")),"")</f>
        <v/>
      </c>
      <c r="K96" t="inlineStr">
        <is>
          <t>stat_kurt</t>
        </is>
      </c>
    </row>
    <row r="97" ht="15" customHeight="1" s="10">
      <c r="A97" t="inlineStr">
        <is>
          <t>configuration D</t>
        </is>
      </c>
      <c r="B97" t="inlineStr">
        <is>
          <t>Statistics</t>
        </is>
      </c>
      <c r="C97" t="inlineStr">
        <is>
          <t>Median</t>
        </is>
      </c>
      <c r="D97" t="inlineStr">
        <is>
          <t>Median</t>
        </is>
      </c>
      <c r="E97" t="inlineStr">
        <is>
          <t>6-9</t>
        </is>
      </c>
      <c r="F97" t="n">
        <v>42</v>
      </c>
      <c r="G97" t="n">
        <v>0.4</v>
      </c>
      <c r="H97" s="6" t="n">
        <v>42.2443256378173</v>
      </c>
      <c r="I97" s="4">
        <f>IFERROR(IF(NOT(H97=""),ABS(ROUNDDOWN(F97-H97, 3 - (1+INT(LOG10(ABS(F97)))))),""),IF(AND(F97=0,NOT(F97="")),ABS(ROUNDDOWN(F97-H97,0)),""))</f>
        <v/>
      </c>
      <c r="J97" s="4">
        <f>IF(NOT(I97=""),IF(I97&lt;=G97,"match",IF(I97&lt;3*G97,"partial match","no match")),"")</f>
        <v/>
      </c>
      <c r="K97" t="inlineStr">
        <is>
          <t>stat_median</t>
        </is>
      </c>
    </row>
    <row r="98" ht="15" customHeight="1" s="10">
      <c r="A98" t="inlineStr">
        <is>
          <t>configuration D</t>
        </is>
      </c>
      <c r="B98" t="inlineStr">
        <is>
          <t>Statistics</t>
        </is>
      </c>
      <c r="C98" t="inlineStr">
        <is>
          <t>Minimum</t>
        </is>
      </c>
      <c r="D98" t="inlineStr">
        <is>
          <t>Minimum</t>
        </is>
      </c>
      <c r="E98" t="inlineStr">
        <is>
          <t>6-9</t>
        </is>
      </c>
      <c r="F98" t="n">
        <v>-724</v>
      </c>
      <c r="G98" t="n">
        <v>12</v>
      </c>
      <c r="H98" s="6" t="n">
        <v>-716.759216308593</v>
      </c>
      <c r="I98" s="4">
        <f>IFERROR(IF(NOT(H98=""),ABS(ROUNDDOWN(F98-H98, 3 - (1+INT(LOG10(ABS(F98)))))),""),IF(AND(F98=0,NOT(F98="")),ABS(ROUNDDOWN(F98-H98,0)),""))</f>
        <v/>
      </c>
      <c r="J98" s="4">
        <f>IF(NOT(I98=""),IF(I98&lt;=G98,"match",IF(I98&lt;3*G98,"partial match","no match")),"")</f>
        <v/>
      </c>
      <c r="K98" t="inlineStr">
        <is>
          <t>stat_min</t>
        </is>
      </c>
    </row>
    <row r="99" ht="15" customHeight="1" s="10">
      <c r="A99" t="inlineStr">
        <is>
          <t>configuration D</t>
        </is>
      </c>
      <c r="B99" t="inlineStr">
        <is>
          <t>Statistics</t>
        </is>
      </c>
      <c r="C99" t="inlineStr">
        <is>
          <t>10th percentile</t>
        </is>
      </c>
      <c r="D99" t="inlineStr">
        <is>
          <t>Percentile10</t>
        </is>
      </c>
      <c r="E99" t="inlineStr">
        <is>
          <t>6-9</t>
        </is>
      </c>
      <c r="F99" t="n">
        <v>-304</v>
      </c>
      <c r="G99" t="n">
        <v>20</v>
      </c>
      <c r="H99" s="6" t="n">
        <v>-284.490539550781</v>
      </c>
      <c r="I99" s="4">
        <f>IFERROR(IF(NOT(H99=""),ABS(ROUNDDOWN(F99-H99, 3 - (1+INT(LOG10(ABS(F99)))))),""),IF(AND(F99=0,NOT(F99="")),ABS(ROUNDDOWN(F99-H99,0)),""))</f>
        <v/>
      </c>
      <c r="J99" s="4">
        <f>IF(NOT(I99=""),IF(I99&lt;=G99,"match",IF(I99&lt;3*G99,"partial match","no match")),"")</f>
        <v/>
      </c>
      <c r="K99" t="inlineStr">
        <is>
          <t>stat_p10</t>
        </is>
      </c>
    </row>
    <row r="100" ht="15" customHeight="1" s="10">
      <c r="A100" t="inlineStr">
        <is>
          <t>configuration D</t>
        </is>
      </c>
      <c r="B100" t="inlineStr">
        <is>
          <t>Statistics</t>
        </is>
      </c>
      <c r="C100" t="inlineStr">
        <is>
          <t>90th percentile</t>
        </is>
      </c>
      <c r="D100" t="inlineStr">
        <is>
          <t>Percentile90</t>
        </is>
      </c>
      <c r="E100" t="inlineStr">
        <is>
          <t>6-9</t>
        </is>
      </c>
      <c r="F100" t="n">
        <v>86</v>
      </c>
      <c r="G100" t="n">
        <v>0.1</v>
      </c>
      <c r="H100" s="6" t="n">
        <v>86.80002593994141</v>
      </c>
      <c r="I100" s="4">
        <f>IFERROR(IF(NOT(H100=""),ABS(ROUNDDOWN(F100-H100, 3 - (1+INT(LOG10(ABS(F100)))))),""),IF(AND(F100=0,NOT(F100="")),ABS(ROUNDDOWN(F100-H100,0)),""))</f>
        <v/>
      </c>
      <c r="J100" s="4">
        <f>IF(NOT(I100=""),IF(I100&lt;=G100,"match",IF(I100&lt;3*G100,"partial match","no match")),"")</f>
        <v/>
      </c>
      <c r="K100" t="inlineStr">
        <is>
          <t>stat_p90</t>
        </is>
      </c>
    </row>
    <row r="101" ht="15" customHeight="1" s="10">
      <c r="A101" t="inlineStr">
        <is>
          <t>configuration D</t>
        </is>
      </c>
      <c r="B101" t="inlineStr">
        <is>
          <t>Statistics</t>
        </is>
      </c>
      <c r="C101" t="inlineStr">
        <is>
          <t>Maximum</t>
        </is>
      </c>
      <c r="D101" t="inlineStr">
        <is>
          <t>Maximum</t>
        </is>
      </c>
      <c r="E101" t="inlineStr">
        <is>
          <t>6-9</t>
        </is>
      </c>
      <c r="F101" t="n">
        <v>521</v>
      </c>
      <c r="G101" t="n">
        <v>22</v>
      </c>
      <c r="H101" s="6" t="n">
        <v>617.665344238281</v>
      </c>
      <c r="I101" s="4">
        <f>IFERROR(IF(NOT(H101=""),ABS(ROUNDDOWN(F101-H101, 3 - (1+INT(LOG10(ABS(F101)))))),""),IF(AND(F101=0,NOT(F101="")),ABS(ROUNDDOWN(F101-H101,0)),""))</f>
        <v/>
      </c>
      <c r="J101" s="4">
        <f>IF(NOT(I101=""),IF(I101&lt;=G101,"match",IF(I101&lt;3*G101,"partial match","no match")),"")</f>
        <v/>
      </c>
      <c r="K101" t="inlineStr">
        <is>
          <t>stat_max</t>
        </is>
      </c>
    </row>
    <row r="102" ht="15" customHeight="1" s="10">
      <c r="A102" t="inlineStr">
        <is>
          <t>configuration D</t>
        </is>
      </c>
      <c r="B102" t="inlineStr">
        <is>
          <t>Statistics</t>
        </is>
      </c>
      <c r="C102" t="inlineStr">
        <is>
          <t>Interquartile range</t>
        </is>
      </c>
      <c r="D102" t="inlineStr">
        <is>
          <t>Interquartile</t>
        </is>
      </c>
      <c r="E102" t="inlineStr">
        <is>
          <t>6-9</t>
        </is>
      </c>
      <c r="F102" t="n">
        <v>57</v>
      </c>
      <c r="G102" t="n">
        <v>4.1</v>
      </c>
      <c r="H102" s="6" t="n">
        <v>55.9008207321167</v>
      </c>
      <c r="I102" s="4">
        <f>IFERROR(IF(NOT(H102=""),ABS(ROUNDDOWN(F102-H102, 3 - (1+INT(LOG10(ABS(F102)))))),""),IF(AND(F102=0,NOT(F102="")),ABS(ROUNDDOWN(F102-H102,0)),""))</f>
        <v/>
      </c>
      <c r="J102" s="4">
        <f>IF(NOT(I102=""),IF(I102&lt;=G102,"match",IF(I102&lt;3*G102,"partial match","no match")),"")</f>
        <v/>
      </c>
      <c r="K102" t="inlineStr">
        <is>
          <t>stat_iqr</t>
        </is>
      </c>
    </row>
    <row r="103" ht="15" customHeight="1" s="10">
      <c r="A103" t="inlineStr">
        <is>
          <t>configuration D</t>
        </is>
      </c>
      <c r="B103" t="inlineStr">
        <is>
          <t>Statistics</t>
        </is>
      </c>
      <c r="C103" t="inlineStr">
        <is>
          <t>Range</t>
        </is>
      </c>
      <c r="D103" t="inlineStr">
        <is>
          <t>Range</t>
        </is>
      </c>
      <c r="E103" t="inlineStr">
        <is>
          <t>6-9</t>
        </is>
      </c>
      <c r="F103" t="n">
        <v>1240</v>
      </c>
      <c r="G103" t="n">
        <v>40</v>
      </c>
      <c r="H103" s="6" t="n">
        <v>1334.42456054687</v>
      </c>
      <c r="I103" s="4">
        <f>IFERROR(IF(NOT(H103=""),ABS(ROUNDDOWN(F103-H103, 3 - (1+INT(LOG10(ABS(F103)))))),""),IF(AND(F103=0,NOT(F103="")),ABS(ROUNDDOWN(F103-H103,0)),""))</f>
        <v/>
      </c>
      <c r="J103" s="4">
        <f>IF(NOT(I103=""),IF(I103&lt;=G103,"match",IF(I103&lt;3*G103,"partial match","no match")),"")</f>
        <v/>
      </c>
      <c r="K103" t="inlineStr">
        <is>
          <t>stat_range</t>
        </is>
      </c>
    </row>
    <row r="104" ht="15" customHeight="1" s="10">
      <c r="A104" t="inlineStr">
        <is>
          <t>configuration D</t>
        </is>
      </c>
      <c r="B104" t="inlineStr">
        <is>
          <t>Statistics</t>
        </is>
      </c>
      <c r="C104" t="inlineStr">
        <is>
          <t>Mean absolute deviation</t>
        </is>
      </c>
      <c r="D104" t="inlineStr">
        <is>
          <t>MeanAbsoluteDeviation</t>
        </is>
      </c>
      <c r="E104" t="inlineStr">
        <is>
          <t>6-9</t>
        </is>
      </c>
      <c r="F104" t="n">
        <v>123</v>
      </c>
      <c r="G104" t="n">
        <v>6</v>
      </c>
      <c r="H104" s="6" t="n">
        <v>117.941991714537</v>
      </c>
      <c r="I104" s="4">
        <f>IFERROR(IF(NOT(H104=""),ABS(ROUNDDOWN(F104-H104, 3 - (1+INT(LOG10(ABS(F104)))))),""),IF(AND(F104=0,NOT(F104="")),ABS(ROUNDDOWN(F104-H104,0)),""))</f>
        <v/>
      </c>
      <c r="J104" s="4">
        <f>IF(NOT(I104=""),IF(I104&lt;=G104,"match",IF(I104&lt;3*G104,"partial match","no match")),"")</f>
        <v/>
      </c>
      <c r="K104" t="inlineStr">
        <is>
          <t>stat_mad</t>
        </is>
      </c>
    </row>
    <row r="105" ht="15" customHeight="1" s="10">
      <c r="A105" t="inlineStr">
        <is>
          <t>configuration D</t>
        </is>
      </c>
      <c r="B105" t="inlineStr">
        <is>
          <t>Statistics</t>
        </is>
      </c>
      <c r="C105" t="inlineStr">
        <is>
          <t>Robust mean absolute deviation</t>
        </is>
      </c>
      <c r="D105" t="inlineStr">
        <is>
          <t>RobustMeanAbsoluteDeviation</t>
        </is>
      </c>
      <c r="E105" t="inlineStr">
        <is>
          <t>6-9</t>
        </is>
      </c>
      <c r="F105" t="n">
        <v>46.8</v>
      </c>
      <c r="G105" t="n">
        <v>3.6</v>
      </c>
      <c r="H105" s="6" t="n">
        <v>43.6628338614775</v>
      </c>
      <c r="I105" s="4">
        <f>IFERROR(IF(NOT(H105=""),ABS(ROUNDDOWN(F105-H105, 3 - (1+INT(LOG10(ABS(F105)))))),""),IF(AND(F105=0,NOT(F105="")),ABS(ROUNDDOWN(F105-H105,0)),""))</f>
        <v/>
      </c>
      <c r="J105" s="4">
        <f>IF(NOT(I105=""),IF(I105&lt;=G105,"match",IF(I105&lt;3*G105,"partial match","no match")),"")</f>
        <v/>
      </c>
      <c r="K105" t="inlineStr">
        <is>
          <t>stat_rmad</t>
        </is>
      </c>
    </row>
    <row r="106" ht="15" customHeight="1" s="10">
      <c r="A106" t="inlineStr">
        <is>
          <t>configuration D</t>
        </is>
      </c>
      <c r="B106" t="inlineStr">
        <is>
          <t>Statistics</t>
        </is>
      </c>
      <c r="C106" t="inlineStr">
        <is>
          <t>Median absolute deviation</t>
        </is>
      </c>
      <c r="D106" t="inlineStr">
        <is>
          <t>MedianAbsoluteDeviation</t>
        </is>
      </c>
      <c r="E106" t="inlineStr">
        <is>
          <t>3-5</t>
        </is>
      </c>
      <c r="F106" t="n">
        <v>94.7</v>
      </c>
      <c r="G106" t="n">
        <v>3.8</v>
      </c>
      <c r="H106" s="6" t="n">
        <v>91.60438154281481</v>
      </c>
      <c r="I106" s="4">
        <f>IFERROR(IF(NOT(H106=""),ABS(ROUNDDOWN(F106-H106, 3 - (1+INT(LOG10(ABS(F106)))))),""),IF(AND(F106=0,NOT(F106="")),ABS(ROUNDDOWN(F106-H106,0)),""))</f>
        <v/>
      </c>
      <c r="J106" s="4">
        <f>IF(NOT(I106=""),IF(I106&lt;=G106,"match",IF(I106&lt;3*G106,"partial match","no match")),"")</f>
        <v/>
      </c>
      <c r="K106" t="inlineStr">
        <is>
          <t>stat_medad</t>
        </is>
      </c>
    </row>
    <row r="107" ht="15" customHeight="1" s="10">
      <c r="A107" t="inlineStr">
        <is>
          <t>configuration D</t>
        </is>
      </c>
      <c r="B107" t="inlineStr">
        <is>
          <t>Statistics</t>
        </is>
      </c>
      <c r="C107" t="inlineStr">
        <is>
          <t>Coefficient of variation</t>
        </is>
      </c>
      <c r="D107" t="inlineStr">
        <is>
          <t>CoefficientOfVariation</t>
        </is>
      </c>
      <c r="E107" t="inlineStr">
        <is>
          <t>6-9</t>
        </is>
      </c>
      <c r="F107" t="n">
        <v>-7.7</v>
      </c>
      <c r="G107" t="n">
        <v>1.01</v>
      </c>
      <c r="H107" s="6" t="n">
        <v>-8.805811954371</v>
      </c>
      <c r="I107" s="4">
        <f>IFERROR(IF(NOT(H107=""),ABS(ROUNDDOWN(F107-H107, 3 - (1+INT(LOG10(ABS(F107)))))),""),IF(AND(F107=0,NOT(F107="")),ABS(ROUNDDOWN(F107-H107,0)),""))</f>
        <v/>
      </c>
      <c r="J107" s="4">
        <f>IF(NOT(I107=""),IF(I107&lt;=G107,"match",IF(I107&lt;3*G107,"partial match","no match")),"")</f>
        <v/>
      </c>
      <c r="K107" t="inlineStr">
        <is>
          <t>stat_cov</t>
        </is>
      </c>
    </row>
    <row r="108" ht="15" customHeight="1" s="10">
      <c r="A108" t="inlineStr">
        <is>
          <t>configuration D</t>
        </is>
      </c>
      <c r="B108" t="inlineStr">
        <is>
          <t>Statistics</t>
        </is>
      </c>
      <c r="C108" t="inlineStr">
        <is>
          <t>Quartile coefficient of dispersion</t>
        </is>
      </c>
      <c r="D108" t="inlineStr">
        <is>
          <t>QuartileCoefficientOfDispersion</t>
        </is>
      </c>
      <c r="E108" t="inlineStr">
        <is>
          <t>3-5</t>
        </is>
      </c>
      <c r="F108" t="n">
        <v>0.74</v>
      </c>
      <c r="G108" t="n">
        <v>0.011</v>
      </c>
      <c r="H108" s="6" t="n">
        <v>0.707659068085843</v>
      </c>
      <c r="I108" s="4">
        <f>IFERROR(IF(NOT(H108=""),ABS(ROUNDDOWN(F108-H108, 3 - (1+INT(LOG10(ABS(F108)))))),""),IF(AND(F108=0,NOT(F108="")),ABS(ROUNDDOWN(F108-H108,0)),""))</f>
        <v/>
      </c>
      <c r="J108" s="4">
        <f>IF(NOT(I108=""),IF(I108&lt;=G108,"match",IF(I108&lt;3*G108,"partial match","no match")),"")</f>
        <v/>
      </c>
      <c r="K108" t="inlineStr">
        <is>
          <t>stat_qcod</t>
        </is>
      </c>
    </row>
    <row r="109" ht="15" customHeight="1" s="10">
      <c r="A109" t="inlineStr">
        <is>
          <t>configuration D</t>
        </is>
      </c>
      <c r="B109" t="inlineStr">
        <is>
          <t>Statistics</t>
        </is>
      </c>
      <c r="C109" t="inlineStr">
        <is>
          <t>Energy</t>
        </is>
      </c>
      <c r="D109" t="inlineStr">
        <is>
          <t>Energy</t>
        </is>
      </c>
      <c r="E109" t="inlineStr">
        <is>
          <t>6-9</t>
        </is>
      </c>
      <c r="F109" t="n">
        <v>1480000000</v>
      </c>
      <c r="G109" t="n">
        <v>140000000</v>
      </c>
      <c r="H109" s="8" t="n">
        <v>1389959049.22972</v>
      </c>
      <c r="I109" s="4">
        <f>IFERROR(IF(NOT(H109=""),ABS(ROUNDDOWN(F109-H109, 3 - (1+INT(LOG10(ABS(F109)))))),""),IF(AND(F109=0,NOT(F109="")),ABS(ROUNDDOWN(F109-H109,0)),""))</f>
        <v/>
      </c>
      <c r="J109" s="4">
        <f>IF(NOT(I109=""),IF(I109&lt;=G109,"match",IF(I109&lt;3*G109,"partial match","no match")),"")</f>
        <v/>
      </c>
      <c r="K109" t="inlineStr">
        <is>
          <t>stat_energy</t>
        </is>
      </c>
    </row>
    <row r="110" ht="15" customHeight="1" s="10">
      <c r="A110" t="inlineStr">
        <is>
          <t>configuration D</t>
        </is>
      </c>
      <c r="B110" t="inlineStr">
        <is>
          <t>Statistics</t>
        </is>
      </c>
      <c r="C110" t="inlineStr">
        <is>
          <t>Root mean square</t>
        </is>
      </c>
      <c r="D110" t="inlineStr">
        <is>
          <t>RootMeanSquared</t>
        </is>
      </c>
      <c r="E110" t="inlineStr">
        <is>
          <t>6-9</t>
        </is>
      </c>
      <c r="F110" t="n">
        <v>183</v>
      </c>
      <c r="G110" t="n">
        <v>7</v>
      </c>
      <c r="H110" s="6" t="n">
        <v>177.493825900418</v>
      </c>
      <c r="I110" s="4">
        <f>IFERROR(IF(NOT(H110=""),ABS(ROUNDDOWN(F110-H110, 3 - (1+INT(LOG10(ABS(F110)))))),""),IF(AND(F110=0,NOT(F110="")),ABS(ROUNDDOWN(F110-H110,0)),""))</f>
        <v/>
      </c>
      <c r="J110" s="4">
        <f>IF(NOT(I110=""),IF(I110&lt;=G110,"match",IF(I110&lt;3*G110,"partial match","no match")),"")</f>
        <v/>
      </c>
      <c r="K110" t="inlineStr">
        <is>
          <t>stat_rms</t>
        </is>
      </c>
    </row>
    <row r="111" ht="15" customHeight="1" s="10">
      <c r="A111" t="inlineStr">
        <is>
          <t>configuration D</t>
        </is>
      </c>
      <c r="B111" t="inlineStr">
        <is>
          <t>Intensity histogram</t>
        </is>
      </c>
      <c r="C111" t="inlineStr">
        <is>
          <t>Mean</t>
        </is>
      </c>
      <c r="D111" t="inlineStr">
        <is>
          <t>MeanDiscretisedIntensity</t>
        </is>
      </c>
      <c r="E111" t="inlineStr">
        <is>
          <t>3-5</t>
        </is>
      </c>
      <c r="F111" t="n">
        <v>18.5</v>
      </c>
      <c r="G111" t="n">
        <v>0.5</v>
      </c>
      <c r="H111" s="6" t="n">
        <v>17.2061196736174</v>
      </c>
      <c r="I111" s="4">
        <f>IFERROR(IF(NOT(H111=""),ABS(ROUNDDOWN(F111-H111, 3 - (1+INT(LOG10(ABS(F111)))))),""),IF(AND(F111=0,NOT(F111="")),ABS(ROUNDDOWN(F111-H111,0)),""))</f>
        <v/>
      </c>
      <c r="J111" s="4">
        <f>IF(NOT(I111=""),IF(I111&lt;=G111,"match",IF(I111&lt;3*G111,"partial match","no match")),"")</f>
        <v/>
      </c>
      <c r="K111" t="inlineStr">
        <is>
          <t>ih_mean</t>
        </is>
      </c>
    </row>
    <row r="112" ht="15" customHeight="1" s="10">
      <c r="A112" t="inlineStr">
        <is>
          <t>configuration D</t>
        </is>
      </c>
      <c r="B112" t="inlineStr">
        <is>
          <t>Intensity histogram</t>
        </is>
      </c>
      <c r="C112" t="inlineStr">
        <is>
          <t>Variance</t>
        </is>
      </c>
      <c r="D112" t="inlineStr">
        <is>
          <t>Variance</t>
        </is>
      </c>
      <c r="E112" t="inlineStr">
        <is>
          <t>3-5</t>
        </is>
      </c>
      <c r="F112" t="n">
        <v>21.7</v>
      </c>
      <c r="G112" t="n">
        <v>0.4</v>
      </c>
      <c r="H112" s="6" t="n">
        <v>17.9371157681264</v>
      </c>
      <c r="I112" s="4">
        <f>IFERROR(IF(NOT(H112=""),ABS(ROUNDDOWN(F112-H112, 3 - (1+INT(LOG10(ABS(F112)))))),""),IF(AND(F112=0,NOT(F112="")),ABS(ROUNDDOWN(F112-H112,0)),""))</f>
        <v/>
      </c>
      <c r="J112" s="4">
        <f>IF(NOT(I112=""),IF(I112&lt;=G112,"match",IF(I112&lt;3*G112,"partial match","no match")),"")</f>
        <v/>
      </c>
      <c r="K112" t="inlineStr">
        <is>
          <t>ih_var</t>
        </is>
      </c>
    </row>
    <row r="113" ht="15" customHeight="1" s="10">
      <c r="A113" t="inlineStr">
        <is>
          <t>configuration D</t>
        </is>
      </c>
      <c r="B113" t="inlineStr">
        <is>
          <t>Intensity histogram</t>
        </is>
      </c>
      <c r="C113" t="inlineStr">
        <is>
          <t>Skewness</t>
        </is>
      </c>
      <c r="D113" t="inlineStr">
        <is>
          <t>Skewness</t>
        </is>
      </c>
      <c r="E113" t="inlineStr">
        <is>
          <t>3-5</t>
        </is>
      </c>
      <c r="F113" t="n">
        <v>-2.27</v>
      </c>
      <c r="G113" t="n">
        <v>0.06</v>
      </c>
      <c r="H113" s="6" t="n">
        <v>-2.30297267995203</v>
      </c>
      <c r="I113" s="4">
        <f>IFERROR(IF(NOT(H113=""),ABS(ROUNDDOWN(F113-H113, 3 - (1+INT(LOG10(ABS(F113)))))),""),IF(AND(F113=0,NOT(F113="")),ABS(ROUNDDOWN(F113-H113,0)),""))</f>
        <v/>
      </c>
      <c r="J113" s="4">
        <f>IF(NOT(I113=""),IF(I113&lt;=G113,"match",IF(I113&lt;3*G113,"partial match","no match")),"")</f>
        <v/>
      </c>
      <c r="K113" t="inlineStr">
        <is>
          <t>ih_skew</t>
        </is>
      </c>
    </row>
    <row r="114" ht="15" customHeight="1" s="10">
      <c r="A114" t="inlineStr">
        <is>
          <t>configuration D</t>
        </is>
      </c>
      <c r="B114" t="inlineStr">
        <is>
          <t>Intensity histogram</t>
        </is>
      </c>
      <c r="C114" t="inlineStr">
        <is>
          <t>Kurtosis</t>
        </is>
      </c>
      <c r="D114" t="inlineStr">
        <is>
          <t>Kurtosis</t>
        </is>
      </c>
      <c r="E114" t="inlineStr">
        <is>
          <t>3-5</t>
        </is>
      </c>
      <c r="F114" t="n">
        <v>4.31</v>
      </c>
      <c r="G114" t="n">
        <v>0.32</v>
      </c>
      <c r="H114" s="6" t="n">
        <v>7.55257931926689</v>
      </c>
      <c r="I114" s="4">
        <f>IFERROR(IF(NOT(H114=""),ABS(ROUNDDOWN(F114-H114, 3 - (1+INT(LOG10(ABS(F114)))))),""),IF(AND(F114=0,NOT(F114="")),ABS(ROUNDDOWN(F114-H114,0)),""))</f>
        <v/>
      </c>
      <c r="J114" s="4">
        <f>IF(NOT(I114=""),IF(I114&lt;=G114,"match",IF(I114&lt;3*G114,"partial match","no match")),"")</f>
        <v/>
      </c>
      <c r="K114" t="inlineStr">
        <is>
          <t>ih_kurt</t>
        </is>
      </c>
    </row>
    <row r="115" ht="15" customHeight="1" s="10">
      <c r="A115" t="inlineStr">
        <is>
          <t>configuration D</t>
        </is>
      </c>
      <c r="B115" t="inlineStr">
        <is>
          <t>Intensity histogram</t>
        </is>
      </c>
      <c r="C115" t="inlineStr">
        <is>
          <t>Median</t>
        </is>
      </c>
      <c r="D115" t="inlineStr">
        <is>
          <t>Median</t>
        </is>
      </c>
      <c r="E115" t="inlineStr">
        <is>
          <t>3-5</t>
        </is>
      </c>
      <c r="F115" t="n">
        <v>20</v>
      </c>
      <c r="G115" t="n">
        <v>0.5</v>
      </c>
      <c r="H115" s="6" t="n">
        <v>19</v>
      </c>
      <c r="I115" s="4">
        <f>IFERROR(IF(NOT(H115=""),ABS(ROUNDDOWN(F115-H115, 3 - (1+INT(LOG10(ABS(F115)))))),""),IF(AND(F115=0,NOT(F115="")),ABS(ROUNDDOWN(F115-H115,0)),""))</f>
        <v/>
      </c>
      <c r="J115" s="4">
        <f>IF(NOT(I115=""),IF(I115&lt;=G115,"match",IF(I115&lt;3*G115,"partial match","no match")),"")</f>
        <v/>
      </c>
      <c r="K115" t="inlineStr">
        <is>
          <t>ih_median</t>
        </is>
      </c>
    </row>
    <row r="116" ht="15" customHeight="1" s="10">
      <c r="A116" t="inlineStr">
        <is>
          <t>configuration D</t>
        </is>
      </c>
      <c r="B116" t="inlineStr">
        <is>
          <t>Intensity histogram</t>
        </is>
      </c>
      <c r="C116" t="inlineStr">
        <is>
          <t>Minimum</t>
        </is>
      </c>
      <c r="D116" t="inlineStr">
        <is>
          <t>Minimum</t>
        </is>
      </c>
      <c r="E116" t="inlineStr">
        <is>
          <t>3-5</t>
        </is>
      </c>
      <c r="F116" t="n">
        <v>1</v>
      </c>
      <c r="G116" t="n">
        <v>0</v>
      </c>
      <c r="H116" s="6" t="n">
        <v>1</v>
      </c>
      <c r="I116" s="4">
        <f>IFERROR(IF(NOT(H116=""),ABS(ROUNDDOWN(F116-H116, 3 - (1+INT(LOG10(ABS(F116)))))),""),IF(AND(F116=0,NOT(F116="")),ABS(ROUNDDOWN(F116-H116,0)),""))</f>
        <v/>
      </c>
      <c r="J116" s="4">
        <f>IF(NOT(I116=""),IF(I116&lt;=G116,"match",IF(I116&lt;3*G116,"partial match","no match")),"")</f>
        <v/>
      </c>
      <c r="K116" t="inlineStr">
        <is>
          <t>ih_min</t>
        </is>
      </c>
    </row>
    <row r="117" ht="15" customHeight="1" s="10">
      <c r="A117" t="inlineStr">
        <is>
          <t>configuration D</t>
        </is>
      </c>
      <c r="B117" t="inlineStr">
        <is>
          <t>Intensity histogram</t>
        </is>
      </c>
      <c r="C117" t="inlineStr">
        <is>
          <t>10th percentile</t>
        </is>
      </c>
      <c r="D117" t="inlineStr">
        <is>
          <t>Percentile10</t>
        </is>
      </c>
      <c r="E117" t="inlineStr">
        <is>
          <t>3-5</t>
        </is>
      </c>
      <c r="F117" t="n">
        <v>11</v>
      </c>
      <c r="G117" t="n">
        <v>0.7</v>
      </c>
      <c r="H117" s="6" t="n">
        <v>11</v>
      </c>
      <c r="I117" s="4">
        <f>IFERROR(IF(NOT(H117=""),ABS(ROUNDDOWN(F117-H117, 3 - (1+INT(LOG10(ABS(F117)))))),""),IF(AND(F117=0,NOT(F117="")),ABS(ROUNDDOWN(F117-H117,0)),""))</f>
        <v/>
      </c>
      <c r="J117" s="4">
        <f>IF(NOT(I117=""),IF(I117&lt;=G117,"match",IF(I117&lt;3*G117,"partial match","no match")),"")</f>
        <v/>
      </c>
      <c r="K117" t="inlineStr">
        <is>
          <t>ih_p10</t>
        </is>
      </c>
    </row>
    <row r="118" ht="15" customHeight="1" s="10">
      <c r="A118" t="inlineStr">
        <is>
          <t>configuration D</t>
        </is>
      </c>
      <c r="B118" t="inlineStr">
        <is>
          <t>Intensity histogram</t>
        </is>
      </c>
      <c r="C118" t="inlineStr">
        <is>
          <t>90th percentile</t>
        </is>
      </c>
      <c r="D118" t="inlineStr">
        <is>
          <t>Percentile90</t>
        </is>
      </c>
      <c r="E118" t="inlineStr">
        <is>
          <t>3-5</t>
        </is>
      </c>
      <c r="F118" t="n">
        <v>21</v>
      </c>
      <c r="G118" t="n">
        <v>0.5</v>
      </c>
      <c r="H118" s="6" t="n">
        <v>20</v>
      </c>
      <c r="I118" s="4">
        <f>IFERROR(IF(NOT(H118=""),ABS(ROUNDDOWN(F118-H118, 3 - (1+INT(LOG10(ABS(F118)))))),""),IF(AND(F118=0,NOT(F118="")),ABS(ROUNDDOWN(F118-H118,0)),""))</f>
        <v/>
      </c>
      <c r="J118" s="4">
        <f>IF(NOT(I118=""),IF(I118&lt;=G118,"match",IF(I118&lt;3*G118,"partial match","no match")),"")</f>
        <v/>
      </c>
      <c r="K118" t="inlineStr">
        <is>
          <t>ih_p90</t>
        </is>
      </c>
    </row>
    <row r="119" ht="15" customHeight="1" s="10">
      <c r="A119" t="inlineStr">
        <is>
          <t>configuration D</t>
        </is>
      </c>
      <c r="B119" t="inlineStr">
        <is>
          <t>Intensity histogram</t>
        </is>
      </c>
      <c r="C119" t="inlineStr">
        <is>
          <t>Maximum</t>
        </is>
      </c>
      <c r="D119" t="inlineStr">
        <is>
          <t>Maximum</t>
        </is>
      </c>
      <c r="E119" t="inlineStr">
        <is>
          <t>3-5</t>
        </is>
      </c>
      <c r="F119" t="n">
        <v>32</v>
      </c>
      <c r="G119" t="n">
        <v>0</v>
      </c>
      <c r="H119" s="6" t="n">
        <v>32</v>
      </c>
      <c r="I119" s="4">
        <f>IFERROR(IF(NOT(H119=""),ABS(ROUNDDOWN(F119-H119, 3 - (1+INT(LOG10(ABS(F119)))))),""),IF(AND(F119=0,NOT(F119="")),ABS(ROUNDDOWN(F119-H119,0)),""))</f>
        <v/>
      </c>
      <c r="J119" s="4">
        <f>IF(NOT(I119=""),IF(I119&lt;=G119,"match",IF(I119&lt;3*G119,"partial match","no match")),"")</f>
        <v/>
      </c>
      <c r="K119" t="inlineStr">
        <is>
          <t>ih_max</t>
        </is>
      </c>
    </row>
    <row r="120" ht="15" customHeight="1" s="10">
      <c r="A120" t="inlineStr">
        <is>
          <t>configuration D</t>
        </is>
      </c>
      <c r="B120" t="inlineStr">
        <is>
          <t>Intensity histogram</t>
        </is>
      </c>
      <c r="C120" t="inlineStr">
        <is>
          <t>Mode</t>
        </is>
      </c>
      <c r="D120" t="inlineStr">
        <is>
          <t>Mode</t>
        </is>
      </c>
      <c r="E120" t="inlineStr">
        <is>
          <t>3-5</t>
        </is>
      </c>
      <c r="F120" t="n">
        <v>20</v>
      </c>
      <c r="G120" t="n">
        <v>0.4</v>
      </c>
      <c r="H120" s="6" t="n">
        <v>19</v>
      </c>
      <c r="I120" s="4">
        <f>IFERROR(IF(NOT(H120=""),ABS(ROUNDDOWN(F120-H120, 3 - (1+INT(LOG10(ABS(F120)))))),""),IF(AND(F120=0,NOT(F120="")),ABS(ROUNDDOWN(F120-H120,0)),""))</f>
        <v/>
      </c>
      <c r="J120" s="4">
        <f>IF(NOT(I120=""),IF(I120&lt;=G120,"match",IF(I120&lt;3*G120,"partial match","no match")),"")</f>
        <v/>
      </c>
      <c r="K120" t="inlineStr">
        <is>
          <t>ih_mode</t>
        </is>
      </c>
    </row>
    <row r="121" ht="15" customHeight="1" s="10">
      <c r="A121" t="inlineStr">
        <is>
          <t>configuration D</t>
        </is>
      </c>
      <c r="B121" t="inlineStr">
        <is>
          <t>Intensity histogram</t>
        </is>
      </c>
      <c r="C121" t="inlineStr">
        <is>
          <t>Interquartile range</t>
        </is>
      </c>
      <c r="D121" t="inlineStr">
        <is>
          <t>Interquartile</t>
        </is>
      </c>
      <c r="E121" t="inlineStr">
        <is>
          <t>3-5</t>
        </is>
      </c>
      <c r="F121" t="n">
        <v>2</v>
      </c>
      <c r="G121" t="n">
        <v>0.06</v>
      </c>
      <c r="H121" s="6" t="n">
        <v>1</v>
      </c>
      <c r="I121" s="4">
        <f>IFERROR(IF(NOT(H121=""),ABS(ROUNDDOWN(F121-H121, 3 - (1+INT(LOG10(ABS(F121)))))),""),IF(AND(F121=0,NOT(F121="")),ABS(ROUNDDOWN(F121-H121,0)),""))</f>
        <v/>
      </c>
      <c r="J121" s="4">
        <f>IF(NOT(I121=""),IF(I121&lt;=G121,"match",IF(I121&lt;3*G121,"partial match","no match")),"")</f>
        <v/>
      </c>
      <c r="K121" t="inlineStr">
        <is>
          <t>ih_iqr</t>
        </is>
      </c>
    </row>
    <row r="122" ht="15" customHeight="1" s="10">
      <c r="A122" t="inlineStr">
        <is>
          <t>configuration D</t>
        </is>
      </c>
      <c r="B122" t="inlineStr">
        <is>
          <t>Intensity histogram</t>
        </is>
      </c>
      <c r="C122" t="inlineStr">
        <is>
          <t>Range</t>
        </is>
      </c>
      <c r="D122" t="inlineStr">
        <is>
          <t>Range</t>
        </is>
      </c>
      <c r="E122" t="inlineStr">
        <is>
          <t>3-5</t>
        </is>
      </c>
      <c r="F122" t="n">
        <v>31</v>
      </c>
      <c r="G122" t="n">
        <v>0</v>
      </c>
      <c r="H122" s="6" t="n">
        <v>31</v>
      </c>
      <c r="I122" s="4">
        <f>IFERROR(IF(NOT(H122=""),ABS(ROUNDDOWN(F122-H122, 3 - (1+INT(LOG10(ABS(F122)))))),""),IF(AND(F122=0,NOT(F122="")),ABS(ROUNDDOWN(F122-H122,0)),""))</f>
        <v/>
      </c>
      <c r="J122" s="4">
        <f>IF(NOT(I122=""),IF(I122&lt;=G122,"match",IF(I122&lt;3*G122,"partial match","no match")),"")</f>
        <v/>
      </c>
      <c r="K122" t="inlineStr">
        <is>
          <t>ih_range</t>
        </is>
      </c>
    </row>
    <row r="123" ht="15" customHeight="1" s="10">
      <c r="A123" t="inlineStr">
        <is>
          <t>configuration D</t>
        </is>
      </c>
      <c r="B123" t="inlineStr">
        <is>
          <t>Intensity histogram</t>
        </is>
      </c>
      <c r="C123" t="inlineStr">
        <is>
          <t>Mean absolute deviation</t>
        </is>
      </c>
      <c r="D123" t="inlineStr">
        <is>
          <t>MeanAbsoluteDeviation</t>
        </is>
      </c>
      <c r="E123" t="inlineStr">
        <is>
          <t>3-5</t>
        </is>
      </c>
      <c r="F123" t="n">
        <v>3.15</v>
      </c>
      <c r="G123" t="n">
        <v>0.05</v>
      </c>
      <c r="H123" s="6" t="n">
        <v>2.82795311188707</v>
      </c>
      <c r="I123" s="4">
        <f>IFERROR(IF(NOT(H123=""),ABS(ROUNDDOWN(F123-H123, 3 - (1+INT(LOG10(ABS(F123)))))),""),IF(AND(F123=0,NOT(F123="")),ABS(ROUNDDOWN(F123-H123,0)),""))</f>
        <v/>
      </c>
      <c r="J123" s="4">
        <f>IF(NOT(I123=""),IF(I123&lt;=G123,"match",IF(I123&lt;3*G123,"partial match","no match")),"")</f>
        <v/>
      </c>
      <c r="K123" t="inlineStr">
        <is>
          <t>ih_mad</t>
        </is>
      </c>
    </row>
    <row r="124" ht="15" customHeight="1" s="10">
      <c r="A124" t="inlineStr">
        <is>
          <t>configuration D</t>
        </is>
      </c>
      <c r="B124" t="inlineStr">
        <is>
          <t>Intensity histogram</t>
        </is>
      </c>
      <c r="C124" t="inlineStr">
        <is>
          <t>Robust mean absolute deviation</t>
        </is>
      </c>
      <c r="D124" t="inlineStr">
        <is>
          <t>RobustMeanAbsoluteDeviation</t>
        </is>
      </c>
      <c r="E124" t="inlineStr">
        <is>
          <t>3-5</t>
        </is>
      </c>
      <c r="F124" t="n">
        <v>1.33</v>
      </c>
      <c r="G124" t="n">
        <v>0.06</v>
      </c>
      <c r="H124" s="6" t="n">
        <v>1.16255755824632</v>
      </c>
      <c r="I124" s="4">
        <f>IFERROR(IF(NOT(H124=""),ABS(ROUNDDOWN(F124-H124, 3 - (1+INT(LOG10(ABS(F124)))))),""),IF(AND(F124=0,NOT(F124="")),ABS(ROUNDDOWN(F124-H124,0)),""))</f>
        <v/>
      </c>
      <c r="J124" s="4">
        <f>IF(NOT(I124=""),IF(I124&lt;=G124,"match",IF(I124&lt;3*G124,"partial match","no match")),"")</f>
        <v/>
      </c>
      <c r="K124" t="inlineStr">
        <is>
          <t>ih_rmad</t>
        </is>
      </c>
    </row>
    <row r="125" ht="15" customHeight="1" s="10">
      <c r="A125" t="inlineStr">
        <is>
          <t>configuration D</t>
        </is>
      </c>
      <c r="B125" t="inlineStr">
        <is>
          <t>Intensity histogram</t>
        </is>
      </c>
      <c r="C125" t="inlineStr">
        <is>
          <t>Median absolute deviation</t>
        </is>
      </c>
      <c r="D125" t="inlineStr">
        <is>
          <t>MedianAbsoluteDeviation</t>
        </is>
      </c>
      <c r="E125" t="inlineStr">
        <is>
          <t>3-5</t>
        </is>
      </c>
      <c r="F125" t="n">
        <v>2.41</v>
      </c>
      <c r="G125" t="n">
        <v>0.04</v>
      </c>
      <c r="H125" s="6" t="n">
        <v>2.20294650951949</v>
      </c>
      <c r="I125" s="4">
        <f>IFERROR(IF(NOT(H125=""),ABS(ROUNDDOWN(F125-H125, 3 - (1+INT(LOG10(ABS(F125)))))),""),IF(AND(F125=0,NOT(F125="")),ABS(ROUNDDOWN(F125-H125,0)),""))</f>
        <v/>
      </c>
      <c r="J125" s="4">
        <f>IF(NOT(I125=""),IF(I125&lt;=G125,"match",IF(I125&lt;3*G125,"partial match","no match")),"")</f>
        <v/>
      </c>
      <c r="K125" t="inlineStr">
        <is>
          <t>ih_medad</t>
        </is>
      </c>
    </row>
    <row r="126" ht="15" customHeight="1" s="10">
      <c r="A126" t="inlineStr">
        <is>
          <t>configuration D</t>
        </is>
      </c>
      <c r="B126" t="inlineStr">
        <is>
          <t>Intensity histogram</t>
        </is>
      </c>
      <c r="C126" t="inlineStr">
        <is>
          <t>Coefficient of variation</t>
        </is>
      </c>
      <c r="D126" t="inlineStr">
        <is>
          <t>CoefficientOfVariation</t>
        </is>
      </c>
      <c r="E126" t="inlineStr">
        <is>
          <t>3-5</t>
        </is>
      </c>
      <c r="F126" t="n">
        <v>0.252</v>
      </c>
      <c r="G126" t="n">
        <v>0.006</v>
      </c>
      <c r="H126" s="6" t="n">
        <v>0.246146330819416</v>
      </c>
      <c r="I126" s="4">
        <f>IFERROR(IF(NOT(H126=""),ABS(ROUNDDOWN(F126-H126, 3 - (1+INT(LOG10(ABS(F126)))))),""),IF(AND(F126=0,NOT(F126="")),ABS(ROUNDDOWN(F126-H126,0)),""))</f>
        <v/>
      </c>
      <c r="J126" s="4">
        <f>IF(NOT(I126=""),IF(I126&lt;=G126,"match",IF(I126&lt;3*G126,"partial match","no match")),"")</f>
        <v/>
      </c>
      <c r="K126" t="inlineStr">
        <is>
          <t>ih_cov</t>
        </is>
      </c>
    </row>
    <row r="127" ht="15" customHeight="1" s="10">
      <c r="A127" t="inlineStr">
        <is>
          <t>configuration D</t>
        </is>
      </c>
      <c r="B127" t="inlineStr">
        <is>
          <t>Intensity histogram</t>
        </is>
      </c>
      <c r="C127" t="inlineStr">
        <is>
          <t>Quartile coefficient of dispersion</t>
        </is>
      </c>
      <c r="D127" t="inlineStr">
        <is>
          <t>QuartileCoefficientOfDispersion</t>
        </is>
      </c>
      <c r="E127" t="inlineStr">
        <is>
          <t>3-5</t>
        </is>
      </c>
      <c r="F127" t="n">
        <v>0.05</v>
      </c>
      <c r="G127" t="n">
        <v>0.0021</v>
      </c>
      <c r="H127" s="6" t="n">
        <v>0.027027027027027</v>
      </c>
      <c r="I127" s="4">
        <f>IFERROR(IF(NOT(H127=""),ABS(ROUNDDOWN(F127-H127, 3 - (1+INT(LOG10(ABS(F127)))))),""),IF(AND(F127=0,NOT(F127="")),ABS(ROUNDDOWN(F127-H127,0)),""))</f>
        <v/>
      </c>
      <c r="J127" s="4">
        <f>IF(NOT(I127=""),IF(I127&lt;=G127,"match",IF(I127&lt;3*G127,"partial match","no match")),"")</f>
        <v/>
      </c>
      <c r="K127" t="inlineStr">
        <is>
          <t>ih_qcod</t>
        </is>
      </c>
    </row>
    <row r="128" ht="15" customHeight="1" s="10">
      <c r="A128" t="inlineStr">
        <is>
          <t>configuration D</t>
        </is>
      </c>
      <c r="B128" t="inlineStr">
        <is>
          <t>Intensity histogram</t>
        </is>
      </c>
      <c r="C128" t="inlineStr">
        <is>
          <t>Entropy</t>
        </is>
      </c>
      <c r="D128" t="inlineStr">
        <is>
          <t>Entropy</t>
        </is>
      </c>
      <c r="E128" t="inlineStr">
        <is>
          <t>6-9</t>
        </is>
      </c>
      <c r="F128" t="n">
        <v>2.94</v>
      </c>
      <c r="G128" t="n">
        <v>0.01</v>
      </c>
      <c r="H128" s="6" t="n">
        <v>2.86487115391464</v>
      </c>
      <c r="I128" s="4">
        <f>IFERROR(IF(NOT(H128=""),ABS(ROUNDDOWN(F128-H128, 3 - (1+INT(LOG10(ABS(F128)))))),""),IF(AND(F128=0,NOT(F128="")),ABS(ROUNDDOWN(F128-H128,0)),""))</f>
        <v/>
      </c>
      <c r="J128" s="4">
        <f>IF(NOT(I128=""),IF(I128&lt;=G128,"match",IF(I128&lt;3*G128,"partial match","no match")),"")</f>
        <v/>
      </c>
      <c r="K128" t="inlineStr">
        <is>
          <t>ih_entropy</t>
        </is>
      </c>
    </row>
    <row r="129" ht="15" customHeight="1" s="10">
      <c r="A129" t="inlineStr">
        <is>
          <t>configuration D</t>
        </is>
      </c>
      <c r="B129" t="inlineStr">
        <is>
          <t>Intensity histogram</t>
        </is>
      </c>
      <c r="C129" t="inlineStr">
        <is>
          <t>Uniformity</t>
        </is>
      </c>
      <c r="D129" t="inlineStr">
        <is>
          <t>Uniformity</t>
        </is>
      </c>
      <c r="E129" t="inlineStr">
        <is>
          <t>6-9</t>
        </is>
      </c>
      <c r="F129" t="n">
        <v>0.229</v>
      </c>
      <c r="G129" t="n">
        <v>0.003</v>
      </c>
      <c r="H129" s="6" t="n">
        <v>0.233851459260945</v>
      </c>
      <c r="I129" s="4">
        <f>IFERROR(IF(NOT(H129=""),ABS(ROUNDDOWN(F129-H129, 3 - (1+INT(LOG10(ABS(F129)))))),""),IF(AND(F129=0,NOT(F129="")),ABS(ROUNDDOWN(F129-H129,0)),""))</f>
        <v/>
      </c>
      <c r="J129" s="4">
        <f>IF(NOT(I129=""),IF(I129&lt;=G129,"match",IF(I129&lt;3*G129,"partial match","no match")),"")</f>
        <v/>
      </c>
      <c r="K129" t="inlineStr">
        <is>
          <t>ih_uniformity</t>
        </is>
      </c>
    </row>
    <row r="130" ht="15" customHeight="1" s="10">
      <c r="A130" t="inlineStr">
        <is>
          <t>configuration D</t>
        </is>
      </c>
      <c r="B130" t="inlineStr">
        <is>
          <t>Intensity histogram</t>
        </is>
      </c>
      <c r="C130" t="inlineStr">
        <is>
          <t>Maximum histogram gradient</t>
        </is>
      </c>
      <c r="D130" t="inlineStr">
        <is>
          <t>MaximumHistogramGradient</t>
        </is>
      </c>
      <c r="E130" t="inlineStr">
        <is>
          <t>3-5</t>
        </is>
      </c>
      <c r="F130" t="n">
        <v>7260</v>
      </c>
      <c r="G130" t="n">
        <v>200</v>
      </c>
      <c r="H130" s="6" t="n">
        <v>8279</v>
      </c>
      <c r="I130" s="4">
        <f>IFERROR(IF(NOT(H130=""),ABS(ROUNDDOWN(F130-H130, 3 - (1+INT(LOG10(ABS(F130)))))),""),IF(AND(F130=0,NOT(F130="")),ABS(ROUNDDOWN(F130-H130,0)),""))</f>
        <v/>
      </c>
      <c r="J130" s="4">
        <f>IF(NOT(I130=""),IF(I130&lt;=G130,"match",IF(I130&lt;3*G130,"partial match","no match")),"")</f>
        <v/>
      </c>
      <c r="K130" t="inlineStr">
        <is>
          <t>ih_max_grad</t>
        </is>
      </c>
    </row>
    <row r="131" ht="15" customHeight="1" s="10">
      <c r="A131" t="inlineStr">
        <is>
          <t>configuration D</t>
        </is>
      </c>
      <c r="B131" t="inlineStr">
        <is>
          <t>Intensity histogram</t>
        </is>
      </c>
      <c r="C131" t="inlineStr">
        <is>
          <t>Maximum gradient grey level</t>
        </is>
      </c>
      <c r="D131" t="inlineStr">
        <is>
          <t>MaximumHistogramGradientIntensity</t>
        </is>
      </c>
      <c r="E131" t="inlineStr">
        <is>
          <t>3-5</t>
        </is>
      </c>
      <c r="F131" t="n">
        <v>19</v>
      </c>
      <c r="G131" t="n">
        <v>0.4</v>
      </c>
      <c r="H131" s="6" t="n">
        <v>18</v>
      </c>
      <c r="I131" s="4">
        <f>IFERROR(IF(NOT(H131=""),ABS(ROUNDDOWN(F131-H131, 3 - (1+INT(LOG10(ABS(F131)))))),""),IF(AND(F131=0,NOT(F131="")),ABS(ROUNDDOWN(F131-H131,0)),""))</f>
        <v/>
      </c>
      <c r="J131" s="4">
        <f>IF(NOT(I131=""),IF(I131&lt;=G131,"match",IF(I131&lt;3*G131,"partial match","no match")),"")</f>
        <v/>
      </c>
      <c r="K131" t="inlineStr">
        <is>
          <t>ih_max_grad_g</t>
        </is>
      </c>
    </row>
    <row r="132" ht="15" customHeight="1" s="10">
      <c r="A132" t="inlineStr">
        <is>
          <t>configuration D</t>
        </is>
      </c>
      <c r="B132" t="inlineStr">
        <is>
          <t>Intensity histogram</t>
        </is>
      </c>
      <c r="C132" t="inlineStr">
        <is>
          <t>Minimum histogram gradient</t>
        </is>
      </c>
      <c r="D132" t="inlineStr">
        <is>
          <t>MinimumHistogramGradient</t>
        </is>
      </c>
      <c r="E132" t="inlineStr">
        <is>
          <t>3-5</t>
        </is>
      </c>
      <c r="F132" t="n">
        <v>-6670</v>
      </c>
      <c r="G132" t="n">
        <v>230</v>
      </c>
      <c r="H132" s="6" t="n">
        <v>-8494</v>
      </c>
      <c r="I132" s="4">
        <f>IFERROR(IF(NOT(H132=""),ABS(ROUNDDOWN(F132-H132, 3 - (1+INT(LOG10(ABS(F132)))))),""),IF(AND(F132=0,NOT(F132="")),ABS(ROUNDDOWN(F132-H132,0)),""))</f>
        <v/>
      </c>
      <c r="J132" s="4">
        <f>IF(NOT(I132=""),IF(I132&lt;=G132,"match",IF(I132&lt;3*G132,"partial match","no match")),"")</f>
        <v/>
      </c>
      <c r="K132" t="inlineStr">
        <is>
          <t>ih_min_grad</t>
        </is>
      </c>
    </row>
    <row r="133" ht="15" customHeight="1" s="10">
      <c r="A133" t="inlineStr">
        <is>
          <t>configuration D</t>
        </is>
      </c>
      <c r="B133" t="inlineStr">
        <is>
          <t>Intensity histogram</t>
        </is>
      </c>
      <c r="C133" t="inlineStr">
        <is>
          <t>Minimum gradient grey level</t>
        </is>
      </c>
      <c r="D133" t="inlineStr">
        <is>
          <t>MinimumHistogramGradientIntensity</t>
        </is>
      </c>
      <c r="E133" t="inlineStr">
        <is>
          <t>3-5</t>
        </is>
      </c>
      <c r="F133" t="n">
        <v>22</v>
      </c>
      <c r="G133" t="n">
        <v>0.4</v>
      </c>
      <c r="H133" s="6" t="n">
        <v>20</v>
      </c>
      <c r="I133" s="4">
        <f>IFERROR(IF(NOT(H133=""),ABS(ROUNDDOWN(F133-H133, 3 - (1+INT(LOG10(ABS(F133)))))),""),IF(AND(F133=0,NOT(F133="")),ABS(ROUNDDOWN(F133-H133,0)),""))</f>
        <v/>
      </c>
      <c r="J133" s="4">
        <f>IF(NOT(I133=""),IF(I133&lt;=G133,"match",IF(I133&lt;3*G133,"partial match","no match")),"")</f>
        <v/>
      </c>
      <c r="K133" t="inlineStr">
        <is>
          <t>ih_min_grad_g</t>
        </is>
      </c>
    </row>
    <row r="134" ht="15" customHeight="1" s="10">
      <c r="A134" t="inlineStr">
        <is>
          <t>configuration D</t>
        </is>
      </c>
      <c r="B134" t="inlineStr">
        <is>
          <t>Intensity volume histogram</t>
        </is>
      </c>
      <c r="C134" t="inlineStr">
        <is>
          <t>Volume fraction at 10% intensity</t>
        </is>
      </c>
      <c r="D134" s="11" t="inlineStr">
        <is>
          <t>VolumeAtIntensityFraction10</t>
        </is>
      </c>
      <c r="E134" t="inlineStr">
        <is>
          <t>3-5</t>
        </is>
      </c>
      <c r="F134" t="n">
        <v>0.972</v>
      </c>
      <c r="G134" t="n">
        <v>0.003</v>
      </c>
      <c r="H134" s="6" t="n">
        <v>0.97046690843155</v>
      </c>
      <c r="I134" s="4">
        <f>IFERROR(IF(NOT(H134=""),ABS(ROUNDDOWN(F134-H134, 3 - (1+INT(LOG10(ABS(F134)))))),""),IF(AND(F134=0,NOT(F134="")),ABS(ROUNDDOWN(F134-H134,0)),""))</f>
        <v/>
      </c>
      <c r="J134" s="4">
        <f>IF(NOT(I134=""),IF(I134&lt;=G134,"match",IF(I134&lt;3*G134,"partial match","no match")),"")</f>
        <v/>
      </c>
      <c r="K134" t="inlineStr">
        <is>
          <t>ivh_v10</t>
        </is>
      </c>
    </row>
    <row r="135" ht="15" customHeight="1" s="10">
      <c r="A135" t="inlineStr">
        <is>
          <t>configuration D</t>
        </is>
      </c>
      <c r="B135" t="inlineStr">
        <is>
          <t>Intensity volume histogram</t>
        </is>
      </c>
      <c r="C135" t="inlineStr">
        <is>
          <t>Volume fraction at 90% intensity</t>
        </is>
      </c>
      <c r="D135" s="11" t="inlineStr">
        <is>
          <t>VolumeAtIntensityFraction90</t>
        </is>
      </c>
      <c r="E135" t="inlineStr">
        <is>
          <t>3-5</t>
        </is>
      </c>
      <c r="F135" t="n">
        <v>9.000000000000001e-05</v>
      </c>
      <c r="G135" t="n">
        <v>0.000415</v>
      </c>
      <c r="H135" s="8" t="n">
        <v>0.000135992747053448</v>
      </c>
      <c r="I135" s="4">
        <f>IFERROR(IF(NOT(H135=""),ABS(ROUNDDOWN(F135-H135, 3 - (1+INT(LOG10(ABS(F135)))))),""),IF(AND(F135=0,NOT(F135="")),ABS(ROUNDDOWN(F135-H135,0)),""))</f>
        <v/>
      </c>
      <c r="J135" s="4">
        <f>IF(NOT(I135=""),IF(I135&lt;=G135,"match",IF(I135&lt;3*G135,"partial match","no match")),"")</f>
        <v/>
      </c>
      <c r="K135" t="inlineStr">
        <is>
          <t>ivh_v90</t>
        </is>
      </c>
    </row>
    <row r="136" ht="15" customHeight="1" s="10">
      <c r="A136" t="inlineStr">
        <is>
          <t>configuration D</t>
        </is>
      </c>
      <c r="B136" t="inlineStr">
        <is>
          <t>Intensity volume histogram</t>
        </is>
      </c>
      <c r="C136" t="inlineStr">
        <is>
          <t>Intensity at 10% volume</t>
        </is>
      </c>
      <c r="D136" s="11" t="inlineStr">
        <is>
          <t>IntensityAtVolumeFraction10</t>
        </is>
      </c>
      <c r="E136" t="inlineStr">
        <is>
          <t>3-5</t>
        </is>
      </c>
      <c r="F136" t="n">
        <v>87</v>
      </c>
      <c r="G136" t="n">
        <v>0.1</v>
      </c>
      <c r="H136" s="6" t="n">
        <v>87</v>
      </c>
      <c r="I136" s="4">
        <f>IFERROR(IF(NOT(H136=""),ABS(ROUNDDOWN(F136-H136, 3 - (1+INT(LOG10(ABS(F136)))))),""),IF(AND(F136=0,NOT(F136="")),ABS(ROUNDDOWN(F136-H136,0)),""))</f>
        <v/>
      </c>
      <c r="J136" s="4">
        <f>IF(NOT(I136=""),IF(I136&lt;=G136,"match",IF(I136&lt;3*G136,"partial match","no match")),"")</f>
        <v/>
      </c>
      <c r="K136" t="inlineStr">
        <is>
          <t>ivh_i10</t>
        </is>
      </c>
    </row>
    <row r="137" ht="15" customHeight="1" s="10">
      <c r="A137" t="inlineStr">
        <is>
          <t>configuration D</t>
        </is>
      </c>
      <c r="B137" t="inlineStr">
        <is>
          <t>Intensity volume histogram</t>
        </is>
      </c>
      <c r="C137" t="inlineStr">
        <is>
          <t>Intensity at 90% volume</t>
        </is>
      </c>
      <c r="D137" s="11" t="inlineStr">
        <is>
          <t>IntensityAtVolumeFraction90</t>
        </is>
      </c>
      <c r="E137" t="inlineStr">
        <is>
          <t>3-5</t>
        </is>
      </c>
      <c r="F137" t="n">
        <v>-303</v>
      </c>
      <c r="G137" t="n">
        <v>20</v>
      </c>
      <c r="H137" s="6" t="n">
        <v>-284</v>
      </c>
      <c r="I137" s="4">
        <f>IFERROR(IF(NOT(H137=""),ABS(ROUNDDOWN(F137-H137, 3 - (1+INT(LOG10(ABS(F137)))))),""),IF(AND(F137=0,NOT(F137="")),ABS(ROUNDDOWN(F137-H137,0)),""))</f>
        <v/>
      </c>
      <c r="J137" s="4">
        <f>IF(NOT(I137=""),IF(I137&lt;=G137,"match",IF(I137&lt;3*G137,"partial match","no match")),"")</f>
        <v/>
      </c>
      <c r="K137" t="inlineStr">
        <is>
          <t>ivh_i90</t>
        </is>
      </c>
    </row>
    <row r="138" ht="15" customHeight="1" s="10">
      <c r="A138" t="inlineStr">
        <is>
          <t>configuration D</t>
        </is>
      </c>
      <c r="B138" t="inlineStr">
        <is>
          <t>Intensity volume histogram</t>
        </is>
      </c>
      <c r="C138" t="inlineStr">
        <is>
          <t>Volume fraction difference between 10% and 90% intensity</t>
        </is>
      </c>
      <c r="D138" t="inlineStr">
        <is>
          <t>VolumeFractionDifferenceBetweenIntensityFractions</t>
        </is>
      </c>
      <c r="E138" t="inlineStr">
        <is>
          <t>3-5</t>
        </is>
      </c>
      <c r="F138" t="n">
        <v>0.971</v>
      </c>
      <c r="G138" t="n">
        <v>0.001</v>
      </c>
      <c r="H138" s="6" t="n">
        <v>0.970330915684496</v>
      </c>
      <c r="I138" s="4">
        <f>IFERROR(IF(NOT(H138=""),ABS(ROUNDDOWN(F138-H138, 3 - (1+INT(LOG10(ABS(F138)))))),""),IF(AND(F138=0,NOT(F138="")),ABS(ROUNDDOWN(F138-H138,0)),""))</f>
        <v/>
      </c>
      <c r="J138" s="4">
        <f>IF(NOT(I138=""),IF(I138&lt;=G138,"match",IF(I138&lt;3*G138,"partial match","no match")),"")</f>
        <v/>
      </c>
      <c r="K138" t="inlineStr">
        <is>
          <t>ivh_diff_v10_v90</t>
        </is>
      </c>
    </row>
    <row r="139" ht="15" customHeight="1" s="10">
      <c r="A139" t="inlineStr">
        <is>
          <t>configuration D</t>
        </is>
      </c>
      <c r="B139" t="inlineStr">
        <is>
          <t>Intensity volume histogram</t>
        </is>
      </c>
      <c r="C139" t="inlineStr">
        <is>
          <t>Intensity difference between 10% and 90% volume</t>
        </is>
      </c>
      <c r="D139" t="inlineStr">
        <is>
          <t>IntensityFractionDifferenceBetweenVolumeFractions</t>
        </is>
      </c>
      <c r="E139" t="inlineStr">
        <is>
          <t>3-5</t>
        </is>
      </c>
      <c r="F139" t="n">
        <v>390</v>
      </c>
      <c r="G139" t="n">
        <v>20</v>
      </c>
      <c r="H139" s="6" t="n">
        <v>371</v>
      </c>
      <c r="I139" s="4">
        <f>IFERROR(IF(NOT(H139=""),ABS(ROUNDDOWN(F139-H139, 3 - (1+INT(LOG10(ABS(F139)))))),""),IF(AND(F139=0,NOT(F139="")),ABS(ROUNDDOWN(F139-H139,0)),""))</f>
        <v/>
      </c>
      <c r="J139" s="4">
        <f>IF(NOT(I139=""),IF(I139&lt;=G139,"match",IF(I139&lt;3*G139,"partial match","no match")),"")</f>
        <v/>
      </c>
      <c r="K139" t="inlineStr">
        <is>
          <t>ivh_diff_i10_i90</t>
        </is>
      </c>
    </row>
    <row r="140" ht="15" customHeight="1" s="10">
      <c r="A140" t="inlineStr">
        <is>
          <t>configuration D</t>
        </is>
      </c>
      <c r="B140" t="inlineStr">
        <is>
          <t>Intensity volume histogram</t>
        </is>
      </c>
      <c r="C140" t="inlineStr">
        <is>
          <t>Area under the IVH curve</t>
        </is>
      </c>
      <c r="D140" t="inlineStr">
        <is>
          <t>AreaUnderTheIVHCurve</t>
        </is>
      </c>
      <c r="E140" t="inlineStr">
        <is>
          <t>3-5</t>
        </is>
      </c>
      <c r="F140" t="n">
        <v>0.5629999999999999</v>
      </c>
      <c r="G140" t="n">
        <v>0.013</v>
      </c>
      <c r="H140" s="6" t="n"/>
      <c r="I140" s="4">
        <f>IFERROR(IF(NOT(H140=""),ABS(ROUNDDOWN(F140-H140, 3 - (1+INT(LOG10(ABS(F140)))))),""),IF(AND(F140=0,NOT(F140="")),ABS(ROUNDDOWN(F140-H140,0)),""))</f>
        <v/>
      </c>
      <c r="J140" s="4">
        <f>IF(NOT(I140=""),IF(I140&lt;=G140,"match",IF(I140&lt;3*G140,"partial match","no match")),"")</f>
        <v/>
      </c>
      <c r="K140" t="inlineStr">
        <is>
          <t>ivh_auc</t>
        </is>
      </c>
      <c r="L140" t="inlineStr">
        <is>
          <t>not-in-ibsi1-manual</t>
        </is>
      </c>
    </row>
    <row r="141" ht="15" customHeight="1" s="10">
      <c r="A141" t="inlineStr">
        <is>
          <t>configuration D</t>
        </is>
      </c>
      <c r="B141" t="inlineStr">
        <is>
          <t>Co-occurrence matrix (3D, averaged)</t>
        </is>
      </c>
      <c r="C141" t="inlineStr">
        <is>
          <t>Joint maximum</t>
        </is>
      </c>
      <c r="D141" t="inlineStr">
        <is>
          <t>JointMaximum</t>
        </is>
      </c>
      <c r="E141" t="inlineStr">
        <is>
          <t>3-5</t>
        </is>
      </c>
      <c r="F141" t="n">
        <v>0.232</v>
      </c>
      <c r="G141" t="n">
        <v>0.007</v>
      </c>
      <c r="H141" s="6" t="n">
        <v>0.260731706105437</v>
      </c>
      <c r="I141" s="4">
        <f>IFERROR(IF(NOT(H141=""),ABS(ROUNDDOWN(F141-H141, 3 - (1+INT(LOG10(ABS(F141)))))),""),IF(AND(F141=0,NOT(F141="")),ABS(ROUNDDOWN(F141-H141,0)),""))</f>
        <v/>
      </c>
      <c r="J141" s="4">
        <f>IF(NOT(I141=""),IF(I141&lt;=G141,"match",IF(I141&lt;3*G141,"partial match","no match")),"")</f>
        <v/>
      </c>
      <c r="K141" t="inlineStr">
        <is>
          <t>cm_joint_max_3D_avg</t>
        </is>
      </c>
    </row>
    <row r="142" ht="15" customHeight="1" s="10">
      <c r="A142" t="inlineStr">
        <is>
          <t>configuration D</t>
        </is>
      </c>
      <c r="B142" t="inlineStr">
        <is>
          <t>Co-occurrence matrix (3D, averaged)</t>
        </is>
      </c>
      <c r="C142" t="inlineStr">
        <is>
          <t>Joint average</t>
        </is>
      </c>
      <c r="D142" t="inlineStr">
        <is>
          <t>JointAverage</t>
        </is>
      </c>
      <c r="E142" t="inlineStr">
        <is>
          <t>6-9</t>
        </is>
      </c>
      <c r="F142" t="n">
        <v>18.9</v>
      </c>
      <c r="G142" t="n">
        <v>0.5</v>
      </c>
      <c r="H142" s="6" t="n">
        <v>17.5291515660469</v>
      </c>
      <c r="I142" s="4">
        <f>IFERROR(IF(NOT(H142=""),ABS(ROUNDDOWN(F142-H142, 3 - (1+INT(LOG10(ABS(F142)))))),""),IF(AND(F142=0,NOT(F142="")),ABS(ROUNDDOWN(F142-H142,0)),""))</f>
        <v/>
      </c>
      <c r="J142" s="4">
        <f>IF(NOT(I142=""),IF(I142&lt;=G142,"match",IF(I142&lt;3*G142,"partial match","no match")),"")</f>
        <v/>
      </c>
      <c r="K142" t="inlineStr">
        <is>
          <t>cm_joint_avg_3D_avg</t>
        </is>
      </c>
    </row>
    <row r="143" ht="15" customHeight="1" s="10">
      <c r="A143" t="inlineStr">
        <is>
          <t>configuration D</t>
        </is>
      </c>
      <c r="B143" t="inlineStr">
        <is>
          <t>Co-occurrence matrix (3D, averaged)</t>
        </is>
      </c>
      <c r="C143" t="inlineStr">
        <is>
          <t>Joint variance</t>
        </is>
      </c>
      <c r="D143" t="inlineStr">
        <is>
          <t>JointVariance</t>
        </is>
      </c>
      <c r="E143" t="inlineStr">
        <is>
          <t>3-5</t>
        </is>
      </c>
      <c r="F143" t="n">
        <v>17.6</v>
      </c>
      <c r="G143" t="n">
        <v>0.4</v>
      </c>
      <c r="H143" s="6" t="n">
        <v>14.4445578514901</v>
      </c>
      <c r="I143" s="4">
        <f>IFERROR(IF(NOT(H143=""),ABS(ROUNDDOWN(F143-H143, 3 - (1+INT(LOG10(ABS(F143)))))),""),IF(AND(F143=0,NOT(F143="")),ABS(ROUNDDOWN(F143-H143,0)),""))</f>
        <v/>
      </c>
      <c r="J143" s="4">
        <f>IF(NOT(I143=""),IF(I143&lt;=G143,"match",IF(I143&lt;3*G143,"partial match","no match")),"")</f>
        <v/>
      </c>
      <c r="K143" t="inlineStr">
        <is>
          <t>cm_joint_var_3D_avg</t>
        </is>
      </c>
    </row>
    <row r="144" ht="15" customHeight="1" s="10">
      <c r="A144" t="inlineStr">
        <is>
          <t>configuration D</t>
        </is>
      </c>
      <c r="B144" t="inlineStr">
        <is>
          <t>Co-occurrence matrix (3D, averaged)</t>
        </is>
      </c>
      <c r="C144" t="inlineStr">
        <is>
          <t>Joint entropy</t>
        </is>
      </c>
      <c r="D144" t="inlineStr">
        <is>
          <t>JointEntropy</t>
        </is>
      </c>
      <c r="E144" t="inlineStr">
        <is>
          <t>3-5</t>
        </is>
      </c>
      <c r="F144" t="n">
        <v>4.95</v>
      </c>
      <c r="G144" t="n">
        <v>0.03</v>
      </c>
      <c r="H144" s="6" t="n">
        <v>4.81885874307348</v>
      </c>
      <c r="I144" s="4">
        <f>IFERROR(IF(NOT(H144=""),ABS(ROUNDDOWN(F144-H144, 3 - (1+INT(LOG10(ABS(F144)))))),""),IF(AND(F144=0,NOT(F144="")),ABS(ROUNDDOWN(F144-H144,0)),""))</f>
        <v/>
      </c>
      <c r="J144" s="4">
        <f>IF(NOT(I144=""),IF(I144&lt;=G144,"match",IF(I144&lt;3*G144,"partial match","no match")),"")</f>
        <v/>
      </c>
      <c r="K144" t="inlineStr">
        <is>
          <t>cm_joint_entr_3D_avg</t>
        </is>
      </c>
    </row>
    <row r="145" ht="15" customHeight="1" s="10">
      <c r="A145" t="inlineStr">
        <is>
          <t>configuration D</t>
        </is>
      </c>
      <c r="B145" t="inlineStr">
        <is>
          <t>Co-occurrence matrix (3D, averaged)</t>
        </is>
      </c>
      <c r="C145" t="inlineStr">
        <is>
          <t>Difference average</t>
        </is>
      </c>
      <c r="D145" t="inlineStr">
        <is>
          <t>DifferenceAverage</t>
        </is>
      </c>
      <c r="E145" t="inlineStr">
        <is>
          <t>3-5</t>
        </is>
      </c>
      <c r="F145" t="n">
        <v>1.29</v>
      </c>
      <c r="G145" t="n">
        <v>0.01</v>
      </c>
      <c r="H145" s="6" t="n">
        <v>1.21165805925196</v>
      </c>
      <c r="I145" s="4">
        <f>IFERROR(IF(NOT(H145=""),ABS(ROUNDDOWN(F145-H145, 3 - (1+INT(LOG10(ABS(F145)))))),""),IF(AND(F145=0,NOT(F145="")),ABS(ROUNDDOWN(F145-H145,0)),""))</f>
        <v/>
      </c>
      <c r="J145" s="4">
        <f>IF(NOT(I145=""),IF(I145&lt;=G145,"match",IF(I145&lt;3*G145,"partial match","no match")),"")</f>
        <v/>
      </c>
      <c r="K145" t="inlineStr">
        <is>
          <t>cm_diff_avg_3D_avg</t>
        </is>
      </c>
    </row>
    <row r="146" ht="15" customHeight="1" s="10">
      <c r="A146" t="inlineStr">
        <is>
          <t>configuration D</t>
        </is>
      </c>
      <c r="B146" t="inlineStr">
        <is>
          <t>Co-occurrence matrix (3D, averaged)</t>
        </is>
      </c>
      <c r="C146" t="inlineStr">
        <is>
          <t>Difference variance</t>
        </is>
      </c>
      <c r="D146" t="inlineStr">
        <is>
          <t>DifferenceVariance</t>
        </is>
      </c>
      <c r="E146" t="inlineStr">
        <is>
          <t>3-5</t>
        </is>
      </c>
      <c r="F146" t="n">
        <v>5.37</v>
      </c>
      <c r="G146" t="n">
        <v>0.11</v>
      </c>
      <c r="H146" s="6" t="n">
        <v>4.60236146125116</v>
      </c>
      <c r="I146" s="4">
        <f>IFERROR(IF(NOT(H146=""),ABS(ROUNDDOWN(F146-H146, 3 - (1+INT(LOG10(ABS(F146)))))),""),IF(AND(F146=0,NOT(F146="")),ABS(ROUNDDOWN(F146-H146,0)),""))</f>
        <v/>
      </c>
      <c r="J146" s="4">
        <f>IF(NOT(I146=""),IF(I146&lt;=G146,"match",IF(I146&lt;3*G146,"partial match","no match")),"")</f>
        <v/>
      </c>
      <c r="K146" t="inlineStr">
        <is>
          <t>cm_diff_var_3D_avg</t>
        </is>
      </c>
    </row>
    <row r="147" ht="15" customHeight="1" s="10">
      <c r="A147" t="inlineStr">
        <is>
          <t>configuration D</t>
        </is>
      </c>
      <c r="B147" t="inlineStr">
        <is>
          <t>Co-occurrence matrix (3D, averaged)</t>
        </is>
      </c>
      <c r="C147" t="inlineStr">
        <is>
          <t>Difference entropy</t>
        </is>
      </c>
      <c r="D147" t="inlineStr">
        <is>
          <t>DifferenceEntropy</t>
        </is>
      </c>
      <c r="E147" t="inlineStr">
        <is>
          <t>3-5</t>
        </is>
      </c>
      <c r="F147" t="n">
        <v>2.13</v>
      </c>
      <c r="G147" t="n">
        <v>0.01</v>
      </c>
      <c r="H147" s="6" t="n">
        <v>2.07251533990302</v>
      </c>
      <c r="I147" s="4">
        <f>IFERROR(IF(NOT(H147=""),ABS(ROUNDDOWN(F147-H147, 3 - (1+INT(LOG10(ABS(F147)))))),""),IF(AND(F147=0,NOT(F147="")),ABS(ROUNDDOWN(F147-H147,0)),""))</f>
        <v/>
      </c>
      <c r="J147" s="4">
        <f>IF(NOT(I147=""),IF(I147&lt;=G147,"match",IF(I147&lt;3*G147,"partial match","no match")),"")</f>
        <v/>
      </c>
      <c r="K147" t="inlineStr">
        <is>
          <t>cm_diff_entr_3D_avg</t>
        </is>
      </c>
    </row>
    <row r="148" ht="15" customHeight="1" s="10">
      <c r="A148" t="inlineStr">
        <is>
          <t>configuration D</t>
        </is>
      </c>
      <c r="B148" t="inlineStr">
        <is>
          <t>Co-occurrence matrix (3D, averaged)</t>
        </is>
      </c>
      <c r="C148" t="inlineStr">
        <is>
          <t>Sum average</t>
        </is>
      </c>
      <c r="D148" t="inlineStr">
        <is>
          <t>SumAverage</t>
        </is>
      </c>
      <c r="E148" t="inlineStr">
        <is>
          <t>6-9</t>
        </is>
      </c>
      <c r="F148" t="n">
        <v>37.7</v>
      </c>
      <c r="G148" t="n">
        <v>0.8</v>
      </c>
      <c r="H148" s="6" t="n">
        <v>35.0583031320939</v>
      </c>
      <c r="I148" s="4">
        <f>IFERROR(IF(NOT(H148=""),ABS(ROUNDDOWN(F148-H148, 3 - (1+INT(LOG10(ABS(F148)))))),""),IF(AND(F148=0,NOT(F148="")),ABS(ROUNDDOWN(F148-H148,0)),""))</f>
        <v/>
      </c>
      <c r="J148" s="4">
        <f>IF(NOT(I148=""),IF(I148&lt;=G148,"match",IF(I148&lt;3*G148,"partial match","no match")),"")</f>
        <v/>
      </c>
      <c r="K148" t="inlineStr">
        <is>
          <t>cm_sum_avg_3D_avg</t>
        </is>
      </c>
    </row>
    <row r="149" ht="15" customHeight="1" s="10">
      <c r="A149" t="inlineStr">
        <is>
          <t>configuration D</t>
        </is>
      </c>
      <c r="B149" t="inlineStr">
        <is>
          <t>Co-occurrence matrix (3D, averaged)</t>
        </is>
      </c>
      <c r="C149" t="inlineStr">
        <is>
          <t>Sum variance</t>
        </is>
      </c>
      <c r="D149" t="inlineStr">
        <is>
          <t>SumVariance</t>
        </is>
      </c>
      <c r="E149" t="inlineStr">
        <is>
          <t>3-5</t>
        </is>
      </c>
      <c r="F149" t="n">
        <v>63.4</v>
      </c>
      <c r="G149" t="n">
        <v>1.3</v>
      </c>
      <c r="H149" s="6" t="n">
        <v>51.681426174385</v>
      </c>
      <c r="I149" s="4">
        <f>IFERROR(IF(NOT(H149=""),ABS(ROUNDDOWN(F149-H149, 3 - (1+INT(LOG10(ABS(F149)))))),""),IF(AND(F149=0,NOT(F149="")),ABS(ROUNDDOWN(F149-H149,0)),""))</f>
        <v/>
      </c>
      <c r="J149" s="4">
        <f>IF(NOT(I149=""),IF(I149&lt;=G149,"match",IF(I149&lt;3*G149,"partial match","no match")),"")</f>
        <v/>
      </c>
      <c r="K149" t="inlineStr">
        <is>
          <t>cm_sum_var_3D_avg</t>
        </is>
      </c>
    </row>
    <row r="150" ht="15" customHeight="1" s="10">
      <c r="A150" t="inlineStr">
        <is>
          <t>configuration D</t>
        </is>
      </c>
      <c r="B150" t="inlineStr">
        <is>
          <t>Co-occurrence matrix (3D, averaged)</t>
        </is>
      </c>
      <c r="C150" t="inlineStr">
        <is>
          <t>Sum entropy</t>
        </is>
      </c>
      <c r="D150" t="inlineStr">
        <is>
          <t>SumEntropy</t>
        </is>
      </c>
      <c r="E150" t="inlineStr">
        <is>
          <t>3-5</t>
        </is>
      </c>
      <c r="F150" t="n">
        <v>3.68</v>
      </c>
      <c r="G150" t="n">
        <v>0.02</v>
      </c>
      <c r="H150" s="6" t="n">
        <v>3.59662380833827</v>
      </c>
      <c r="I150" s="4">
        <f>IFERROR(IF(NOT(H150=""),ABS(ROUNDDOWN(F150-H150, 3 - (1+INT(LOG10(ABS(F150)))))),""),IF(AND(F150=0,NOT(F150="")),ABS(ROUNDDOWN(F150-H150,0)),""))</f>
        <v/>
      </c>
      <c r="J150" s="4">
        <f>IF(NOT(I150=""),IF(I150&lt;=G150,"match",IF(I150&lt;3*G150,"partial match","no match")),"")</f>
        <v/>
      </c>
      <c r="K150" t="inlineStr">
        <is>
          <t>cm_sum_entr_3D_avg</t>
        </is>
      </c>
    </row>
    <row r="151" ht="15" customHeight="1" s="10">
      <c r="A151" t="inlineStr">
        <is>
          <t>configuration D</t>
        </is>
      </c>
      <c r="B151" t="inlineStr">
        <is>
          <t>Co-occurrence matrix (3D, averaged)</t>
        </is>
      </c>
      <c r="C151" t="inlineStr">
        <is>
          <t>Angular second moment</t>
        </is>
      </c>
      <c r="D151" t="inlineStr">
        <is>
          <t>AngularSecondMoment</t>
        </is>
      </c>
      <c r="E151" t="inlineStr">
        <is>
          <t>3-5</t>
        </is>
      </c>
      <c r="F151" t="n">
        <v>0.11</v>
      </c>
      <c r="G151" t="n">
        <v>0.003</v>
      </c>
      <c r="H151" s="6" t="n">
        <v>0.10857321335483</v>
      </c>
      <c r="I151" s="4">
        <f>IFERROR(IF(NOT(H151=""),ABS(ROUNDDOWN(F151-H151, 3 - (1+INT(LOG10(ABS(F151)))))),""),IF(AND(F151=0,NOT(F151="")),ABS(ROUNDDOWN(F151-H151,0)),""))</f>
        <v/>
      </c>
      <c r="J151" s="4">
        <f>IF(NOT(I151=""),IF(I151&lt;=G151,"match",IF(I151&lt;3*G151,"partial match","no match")),"")</f>
        <v/>
      </c>
      <c r="K151" t="inlineStr">
        <is>
          <t>cm_energy_3D_avg</t>
        </is>
      </c>
    </row>
    <row r="152" ht="15" customHeight="1" s="10">
      <c r="A152" t="inlineStr">
        <is>
          <t>configuration D</t>
        </is>
      </c>
      <c r="B152" t="inlineStr">
        <is>
          <t>Co-occurrence matrix (3D, averaged)</t>
        </is>
      </c>
      <c r="C152" t="inlineStr">
        <is>
          <t>Contrast</t>
        </is>
      </c>
      <c r="D152" t="inlineStr">
        <is>
          <t>Contrast</t>
        </is>
      </c>
      <c r="E152" t="inlineStr">
        <is>
          <t>3-5</t>
        </is>
      </c>
      <c r="F152" t="n">
        <v>7.07</v>
      </c>
      <c r="G152" t="n">
        <v>0.13</v>
      </c>
      <c r="H152" s="6" t="n">
        <v>6.09680523157536</v>
      </c>
      <c r="I152" s="4">
        <f>IFERROR(IF(NOT(H152=""),ABS(ROUNDDOWN(F152-H152, 3 - (1+INT(LOG10(ABS(F152)))))),""),IF(AND(F152=0,NOT(F152="")),ABS(ROUNDDOWN(F152-H152,0)),""))</f>
        <v/>
      </c>
      <c r="J152" s="4">
        <f>IF(NOT(I152=""),IF(I152&lt;=G152,"match",IF(I152&lt;3*G152,"partial match","no match")),"")</f>
        <v/>
      </c>
      <c r="K152" t="inlineStr">
        <is>
          <t>cm_contrast_3D_avg</t>
        </is>
      </c>
    </row>
    <row r="153" ht="15" customHeight="1" s="10">
      <c r="A153" t="inlineStr">
        <is>
          <t>configuration D</t>
        </is>
      </c>
      <c r="B153" t="inlineStr">
        <is>
          <t>Co-occurrence matrix (3D, averaged)</t>
        </is>
      </c>
      <c r="C153" t="inlineStr">
        <is>
          <t>Dissimilarity</t>
        </is>
      </c>
      <c r="D153" t="inlineStr">
        <is>
          <t>Dissimilarity</t>
        </is>
      </c>
      <c r="E153" t="inlineStr">
        <is>
          <t>3-5</t>
        </is>
      </c>
      <c r="F153" t="n">
        <v>1.29</v>
      </c>
      <c r="G153" t="n">
        <v>0.01</v>
      </c>
      <c r="H153" s="6" t="n">
        <v>1.21165805925196</v>
      </c>
      <c r="I153" s="4">
        <f>IFERROR(IF(NOT(H153=""),ABS(ROUNDDOWN(F153-H153, 3 - (1+INT(LOG10(ABS(F153)))))),""),IF(AND(F153=0,NOT(F153="")),ABS(ROUNDDOWN(F153-H153,0)),""))</f>
        <v/>
      </c>
      <c r="J153" s="4">
        <f>IF(NOT(I153=""),IF(I153&lt;=G153,"match",IF(I153&lt;3*G153,"partial match","no match")),"")</f>
        <v/>
      </c>
      <c r="K153" t="inlineStr">
        <is>
          <t>cm_dissimilarity_3D_avg</t>
        </is>
      </c>
    </row>
    <row r="154" ht="15" customHeight="1" s="10">
      <c r="A154" t="inlineStr">
        <is>
          <t>configuration D</t>
        </is>
      </c>
      <c r="B154" t="inlineStr">
        <is>
          <t>Co-occurrence matrix (3D, averaged)</t>
        </is>
      </c>
      <c r="C154" t="inlineStr">
        <is>
          <t>Inverse difference</t>
        </is>
      </c>
      <c r="D154" t="inlineStr">
        <is>
          <t>InverseDifference</t>
        </is>
      </c>
      <c r="E154" t="inlineStr">
        <is>
          <t>3-5</t>
        </is>
      </c>
      <c r="F154" t="n">
        <v>0.6820000000000001</v>
      </c>
      <c r="G154" t="n">
        <v>0.003</v>
      </c>
      <c r="H154" s="6" t="n">
        <v>0.686437736694154</v>
      </c>
      <c r="I154" s="4">
        <f>IFERROR(IF(NOT(H154=""),ABS(ROUNDDOWN(F154-H154, 3 - (1+INT(LOG10(ABS(F154)))))),""),IF(AND(F154=0,NOT(F154="")),ABS(ROUNDDOWN(F154-H154,0)),""))</f>
        <v/>
      </c>
      <c r="J154" s="4">
        <f>IF(NOT(I154=""),IF(I154&lt;=G154,"match",IF(I154&lt;3*G154,"partial match","no match")),"")</f>
        <v/>
      </c>
      <c r="K154" t="inlineStr">
        <is>
          <t>cm_inv_diff_3D_avg</t>
        </is>
      </c>
    </row>
    <row r="155" ht="15" customHeight="1" s="10">
      <c r="A155" t="inlineStr">
        <is>
          <t>configuration D</t>
        </is>
      </c>
      <c r="B155" t="inlineStr">
        <is>
          <t>Co-occurrence matrix (3D, averaged)</t>
        </is>
      </c>
      <c r="C155" t="inlineStr">
        <is>
          <t>Inverse difference normalised</t>
        </is>
      </c>
      <c r="D155" t="inlineStr">
        <is>
          <t>NormalizedInverseDifference</t>
        </is>
      </c>
      <c r="E155" t="inlineStr">
        <is>
          <t>3-5</t>
        </is>
      </c>
      <c r="F155" t="n">
        <v>0.965</v>
      </c>
      <c r="G155" t="n">
        <v>0.001</v>
      </c>
      <c r="H155" s="6" t="n">
        <v>0.966923014918344</v>
      </c>
      <c r="I155" s="4">
        <f>IFERROR(IF(NOT(H155=""),ABS(ROUNDDOWN(F155-H155, 3 - (1+INT(LOG10(ABS(F155)))))),""),IF(AND(F155=0,NOT(F155="")),ABS(ROUNDDOWN(F155-H155,0)),""))</f>
        <v/>
      </c>
      <c r="J155" s="4">
        <f>IF(NOT(I155=""),IF(I155&lt;=G155,"match",IF(I155&lt;3*G155,"partial match","no match")),"")</f>
        <v/>
      </c>
      <c r="K155" t="inlineStr">
        <is>
          <t>cm_inv_diff_norm_3D_avg</t>
        </is>
      </c>
    </row>
    <row r="156" ht="15" customHeight="1" s="10">
      <c r="A156" t="inlineStr">
        <is>
          <t>configuration D</t>
        </is>
      </c>
      <c r="B156" t="inlineStr">
        <is>
          <t>Co-occurrence matrix (3D, averaged)</t>
        </is>
      </c>
      <c r="C156" t="inlineStr">
        <is>
          <t>Inverse difference moment</t>
        </is>
      </c>
      <c r="D156" t="inlineStr">
        <is>
          <t>InverseDifferenceMoment</t>
        </is>
      </c>
      <c r="E156" t="inlineStr">
        <is>
          <t>3-5</t>
        </is>
      </c>
      <c r="F156" t="n">
        <v>0.656</v>
      </c>
      <c r="G156" t="n">
        <v>0.003</v>
      </c>
      <c r="H156" s="6" t="n">
        <v>0.6623069137597291</v>
      </c>
      <c r="I156" s="4">
        <f>IFERROR(IF(NOT(H156=""),ABS(ROUNDDOWN(F156-H156, 3 - (1+INT(LOG10(ABS(F156)))))),""),IF(AND(F156=0,NOT(F156="")),ABS(ROUNDDOWN(F156-H156,0)),""))</f>
        <v/>
      </c>
      <c r="J156" s="4">
        <f>IF(NOT(I156=""),IF(I156&lt;=G156,"match",IF(I156&lt;3*G156,"partial match","no match")),"")</f>
        <v/>
      </c>
      <c r="K156" t="inlineStr">
        <is>
          <t>cm_inv_diff_mom_3D_avg</t>
        </is>
      </c>
    </row>
    <row r="157" ht="15" customHeight="1" s="10">
      <c r="A157" t="inlineStr">
        <is>
          <t>configuration D</t>
        </is>
      </c>
      <c r="B157" t="inlineStr">
        <is>
          <t>Co-occurrence matrix (3D, averaged)</t>
        </is>
      </c>
      <c r="C157" t="inlineStr">
        <is>
          <t>Inverse difference moment normalised</t>
        </is>
      </c>
      <c r="D157" t="inlineStr">
        <is>
          <t>NormalizedInverseDifferenceMoment</t>
        </is>
      </c>
      <c r="E157" t="inlineStr">
        <is>
          <t>3-5</t>
        </is>
      </c>
      <c r="F157" t="n">
        <v>0.994</v>
      </c>
      <c r="G157" t="n">
        <v>0.001</v>
      </c>
      <c r="H157" s="8" t="n">
        <v>0.99448276698934</v>
      </c>
      <c r="I157" s="4">
        <f>IFERROR(IF(NOT(H157=""),ABS(ROUNDDOWN(F157-H157, 3 - (1+INT(LOG10(ABS(F157)))))),""),IF(AND(F157=0,NOT(F157="")),ABS(ROUNDDOWN(F157-H157,0)),""))</f>
        <v/>
      </c>
      <c r="J157" s="4">
        <f>IF(NOT(I157=""),IF(I157&lt;=G157,"match",IF(I157&lt;3*G157,"partial match","no match")),"")</f>
        <v/>
      </c>
      <c r="K157" t="inlineStr">
        <is>
          <t>cm_inv_diff_mom_norm_3D_avg</t>
        </is>
      </c>
    </row>
    <row r="158" ht="15" customHeight="1" s="10">
      <c r="A158" t="inlineStr">
        <is>
          <t>configuration D</t>
        </is>
      </c>
      <c r="B158" t="inlineStr">
        <is>
          <t>Co-occurrence matrix (3D, averaged)</t>
        </is>
      </c>
      <c r="C158" t="inlineStr">
        <is>
          <t>Inverse variance</t>
        </is>
      </c>
      <c r="D158" t="inlineStr">
        <is>
          <t>InverseVariance</t>
        </is>
      </c>
      <c r="E158" t="inlineStr">
        <is>
          <t>3-5</t>
        </is>
      </c>
      <c r="F158" t="n">
        <v>0.341</v>
      </c>
      <c r="G158" t="n">
        <v>0.005</v>
      </c>
      <c r="H158" s="6" t="n">
        <v>0.349830286639729</v>
      </c>
      <c r="I158" s="4">
        <f>IFERROR(IF(NOT(H158=""),ABS(ROUNDDOWN(F158-H158, 3 - (1+INT(LOG10(ABS(F158)))))),""),IF(AND(F158=0,NOT(F158="")),ABS(ROUNDDOWN(F158-H158,0)),""))</f>
        <v/>
      </c>
      <c r="J158" s="4">
        <f>IF(NOT(I158=""),IF(I158&lt;=G158,"match",IF(I158&lt;3*G158,"partial match","no match")),"")</f>
        <v/>
      </c>
      <c r="K158" t="inlineStr">
        <is>
          <t>cm_inv_var_3D_avg</t>
        </is>
      </c>
    </row>
    <row r="159" ht="15" customHeight="1" s="10">
      <c r="A159" t="inlineStr">
        <is>
          <t>configuration D</t>
        </is>
      </c>
      <c r="B159" t="inlineStr">
        <is>
          <t>Co-occurrence matrix (3D, averaged)</t>
        </is>
      </c>
      <c r="C159" t="inlineStr">
        <is>
          <t>Correlation</t>
        </is>
      </c>
      <c r="D159" t="inlineStr">
        <is>
          <t>Correlation</t>
        </is>
      </c>
      <c r="E159" t="inlineStr">
        <is>
          <t>6-9</t>
        </is>
      </c>
      <c r="F159" t="n">
        <v>0.798</v>
      </c>
      <c r="G159" t="n">
        <v>0.005</v>
      </c>
      <c r="H159" s="6" t="n">
        <v>0.78738666155014</v>
      </c>
      <c r="I159" s="4">
        <f>IFERROR(IF(NOT(H159=""),ABS(ROUNDDOWN(F159-H159, 3 - (1+INT(LOG10(ABS(F159)))))),""),IF(AND(F159=0,NOT(F159="")),ABS(ROUNDDOWN(F159-H159,0)),""))</f>
        <v/>
      </c>
      <c r="J159" s="4">
        <f>IF(NOT(I159=""),IF(I159&lt;=G159,"match",IF(I159&lt;3*G159,"partial match","no match")),"")</f>
        <v/>
      </c>
      <c r="K159" t="inlineStr">
        <is>
          <t>cm_corr_3D_avg</t>
        </is>
      </c>
    </row>
    <row r="160" ht="15" customHeight="1" s="10">
      <c r="A160" t="inlineStr">
        <is>
          <t>configuration D</t>
        </is>
      </c>
      <c r="B160" t="inlineStr">
        <is>
          <t>Co-occurrence matrix (3D, averaged)</t>
        </is>
      </c>
      <c r="C160" t="inlineStr">
        <is>
          <t>Autocorrelation</t>
        </is>
      </c>
      <c r="D160" t="inlineStr">
        <is>
          <t>Autocorrection</t>
        </is>
      </c>
      <c r="E160" t="inlineStr">
        <is>
          <t>6-9</t>
        </is>
      </c>
      <c r="F160" t="n">
        <v>370</v>
      </c>
      <c r="G160" t="n">
        <v>16</v>
      </c>
      <c r="H160" s="6" t="n">
        <v>318.669400894594</v>
      </c>
      <c r="I160" s="4">
        <f>IFERROR(IF(NOT(H160=""),ABS(ROUNDDOWN(F160-H160, 3 - (1+INT(LOG10(ABS(F160)))))),""),IF(AND(F160=0,NOT(F160="")),ABS(ROUNDDOWN(F160-H160,0)),""))</f>
        <v/>
      </c>
      <c r="J160" s="4">
        <f>IF(NOT(I160=""),IF(I160&lt;=G160,"match",IF(I160&lt;3*G160,"partial match","no match")),"")</f>
        <v/>
      </c>
      <c r="K160" t="inlineStr">
        <is>
          <t>cm_auto_corr_3D_avg</t>
        </is>
      </c>
    </row>
    <row r="161" ht="15" customHeight="1" s="10">
      <c r="A161" t="inlineStr">
        <is>
          <t>configuration D</t>
        </is>
      </c>
      <c r="B161" t="inlineStr">
        <is>
          <t>Co-occurrence matrix (3D, averaged)</t>
        </is>
      </c>
      <c r="C161" t="inlineStr">
        <is>
          <t>Cluster tendency</t>
        </is>
      </c>
      <c r="D161" t="inlineStr">
        <is>
          <t>ClusterTendency</t>
        </is>
      </c>
      <c r="E161" t="inlineStr">
        <is>
          <t>3-5</t>
        </is>
      </c>
      <c r="F161" t="n">
        <v>63.4</v>
      </c>
      <c r="G161" t="n">
        <v>1.3</v>
      </c>
      <c r="H161" s="6" t="n">
        <v>51.681426174385</v>
      </c>
      <c r="I161" s="4">
        <f>IFERROR(IF(NOT(H161=""),ABS(ROUNDDOWN(F161-H161, 3 - (1+INT(LOG10(ABS(F161)))))),""),IF(AND(F161=0,NOT(F161="")),ABS(ROUNDDOWN(F161-H161,0)),""))</f>
        <v/>
      </c>
      <c r="J161" s="4">
        <f>IF(NOT(I161=""),IF(I161&lt;=G161,"match",IF(I161&lt;3*G161,"partial match","no match")),"")</f>
        <v/>
      </c>
      <c r="K161" t="inlineStr">
        <is>
          <t>cm_clust_tend_3D_avg</t>
        </is>
      </c>
    </row>
    <row r="162" ht="15" customHeight="1" s="10">
      <c r="A162" t="inlineStr">
        <is>
          <t>configuration D</t>
        </is>
      </c>
      <c r="B162" t="inlineStr">
        <is>
          <t>Co-occurrence matrix (3D, averaged)</t>
        </is>
      </c>
      <c r="C162" t="inlineStr">
        <is>
          <t>Cluster shade</t>
        </is>
      </c>
      <c r="D162" t="inlineStr">
        <is>
          <t>ClusterShade</t>
        </is>
      </c>
      <c r="E162" t="inlineStr">
        <is>
          <t>3-5</t>
        </is>
      </c>
      <c r="F162" t="n">
        <v>-1270</v>
      </c>
      <c r="G162" t="n">
        <v>40</v>
      </c>
      <c r="H162" s="6" t="n">
        <v>-955.024545727582</v>
      </c>
      <c r="I162" s="4">
        <f>IFERROR(IF(NOT(H162=""),ABS(ROUNDDOWN(F162-H162, 3 - (1+INT(LOG10(ABS(F162)))))),""),IF(AND(F162=0,NOT(F162="")),ABS(ROUNDDOWN(F162-H162,0)),""))</f>
        <v/>
      </c>
      <c r="J162" s="4">
        <f>IF(NOT(I162=""),IF(I162&lt;=G162,"match",IF(I162&lt;3*G162,"partial match","no match")),"")</f>
        <v/>
      </c>
      <c r="K162" t="inlineStr">
        <is>
          <t>cm_clust_shade_3D_avg</t>
        </is>
      </c>
    </row>
    <row r="163" ht="15" customHeight="1" s="10">
      <c r="A163" t="inlineStr">
        <is>
          <t>configuration D</t>
        </is>
      </c>
      <c r="B163" t="inlineStr">
        <is>
          <t>Co-occurrence matrix (3D, averaged)</t>
        </is>
      </c>
      <c r="C163" t="inlineStr">
        <is>
          <t>Cluster prominence</t>
        </is>
      </c>
      <c r="D163" t="inlineStr">
        <is>
          <t>ClusterProminence</t>
        </is>
      </c>
      <c r="E163" t="inlineStr">
        <is>
          <t>3-5</t>
        </is>
      </c>
      <c r="F163" t="n">
        <v>35700</v>
      </c>
      <c r="G163" t="n">
        <v>1400</v>
      </c>
      <c r="H163" s="6" t="n">
        <v>24674.5838517623</v>
      </c>
      <c r="I163" s="4">
        <f>IFERROR(IF(NOT(H163=""),ABS(ROUNDDOWN(F163-H163, 3 - (1+INT(LOG10(ABS(F163)))))),""),IF(AND(F163=0,NOT(F163="")),ABS(ROUNDDOWN(F163-H163,0)),""))</f>
        <v/>
      </c>
      <c r="J163" s="4">
        <f>IF(NOT(I163=""),IF(I163&lt;=G163,"match",IF(I163&lt;3*G163,"partial match","no match")),"")</f>
        <v/>
      </c>
      <c r="K163" t="inlineStr">
        <is>
          <t>cm_clust_prom_3D_avg</t>
        </is>
      </c>
    </row>
    <row r="164" ht="15" customHeight="1" s="10">
      <c r="A164" t="inlineStr">
        <is>
          <t>configuration D</t>
        </is>
      </c>
      <c r="B164" t="inlineStr">
        <is>
          <t>Co-occurrence matrix (3D, averaged)</t>
        </is>
      </c>
      <c r="C164" t="inlineStr">
        <is>
          <t>Information correlation 1</t>
        </is>
      </c>
      <c r="D164" t="inlineStr">
        <is>
          <t>InformationalMeasureOfCorrelation1</t>
        </is>
      </c>
      <c r="E164" t="inlineStr">
        <is>
          <t>3-5</t>
        </is>
      </c>
      <c r="F164" t="n">
        <v>-0.231</v>
      </c>
      <c r="G164" t="n">
        <v>0.003</v>
      </c>
      <c r="H164" s="6" t="n">
        <v>-0.227814573813085</v>
      </c>
      <c r="I164" s="4">
        <f>IFERROR(IF(NOT(H164=""),ABS(ROUNDDOWN(F164-H164, 3 - (1+INT(LOG10(ABS(F164)))))),""),IF(AND(F164=0,NOT(F164="")),ABS(ROUNDDOWN(F164-H164,0)),""))</f>
        <v/>
      </c>
      <c r="J164" s="4">
        <f>IF(NOT(I164=""),IF(I164&lt;=G164,"match",IF(I164&lt;3*G164,"partial match","no match")),"")</f>
        <v/>
      </c>
      <c r="K164" t="inlineStr">
        <is>
          <t>cm_info_corr1_3D_avg</t>
        </is>
      </c>
    </row>
    <row r="165" ht="15" customHeight="1" s="10">
      <c r="A165" t="inlineStr">
        <is>
          <t>configuration D</t>
        </is>
      </c>
      <c r="B165" t="inlineStr">
        <is>
          <t>Co-occurrence matrix (3D, averaged)</t>
        </is>
      </c>
      <c r="C165" t="inlineStr">
        <is>
          <t>Information correlation 2</t>
        </is>
      </c>
      <c r="D165" t="inlineStr">
        <is>
          <t>InformationalMeasureOfCorrelation2</t>
        </is>
      </c>
      <c r="E165" t="inlineStr">
        <is>
          <t>6-9</t>
        </is>
      </c>
      <c r="F165" t="n">
        <v>0.845</v>
      </c>
      <c r="G165" t="n">
        <v>0.003</v>
      </c>
      <c r="H165" s="6" t="n">
        <v>0.836268448007756</v>
      </c>
      <c r="I165" s="4">
        <f>IFERROR(IF(NOT(H165=""),ABS(ROUNDDOWN(F165-H165, 3 - (1+INT(LOG10(ABS(F165)))))),""),IF(AND(F165=0,NOT(F165="")),ABS(ROUNDDOWN(F165-H165,0)),""))</f>
        <v/>
      </c>
      <c r="J165" s="4">
        <f>IF(NOT(I165=""),IF(I165&lt;=G165,"match",IF(I165&lt;3*G165,"partial match","no match")),"")</f>
        <v/>
      </c>
      <c r="K165" t="inlineStr">
        <is>
          <t>cm_info_corr2_3D_avg</t>
        </is>
      </c>
    </row>
    <row r="166" ht="15" customHeight="1" s="10">
      <c r="A166" t="inlineStr">
        <is>
          <t>configuration D</t>
        </is>
      </c>
      <c r="B166" t="inlineStr">
        <is>
          <t>Co-occurrence matrix (3D, merged)</t>
        </is>
      </c>
      <c r="C166" t="inlineStr">
        <is>
          <t>Joint maximum</t>
        </is>
      </c>
      <c r="E166" t="inlineStr">
        <is>
          <t>6-9</t>
        </is>
      </c>
      <c r="F166" t="n">
        <v>0.232</v>
      </c>
      <c r="G166" t="n">
        <v>0.007</v>
      </c>
      <c r="H166" s="6" t="n"/>
      <c r="I166" s="4">
        <f>IFERROR(IF(NOT(H166=""),ABS(ROUNDDOWN(F166-H166, 3 - (1+INT(LOG10(ABS(F166)))))),""),IF(AND(F166=0,NOT(F166="")),ABS(ROUNDDOWN(F166-H166,0)),""))</f>
        <v/>
      </c>
      <c r="J166" s="4">
        <f>IF(NOT(I166=""),IF(I166&lt;=G166,"match",IF(I166&lt;3*G166,"partial match","no match")),"")</f>
        <v/>
      </c>
      <c r="K166" t="inlineStr">
        <is>
          <t>cm_joint_max_3D_comb</t>
        </is>
      </c>
    </row>
    <row r="167" ht="15" customHeight="1" s="10">
      <c r="A167" t="inlineStr">
        <is>
          <t>configuration D</t>
        </is>
      </c>
      <c r="B167" t="inlineStr">
        <is>
          <t>Co-occurrence matrix (3D, merged)</t>
        </is>
      </c>
      <c r="C167" t="inlineStr">
        <is>
          <t>Joint average</t>
        </is>
      </c>
      <c r="E167" t="inlineStr">
        <is>
          <t>6-9</t>
        </is>
      </c>
      <c r="F167" t="n">
        <v>18.9</v>
      </c>
      <c r="G167" t="n">
        <v>0.5</v>
      </c>
      <c r="H167" s="6" t="n"/>
      <c r="I167" s="4">
        <f>IFERROR(IF(NOT(H167=""),ABS(ROUNDDOWN(F167-H167, 3 - (1+INT(LOG10(ABS(F167)))))),""),IF(AND(F167=0,NOT(F167="")),ABS(ROUNDDOWN(F167-H167,0)),""))</f>
        <v/>
      </c>
      <c r="J167" s="4">
        <f>IF(NOT(I167=""),IF(I167&lt;=G167,"match",IF(I167&lt;3*G167,"partial match","no match")),"")</f>
        <v/>
      </c>
      <c r="K167" t="inlineStr">
        <is>
          <t>cm_joint_avg_3D_comb</t>
        </is>
      </c>
    </row>
    <row r="168" ht="15" customHeight="1" s="10">
      <c r="A168" t="inlineStr">
        <is>
          <t>configuration D</t>
        </is>
      </c>
      <c r="B168" t="inlineStr">
        <is>
          <t>Co-occurrence matrix (3D, merged)</t>
        </is>
      </c>
      <c r="C168" t="inlineStr">
        <is>
          <t>Joint variance</t>
        </is>
      </c>
      <c r="E168" t="inlineStr">
        <is>
          <t>6-9</t>
        </is>
      </c>
      <c r="F168" t="n">
        <v>17.6</v>
      </c>
      <c r="G168" t="n">
        <v>0.4</v>
      </c>
      <c r="H168" s="6" t="n"/>
      <c r="I168" s="4">
        <f>IFERROR(IF(NOT(H168=""),ABS(ROUNDDOWN(F168-H168, 3 - (1+INT(LOG10(ABS(F168)))))),""),IF(AND(F168=0,NOT(F168="")),ABS(ROUNDDOWN(F168-H168,0)),""))</f>
        <v/>
      </c>
      <c r="J168" s="4">
        <f>IF(NOT(I168=""),IF(I168&lt;=G168,"match",IF(I168&lt;3*G168,"partial match","no match")),"")</f>
        <v/>
      </c>
      <c r="K168" t="inlineStr">
        <is>
          <t>cm_joint_var_3D_comb</t>
        </is>
      </c>
    </row>
    <row r="169" ht="15" customHeight="1" s="10">
      <c r="A169" t="inlineStr">
        <is>
          <t>configuration D</t>
        </is>
      </c>
      <c r="B169" t="inlineStr">
        <is>
          <t>Co-occurrence matrix (3D, merged)</t>
        </is>
      </c>
      <c r="C169" t="inlineStr">
        <is>
          <t>Joint entropy</t>
        </is>
      </c>
      <c r="E169" t="inlineStr">
        <is>
          <t>6-9</t>
        </is>
      </c>
      <c r="F169" t="n">
        <v>4.96</v>
      </c>
      <c r="G169" t="n">
        <v>0.03</v>
      </c>
      <c r="H169" s="6" t="n"/>
      <c r="I169" s="4">
        <f>IFERROR(IF(NOT(H169=""),ABS(ROUNDDOWN(F169-H169, 3 - (1+INT(LOG10(ABS(F169)))))),""),IF(AND(F169=0,NOT(F169="")),ABS(ROUNDDOWN(F169-H169,0)),""))</f>
        <v/>
      </c>
      <c r="J169" s="4">
        <f>IF(NOT(I169=""),IF(I169&lt;=G169,"match",IF(I169&lt;3*G169,"partial match","no match")),"")</f>
        <v/>
      </c>
      <c r="K169" t="inlineStr">
        <is>
          <t>cm_joint_entr_3D_comb</t>
        </is>
      </c>
    </row>
    <row r="170" ht="15" customHeight="1" s="10">
      <c r="A170" t="inlineStr">
        <is>
          <t>configuration D</t>
        </is>
      </c>
      <c r="B170" t="inlineStr">
        <is>
          <t>Co-occurrence matrix (3D, merged)</t>
        </is>
      </c>
      <c r="C170" t="inlineStr">
        <is>
          <t>Difference average</t>
        </is>
      </c>
      <c r="E170" t="inlineStr">
        <is>
          <t>6-9</t>
        </is>
      </c>
      <c r="F170" t="n">
        <v>1.29</v>
      </c>
      <c r="G170" t="n">
        <v>0.01</v>
      </c>
      <c r="H170" s="6" t="n"/>
      <c r="I170" s="4">
        <f>IFERROR(IF(NOT(H170=""),ABS(ROUNDDOWN(F170-H170, 3 - (1+INT(LOG10(ABS(F170)))))),""),IF(AND(F170=0,NOT(F170="")),ABS(ROUNDDOWN(F170-H170,0)),""))</f>
        <v/>
      </c>
      <c r="J170" s="4">
        <f>IF(NOT(I170=""),IF(I170&lt;=G170,"match",IF(I170&lt;3*G170,"partial match","no match")),"")</f>
        <v/>
      </c>
      <c r="K170" t="inlineStr">
        <is>
          <t>cm_diff_avg_3D_comb</t>
        </is>
      </c>
    </row>
    <row r="171" ht="15" customHeight="1" s="10">
      <c r="A171" t="inlineStr">
        <is>
          <t>configuration D</t>
        </is>
      </c>
      <c r="B171" t="inlineStr">
        <is>
          <t>Co-occurrence matrix (3D, merged)</t>
        </is>
      </c>
      <c r="C171" t="inlineStr">
        <is>
          <t>Difference variance</t>
        </is>
      </c>
      <c r="E171" t="inlineStr">
        <is>
          <t>6-9</t>
        </is>
      </c>
      <c r="F171" t="n">
        <v>5.38</v>
      </c>
      <c r="G171" t="n">
        <v>0.11</v>
      </c>
      <c r="H171" s="6" t="n"/>
      <c r="I171" s="4">
        <f>IFERROR(IF(NOT(H171=""),ABS(ROUNDDOWN(F171-H171, 3 - (1+INT(LOG10(ABS(F171)))))),""),IF(AND(F171=0,NOT(F171="")),ABS(ROUNDDOWN(F171-H171,0)),""))</f>
        <v/>
      </c>
      <c r="J171" s="4">
        <f>IF(NOT(I171=""),IF(I171&lt;=G171,"match",IF(I171&lt;3*G171,"partial match","no match")),"")</f>
        <v/>
      </c>
      <c r="K171" t="inlineStr">
        <is>
          <t>cm_diff_var_3D_comb</t>
        </is>
      </c>
    </row>
    <row r="172" ht="15" customHeight="1" s="10">
      <c r="A172" t="inlineStr">
        <is>
          <t>configuration D</t>
        </is>
      </c>
      <c r="B172" t="inlineStr">
        <is>
          <t>Co-occurrence matrix (3D, merged)</t>
        </is>
      </c>
      <c r="C172" t="inlineStr">
        <is>
          <t>Difference entropy</t>
        </is>
      </c>
      <c r="E172" t="inlineStr">
        <is>
          <t>6-9</t>
        </is>
      </c>
      <c r="F172" t="n">
        <v>2.14</v>
      </c>
      <c r="G172" t="n">
        <v>0.01</v>
      </c>
      <c r="H172" s="6" t="n"/>
      <c r="I172" s="4">
        <f>IFERROR(IF(NOT(H172=""),ABS(ROUNDDOWN(F172-H172, 3 - (1+INT(LOG10(ABS(F172)))))),""),IF(AND(F172=0,NOT(F172="")),ABS(ROUNDDOWN(F172-H172,0)),""))</f>
        <v/>
      </c>
      <c r="J172" s="4">
        <f>IF(NOT(I172=""),IF(I172&lt;=G172,"match",IF(I172&lt;3*G172,"partial match","no match")),"")</f>
        <v/>
      </c>
      <c r="K172" t="inlineStr">
        <is>
          <t>cm_diff_entr_3D_comb</t>
        </is>
      </c>
    </row>
    <row r="173" ht="15" customHeight="1" s="10">
      <c r="A173" t="inlineStr">
        <is>
          <t>configuration D</t>
        </is>
      </c>
      <c r="B173" t="inlineStr">
        <is>
          <t>Co-occurrence matrix (3D, merged)</t>
        </is>
      </c>
      <c r="C173" t="inlineStr">
        <is>
          <t>Sum average</t>
        </is>
      </c>
      <c r="E173" t="inlineStr">
        <is>
          <t>6-9</t>
        </is>
      </c>
      <c r="F173" t="n">
        <v>37.7</v>
      </c>
      <c r="G173" t="n">
        <v>0.8</v>
      </c>
      <c r="H173" s="6" t="n"/>
      <c r="I173" s="4">
        <f>IFERROR(IF(NOT(H173=""),ABS(ROUNDDOWN(F173-H173, 3 - (1+INT(LOG10(ABS(F173)))))),""),IF(AND(F173=0,NOT(F173="")),ABS(ROUNDDOWN(F173-H173,0)),""))</f>
        <v/>
      </c>
      <c r="J173" s="4">
        <f>IF(NOT(I173=""),IF(I173&lt;=G173,"match",IF(I173&lt;3*G173,"partial match","no match")),"")</f>
        <v/>
      </c>
      <c r="K173" t="inlineStr">
        <is>
          <t>cm_sum_avg_3D_comb</t>
        </is>
      </c>
    </row>
    <row r="174" ht="15" customHeight="1" s="10">
      <c r="A174" t="inlineStr">
        <is>
          <t>configuration D</t>
        </is>
      </c>
      <c r="B174" t="inlineStr">
        <is>
          <t>Co-occurrence matrix (3D, merged)</t>
        </is>
      </c>
      <c r="C174" t="inlineStr">
        <is>
          <t>Sum variance</t>
        </is>
      </c>
      <c r="E174" t="inlineStr">
        <is>
          <t>6-9</t>
        </is>
      </c>
      <c r="F174" t="n">
        <v>63.5</v>
      </c>
      <c r="G174" t="n">
        <v>1.3</v>
      </c>
      <c r="H174" s="6" t="n"/>
      <c r="I174" s="4">
        <f>IFERROR(IF(NOT(H174=""),ABS(ROUNDDOWN(F174-H174, 3 - (1+INT(LOG10(ABS(F174)))))),""),IF(AND(F174=0,NOT(F174="")),ABS(ROUNDDOWN(F174-H174,0)),""))</f>
        <v/>
      </c>
      <c r="J174" s="4">
        <f>IF(NOT(I174=""),IF(I174&lt;=G174,"match",IF(I174&lt;3*G174,"partial match","no match")),"")</f>
        <v/>
      </c>
      <c r="K174" t="inlineStr">
        <is>
          <t>cm_sum_var_3D_comb</t>
        </is>
      </c>
    </row>
    <row r="175" ht="15" customHeight="1" s="10">
      <c r="A175" t="inlineStr">
        <is>
          <t>configuration D</t>
        </is>
      </c>
      <c r="B175" t="inlineStr">
        <is>
          <t>Co-occurrence matrix (3D, merged)</t>
        </is>
      </c>
      <c r="C175" t="inlineStr">
        <is>
          <t>Sum entropy</t>
        </is>
      </c>
      <c r="E175" t="inlineStr">
        <is>
          <t>6-9</t>
        </is>
      </c>
      <c r="F175" t="n">
        <v>3.68</v>
      </c>
      <c r="G175" t="n">
        <v>0.02</v>
      </c>
      <c r="H175" s="6" t="n"/>
      <c r="I175" s="4">
        <f>IFERROR(IF(NOT(H175=""),ABS(ROUNDDOWN(F175-H175, 3 - (1+INT(LOG10(ABS(F175)))))),""),IF(AND(F175=0,NOT(F175="")),ABS(ROUNDDOWN(F175-H175,0)),""))</f>
        <v/>
      </c>
      <c r="J175" s="4">
        <f>IF(NOT(I175=""),IF(I175&lt;=G175,"match",IF(I175&lt;3*G175,"partial match","no match")),"")</f>
        <v/>
      </c>
      <c r="K175" t="inlineStr">
        <is>
          <t>cm_sum_entr_3D_comb</t>
        </is>
      </c>
    </row>
    <row r="176" ht="15" customHeight="1" s="10">
      <c r="A176" t="inlineStr">
        <is>
          <t>configuration D</t>
        </is>
      </c>
      <c r="B176" t="inlineStr">
        <is>
          <t>Co-occurrence matrix (3D, merged)</t>
        </is>
      </c>
      <c r="C176" t="inlineStr">
        <is>
          <t>Angular second moment</t>
        </is>
      </c>
      <c r="E176" t="inlineStr">
        <is>
          <t>6-9</t>
        </is>
      </c>
      <c r="F176" t="n">
        <v>0.109</v>
      </c>
      <c r="G176" t="n">
        <v>0.003</v>
      </c>
      <c r="H176" s="6" t="n"/>
      <c r="I176" s="4">
        <f>IFERROR(IF(NOT(H176=""),ABS(ROUNDDOWN(F176-H176, 3 - (1+INT(LOG10(ABS(F176)))))),""),IF(AND(F176=0,NOT(F176="")),ABS(ROUNDDOWN(F176-H176,0)),""))</f>
        <v/>
      </c>
      <c r="J176" s="4">
        <f>IF(NOT(I176=""),IF(I176&lt;=G176,"match",IF(I176&lt;3*G176,"partial match","no match")),"")</f>
        <v/>
      </c>
      <c r="K176" t="inlineStr">
        <is>
          <t>cm_energy_3D_comb</t>
        </is>
      </c>
    </row>
    <row r="177" ht="15" customHeight="1" s="10">
      <c r="A177" t="inlineStr">
        <is>
          <t>configuration D</t>
        </is>
      </c>
      <c r="B177" t="inlineStr">
        <is>
          <t>Co-occurrence matrix (3D, merged)</t>
        </is>
      </c>
      <c r="C177" t="inlineStr">
        <is>
          <t>Contrast</t>
        </is>
      </c>
      <c r="E177" t="inlineStr">
        <is>
          <t>6-9</t>
        </is>
      </c>
      <c r="F177" t="n">
        <v>7.05</v>
      </c>
      <c r="G177" t="n">
        <v>0.13</v>
      </c>
      <c r="H177" s="6" t="n"/>
      <c r="I177" s="4">
        <f>IFERROR(IF(NOT(H177=""),ABS(ROUNDDOWN(F177-H177, 3 - (1+INT(LOG10(ABS(F177)))))),""),IF(AND(F177=0,NOT(F177="")),ABS(ROUNDDOWN(F177-H177,0)),""))</f>
        <v/>
      </c>
      <c r="J177" s="4">
        <f>IF(NOT(I177=""),IF(I177&lt;=G177,"match",IF(I177&lt;3*G177,"partial match","no match")),"")</f>
        <v/>
      </c>
      <c r="K177" t="inlineStr">
        <is>
          <t>cm_contrast_3D_comb</t>
        </is>
      </c>
    </row>
    <row r="178" ht="15" customHeight="1" s="10">
      <c r="A178" t="inlineStr">
        <is>
          <t>configuration D</t>
        </is>
      </c>
      <c r="B178" t="inlineStr">
        <is>
          <t>Co-occurrence matrix (3D, merged)</t>
        </is>
      </c>
      <c r="C178" t="inlineStr">
        <is>
          <t>Dissimilarity</t>
        </is>
      </c>
      <c r="E178" t="inlineStr">
        <is>
          <t>6-9</t>
        </is>
      </c>
      <c r="F178" t="n">
        <v>1.29</v>
      </c>
      <c r="G178" t="n">
        <v>0.01</v>
      </c>
      <c r="H178" s="6" t="n"/>
      <c r="I178" s="4">
        <f>IFERROR(IF(NOT(H178=""),ABS(ROUNDDOWN(F178-H178, 3 - (1+INT(LOG10(ABS(F178)))))),""),IF(AND(F178=0,NOT(F178="")),ABS(ROUNDDOWN(F178-H178,0)),""))</f>
        <v/>
      </c>
      <c r="J178" s="4">
        <f>IF(NOT(I178=""),IF(I178&lt;=G178,"match",IF(I178&lt;3*G178,"partial match","no match")),"")</f>
        <v/>
      </c>
      <c r="K178" t="inlineStr">
        <is>
          <t>cm_dissimilarity_3D_comb</t>
        </is>
      </c>
    </row>
    <row r="179" ht="15" customHeight="1" s="10">
      <c r="A179" t="inlineStr">
        <is>
          <t>configuration D</t>
        </is>
      </c>
      <c r="B179" t="inlineStr">
        <is>
          <t>Co-occurrence matrix (3D, merged)</t>
        </is>
      </c>
      <c r="C179" t="inlineStr">
        <is>
          <t>Inverse difference</t>
        </is>
      </c>
      <c r="E179" t="inlineStr">
        <is>
          <t>6-9</t>
        </is>
      </c>
      <c r="F179" t="n">
        <v>0.6820000000000001</v>
      </c>
      <c r="G179" t="n">
        <v>0.003</v>
      </c>
      <c r="H179" s="6" t="n"/>
      <c r="I179" s="4">
        <f>IFERROR(IF(NOT(H179=""),ABS(ROUNDDOWN(F179-H179, 3 - (1+INT(LOG10(ABS(F179)))))),""),IF(AND(F179=0,NOT(F179="")),ABS(ROUNDDOWN(F179-H179,0)),""))</f>
        <v/>
      </c>
      <c r="J179" s="4">
        <f>IF(NOT(I179=""),IF(I179&lt;=G179,"match",IF(I179&lt;3*G179,"partial match","no match")),"")</f>
        <v/>
      </c>
      <c r="K179" t="inlineStr">
        <is>
          <t>cm_inv_diff_3D_comb</t>
        </is>
      </c>
    </row>
    <row r="180" ht="15" customHeight="1" s="10">
      <c r="A180" t="inlineStr">
        <is>
          <t>configuration D</t>
        </is>
      </c>
      <c r="B180" t="inlineStr">
        <is>
          <t>Co-occurrence matrix (3D, merged)</t>
        </is>
      </c>
      <c r="C180" t="inlineStr">
        <is>
          <t>Inverse difference normalised</t>
        </is>
      </c>
      <c r="E180" t="inlineStr">
        <is>
          <t>6-9</t>
        </is>
      </c>
      <c r="F180" t="n">
        <v>0.965</v>
      </c>
      <c r="G180" t="n">
        <v>0.001</v>
      </c>
      <c r="H180" s="6" t="n"/>
      <c r="I180" s="4">
        <f>IFERROR(IF(NOT(H180=""),ABS(ROUNDDOWN(F180-H180, 3 - (1+INT(LOG10(ABS(F180)))))),""),IF(AND(F180=0,NOT(F180="")),ABS(ROUNDDOWN(F180-H180,0)),""))</f>
        <v/>
      </c>
      <c r="J180" s="4">
        <f>IF(NOT(I180=""),IF(I180&lt;=G180,"match",IF(I180&lt;3*G180,"partial match","no match")),"")</f>
        <v/>
      </c>
      <c r="K180" t="inlineStr">
        <is>
          <t>cm_inv_diff_norm_3D_comb</t>
        </is>
      </c>
    </row>
    <row r="181" ht="15" customHeight="1" s="10">
      <c r="A181" t="inlineStr">
        <is>
          <t>configuration D</t>
        </is>
      </c>
      <c r="B181" t="inlineStr">
        <is>
          <t>Co-occurrence matrix (3D, merged)</t>
        </is>
      </c>
      <c r="C181" t="inlineStr">
        <is>
          <t>Inverse difference moment</t>
        </is>
      </c>
      <c r="E181" t="inlineStr">
        <is>
          <t>6-9</t>
        </is>
      </c>
      <c r="F181" t="n">
        <v>0.657</v>
      </c>
      <c r="G181" t="n">
        <v>0.003</v>
      </c>
      <c r="H181" s="6" t="n"/>
      <c r="I181" s="4">
        <f>IFERROR(IF(NOT(H181=""),ABS(ROUNDDOWN(F181-H181, 3 - (1+INT(LOG10(ABS(F181)))))),""),IF(AND(F181=0,NOT(F181="")),ABS(ROUNDDOWN(F181-H181,0)),""))</f>
        <v/>
      </c>
      <c r="J181" s="4">
        <f>IF(NOT(I181=""),IF(I181&lt;=G181,"match",IF(I181&lt;3*G181,"partial match","no match")),"")</f>
        <v/>
      </c>
      <c r="K181" t="inlineStr">
        <is>
          <t>cm_inv_diff_mom_3D_comb</t>
        </is>
      </c>
    </row>
    <row r="182" ht="15" customHeight="1" s="10">
      <c r="A182" t="inlineStr">
        <is>
          <t>configuration D</t>
        </is>
      </c>
      <c r="B182" t="inlineStr">
        <is>
          <t>Co-occurrence matrix (3D, merged)</t>
        </is>
      </c>
      <c r="C182" t="inlineStr">
        <is>
          <t>Inverse difference moment normalised</t>
        </is>
      </c>
      <c r="E182" t="inlineStr">
        <is>
          <t>6-9</t>
        </is>
      </c>
      <c r="F182" t="n">
        <v>0.994</v>
      </c>
      <c r="G182" t="n">
        <v>0.001</v>
      </c>
      <c r="H182" s="8" t="n"/>
      <c r="I182" s="4">
        <f>IFERROR(IF(NOT(H182=""),ABS(ROUNDDOWN(F182-H182, 3 - (1+INT(LOG10(ABS(F182)))))),""),IF(AND(F182=0,NOT(F182="")),ABS(ROUNDDOWN(F182-H182,0)),""))</f>
        <v/>
      </c>
      <c r="J182" s="4">
        <f>IF(NOT(I182=""),IF(I182&lt;=G182,"match",IF(I182&lt;3*G182,"partial match","no match")),"")</f>
        <v/>
      </c>
      <c r="K182" t="inlineStr">
        <is>
          <t>cm_inv_diff_mom_norm_3D_comb</t>
        </is>
      </c>
    </row>
    <row r="183" ht="15" customHeight="1" s="10">
      <c r="A183" t="inlineStr">
        <is>
          <t>configuration D</t>
        </is>
      </c>
      <c r="B183" t="inlineStr">
        <is>
          <t>Co-occurrence matrix (3D, merged)</t>
        </is>
      </c>
      <c r="C183" t="inlineStr">
        <is>
          <t>Inverse variance</t>
        </is>
      </c>
      <c r="E183" t="inlineStr">
        <is>
          <t>6-9</t>
        </is>
      </c>
      <c r="F183" t="n">
        <v>0.34</v>
      </c>
      <c r="G183" t="n">
        <v>0.005</v>
      </c>
      <c r="H183" s="6" t="n"/>
      <c r="I183" s="4">
        <f>IFERROR(IF(NOT(H183=""),ABS(ROUNDDOWN(F183-H183, 3 - (1+INT(LOG10(ABS(F183)))))),""),IF(AND(F183=0,NOT(F183="")),ABS(ROUNDDOWN(F183-H183,0)),""))</f>
        <v/>
      </c>
      <c r="J183" s="4">
        <f>IF(NOT(I183=""),IF(I183&lt;=G183,"match",IF(I183&lt;3*G183,"partial match","no match")),"")</f>
        <v/>
      </c>
      <c r="K183" t="inlineStr">
        <is>
          <t>cm_inv_var_3D_comb</t>
        </is>
      </c>
    </row>
    <row r="184" ht="15" customHeight="1" s="10">
      <c r="A184" t="inlineStr">
        <is>
          <t>configuration D</t>
        </is>
      </c>
      <c r="B184" t="inlineStr">
        <is>
          <t>Co-occurrence matrix (3D, merged)</t>
        </is>
      </c>
      <c r="C184" t="inlineStr">
        <is>
          <t>Correlation</t>
        </is>
      </c>
      <c r="E184" t="inlineStr">
        <is>
          <t>6-9</t>
        </is>
      </c>
      <c r="F184" t="n">
        <v>0.8</v>
      </c>
      <c r="G184" t="n">
        <v>0.005</v>
      </c>
      <c r="H184" s="6" t="n"/>
      <c r="I184" s="4">
        <f>IFERROR(IF(NOT(H184=""),ABS(ROUNDDOWN(F184-H184, 3 - (1+INT(LOG10(ABS(F184)))))),""),IF(AND(F184=0,NOT(F184="")),ABS(ROUNDDOWN(F184-H184,0)),""))</f>
        <v/>
      </c>
      <c r="J184" s="4">
        <f>IF(NOT(I184=""),IF(I184&lt;=G184,"match",IF(I184&lt;3*G184,"partial match","no match")),"")</f>
        <v/>
      </c>
      <c r="K184" t="inlineStr">
        <is>
          <t>cm_corr_3D_comb</t>
        </is>
      </c>
    </row>
    <row r="185" ht="15" customHeight="1" s="10">
      <c r="A185" t="inlineStr">
        <is>
          <t>configuration D</t>
        </is>
      </c>
      <c r="B185" t="inlineStr">
        <is>
          <t>Co-occurrence matrix (3D, merged)</t>
        </is>
      </c>
      <c r="C185" t="inlineStr">
        <is>
          <t>Autocorrelation</t>
        </is>
      </c>
      <c r="E185" t="inlineStr">
        <is>
          <t>6-9</t>
        </is>
      </c>
      <c r="F185" t="n">
        <v>370</v>
      </c>
      <c r="G185" t="n">
        <v>16</v>
      </c>
      <c r="H185" s="6" t="n"/>
      <c r="I185" s="4">
        <f>IFERROR(IF(NOT(H185=""),ABS(ROUNDDOWN(F185-H185, 3 - (1+INT(LOG10(ABS(F185)))))),""),IF(AND(F185=0,NOT(F185="")),ABS(ROUNDDOWN(F185-H185,0)),""))</f>
        <v/>
      </c>
      <c r="J185" s="4">
        <f>IF(NOT(I185=""),IF(I185&lt;=G185,"match",IF(I185&lt;3*G185,"partial match","no match")),"")</f>
        <v/>
      </c>
      <c r="K185" t="inlineStr">
        <is>
          <t>cm_auto_corr_3D_comb</t>
        </is>
      </c>
    </row>
    <row r="186" ht="15" customHeight="1" s="10">
      <c r="A186" t="inlineStr">
        <is>
          <t>configuration D</t>
        </is>
      </c>
      <c r="B186" t="inlineStr">
        <is>
          <t>Co-occurrence matrix (3D, merged)</t>
        </is>
      </c>
      <c r="C186" t="inlineStr">
        <is>
          <t>Cluster tendency</t>
        </is>
      </c>
      <c r="E186" t="inlineStr">
        <is>
          <t>6-9</t>
        </is>
      </c>
      <c r="F186" t="n">
        <v>63.5</v>
      </c>
      <c r="G186" t="n">
        <v>1.3</v>
      </c>
      <c r="H186" s="6" t="n"/>
      <c r="I186" s="4">
        <f>IFERROR(IF(NOT(H186=""),ABS(ROUNDDOWN(F186-H186, 3 - (1+INT(LOG10(ABS(F186)))))),""),IF(AND(F186=0,NOT(F186="")),ABS(ROUNDDOWN(F186-H186,0)),""))</f>
        <v/>
      </c>
      <c r="J186" s="4">
        <f>IF(NOT(I186=""),IF(I186&lt;=G186,"match",IF(I186&lt;3*G186,"partial match","no match")),"")</f>
        <v/>
      </c>
      <c r="K186" t="inlineStr">
        <is>
          <t>cm_clust_tend_3D_comb</t>
        </is>
      </c>
    </row>
    <row r="187" ht="15" customHeight="1" s="10">
      <c r="A187" t="inlineStr">
        <is>
          <t>configuration D</t>
        </is>
      </c>
      <c r="B187" t="inlineStr">
        <is>
          <t>Co-occurrence matrix (3D, merged)</t>
        </is>
      </c>
      <c r="C187" t="inlineStr">
        <is>
          <t>Cluster shade</t>
        </is>
      </c>
      <c r="E187" t="inlineStr">
        <is>
          <t>6-9</t>
        </is>
      </c>
      <c r="F187" t="n">
        <v>-1280</v>
      </c>
      <c r="G187" t="n">
        <v>40</v>
      </c>
      <c r="H187" s="6" t="n"/>
      <c r="I187" s="4">
        <f>IFERROR(IF(NOT(H187=""),ABS(ROUNDDOWN(F187-H187, 3 - (1+INT(LOG10(ABS(F187)))))),""),IF(AND(F187=0,NOT(F187="")),ABS(ROUNDDOWN(F187-H187,0)),""))</f>
        <v/>
      </c>
      <c r="J187" s="4">
        <f>IF(NOT(I187=""),IF(I187&lt;=G187,"match",IF(I187&lt;3*G187,"partial match","no match")),"")</f>
        <v/>
      </c>
      <c r="K187" t="inlineStr">
        <is>
          <t>cm_clust_shade_3D_comb</t>
        </is>
      </c>
    </row>
    <row r="188" ht="15" customHeight="1" s="10">
      <c r="A188" t="inlineStr">
        <is>
          <t>configuration D</t>
        </is>
      </c>
      <c r="B188" t="inlineStr">
        <is>
          <t>Co-occurrence matrix (3D, merged)</t>
        </is>
      </c>
      <c r="C188" t="inlineStr">
        <is>
          <t>Cluster prominence</t>
        </is>
      </c>
      <c r="E188" t="inlineStr">
        <is>
          <t>6-9</t>
        </is>
      </c>
      <c r="F188" t="n">
        <v>35700</v>
      </c>
      <c r="G188" t="n">
        <v>1500</v>
      </c>
      <c r="H188" s="6" t="n"/>
      <c r="I188" s="4">
        <f>IFERROR(IF(NOT(H188=""),ABS(ROUNDDOWN(F188-H188, 3 - (1+INT(LOG10(ABS(F188)))))),""),IF(AND(F188=0,NOT(F188="")),ABS(ROUNDDOWN(F188-H188,0)),""))</f>
        <v/>
      </c>
      <c r="J188" s="4">
        <f>IF(NOT(I188=""),IF(I188&lt;=G188,"match",IF(I188&lt;3*G188,"partial match","no match")),"")</f>
        <v/>
      </c>
      <c r="K188" t="inlineStr">
        <is>
          <t>cm_clust_prom_3D_comb</t>
        </is>
      </c>
    </row>
    <row r="189" ht="15" customHeight="1" s="10">
      <c r="A189" t="inlineStr">
        <is>
          <t>configuration D</t>
        </is>
      </c>
      <c r="B189" t="inlineStr">
        <is>
          <t>Co-occurrence matrix (3D, merged)</t>
        </is>
      </c>
      <c r="C189" t="inlineStr">
        <is>
          <t>Information correlation 1</t>
        </is>
      </c>
      <c r="E189" t="inlineStr">
        <is>
          <t>6-9</t>
        </is>
      </c>
      <c r="F189" t="n">
        <v>-0.225</v>
      </c>
      <c r="G189" t="n">
        <v>0.003</v>
      </c>
      <c r="H189" s="6" t="n"/>
      <c r="I189" s="4">
        <f>IFERROR(IF(NOT(H189=""),ABS(ROUNDDOWN(F189-H189, 3 - (1+INT(LOG10(ABS(F189)))))),""),IF(AND(F189=0,NOT(F189="")),ABS(ROUNDDOWN(F189-H189,0)),""))</f>
        <v/>
      </c>
      <c r="J189" s="4">
        <f>IF(NOT(I189=""),IF(I189&lt;=G189,"match",IF(I189&lt;3*G189,"partial match","no match")),"")</f>
        <v/>
      </c>
      <c r="K189" t="inlineStr">
        <is>
          <t>cm_info_corr1_3D_comb</t>
        </is>
      </c>
    </row>
    <row r="190" ht="15" customHeight="1" s="10">
      <c r="A190" t="inlineStr">
        <is>
          <t>configuration D</t>
        </is>
      </c>
      <c r="B190" t="inlineStr">
        <is>
          <t>Co-occurrence matrix (3D, merged)</t>
        </is>
      </c>
      <c r="C190" t="inlineStr">
        <is>
          <t>Information correlation 2</t>
        </is>
      </c>
      <c r="E190" t="inlineStr">
        <is>
          <t>6-9</t>
        </is>
      </c>
      <c r="F190" t="n">
        <v>0.846</v>
      </c>
      <c r="G190" t="n">
        <v>0.003</v>
      </c>
      <c r="H190" s="6" t="n"/>
      <c r="I190" s="4">
        <f>IFERROR(IF(NOT(H190=""),ABS(ROUNDDOWN(F190-H190, 3 - (1+INT(LOG10(ABS(F190)))))),""),IF(AND(F190=0,NOT(F190="")),ABS(ROUNDDOWN(F190-H190,0)),""))</f>
        <v/>
      </c>
      <c r="J190" s="4">
        <f>IF(NOT(I190=""),IF(I190&lt;=G190,"match",IF(I190&lt;3*G190,"partial match","no match")),"")</f>
        <v/>
      </c>
      <c r="K190" t="inlineStr">
        <is>
          <t>cm_info_corr2_3D_comb</t>
        </is>
      </c>
    </row>
    <row r="191" ht="15" customHeight="1" s="10">
      <c r="A191" t="inlineStr">
        <is>
          <t>configuration D</t>
        </is>
      </c>
      <c r="B191" t="inlineStr">
        <is>
          <t>Run length matrix (3D, averaged)</t>
        </is>
      </c>
      <c r="C191" t="inlineStr">
        <is>
          <t>Short runs emphasis</t>
        </is>
      </c>
      <c r="D191" t="inlineStr">
        <is>
          <t>ShortRunEmphasis</t>
        </is>
      </c>
      <c r="E191" t="inlineStr">
        <is>
          <t>3-5</t>
        </is>
      </c>
      <c r="F191" t="n">
        <v>0.734</v>
      </c>
      <c r="G191" t="n">
        <v>0.001</v>
      </c>
      <c r="H191" s="6" t="n">
        <v>0.720448163759879</v>
      </c>
      <c r="I191" s="4">
        <f>IFERROR(IF(NOT(H191=""),ABS(ROUNDDOWN(F191-H191, 3 - (1+INT(LOG10(ABS(F191)))))),""),IF(AND(F191=0,NOT(F191="")),ABS(ROUNDDOWN(F191-H191,0)),""))</f>
        <v/>
      </c>
      <c r="J191" s="4">
        <f>IF(NOT(I191=""),IF(I191&lt;=G191,"match",IF(I191&lt;3*G191,"partial match","no match")),"")</f>
        <v/>
      </c>
      <c r="K191" t="inlineStr">
        <is>
          <t>rlm_sre_3D_avg</t>
        </is>
      </c>
    </row>
    <row r="192" ht="15" customHeight="1" s="10">
      <c r="A192" t="inlineStr">
        <is>
          <t>configuration D</t>
        </is>
      </c>
      <c r="B192" t="inlineStr">
        <is>
          <t>Run length matrix (3D, averaged)</t>
        </is>
      </c>
      <c r="C192" t="inlineStr">
        <is>
          <t>Long runs emphasis</t>
        </is>
      </c>
      <c r="D192" t="inlineStr">
        <is>
          <t>LongRunEmphasis</t>
        </is>
      </c>
      <c r="E192" t="inlineStr">
        <is>
          <t>3-5</t>
        </is>
      </c>
      <c r="F192" t="n">
        <v>6.66</v>
      </c>
      <c r="G192" t="n">
        <v>0.18</v>
      </c>
      <c r="H192" s="6" t="n">
        <v>6.38029580201131</v>
      </c>
      <c r="I192" s="4">
        <f>IFERROR(IF(NOT(H192=""),ABS(ROUNDDOWN(F192-H192, 3 - (1+INT(LOG10(ABS(F192)))))),""),IF(AND(F192=0,NOT(F192="")),ABS(ROUNDDOWN(F192-H192,0)),""))</f>
        <v/>
      </c>
      <c r="J192" s="4">
        <f>IF(NOT(I192=""),IF(I192&lt;=G192,"match",IF(I192&lt;3*G192,"partial match","no match")),"")</f>
        <v/>
      </c>
      <c r="K192" t="inlineStr">
        <is>
          <t>rlm_lre_3D_avg</t>
        </is>
      </c>
    </row>
    <row r="193" ht="15" customHeight="1" s="10">
      <c r="A193" t="inlineStr">
        <is>
          <t>configuration D</t>
        </is>
      </c>
      <c r="B193" t="inlineStr">
        <is>
          <t>Run length matrix (3D, averaged)</t>
        </is>
      </c>
      <c r="C193" t="inlineStr">
        <is>
          <t>Low grey level run emphasis</t>
        </is>
      </c>
      <c r="D193" t="inlineStr">
        <is>
          <t>LowGrayLevelRunEmphasis</t>
        </is>
      </c>
      <c r="E193" t="inlineStr">
        <is>
          <t>3-5</t>
        </is>
      </c>
      <c r="F193" t="n">
        <v>0.0257</v>
      </c>
      <c r="G193" t="n">
        <v>0.0012</v>
      </c>
      <c r="H193" s="6" t="n">
        <v>0.0256537846099132</v>
      </c>
      <c r="I193" s="4">
        <f>IFERROR(IF(NOT(H193=""),ABS(ROUNDDOWN(F193-H193, 3 - (1+INT(LOG10(ABS(F193)))))),""),IF(AND(F193=0,NOT(F193="")),ABS(ROUNDDOWN(F193-H193,0)),""))</f>
        <v/>
      </c>
      <c r="J193" s="4">
        <f>IF(NOT(I193=""),IF(I193&lt;=G193,"match",IF(I193&lt;3*G193,"partial match","no match")),"")</f>
        <v/>
      </c>
      <c r="K193" t="inlineStr">
        <is>
          <t>rlm_lgre_3D_avg</t>
        </is>
      </c>
    </row>
    <row r="194" ht="15" customHeight="1" s="10">
      <c r="A194" t="inlineStr">
        <is>
          <t>configuration D</t>
        </is>
      </c>
      <c r="B194" t="inlineStr">
        <is>
          <t>Run length matrix (3D, averaged)</t>
        </is>
      </c>
      <c r="C194" t="inlineStr">
        <is>
          <t>High grey level run emphasis</t>
        </is>
      </c>
      <c r="D194" t="inlineStr">
        <is>
          <t>HighGrayLevelRunEmphasis</t>
        </is>
      </c>
      <c r="E194" t="inlineStr">
        <is>
          <t>3-5</t>
        </is>
      </c>
      <c r="F194" t="n">
        <v>326</v>
      </c>
      <c r="G194" t="n">
        <v>17</v>
      </c>
      <c r="H194" s="6" t="n">
        <v>283.35427143662</v>
      </c>
      <c r="I194" s="4">
        <f>IFERROR(IF(NOT(H194=""),ABS(ROUNDDOWN(F194-H194, 3 - (1+INT(LOG10(ABS(F194)))))),""),IF(AND(F194=0,NOT(F194="")),ABS(ROUNDDOWN(F194-H194,0)),""))</f>
        <v/>
      </c>
      <c r="J194" s="4">
        <f>IF(NOT(I194=""),IF(I194&lt;=G194,"match",IF(I194&lt;3*G194,"partial match","no match")),"")</f>
        <v/>
      </c>
      <c r="K194" t="inlineStr">
        <is>
          <t>rlm_hgre_3D_avg</t>
        </is>
      </c>
    </row>
    <row r="195" ht="15" customHeight="1" s="10">
      <c r="A195" t="inlineStr">
        <is>
          <t>configuration D</t>
        </is>
      </c>
      <c r="B195" t="inlineStr">
        <is>
          <t>Run length matrix (3D, averaged)</t>
        </is>
      </c>
      <c r="C195" t="inlineStr">
        <is>
          <t>Short run low grey level emphasis</t>
        </is>
      </c>
      <c r="D195" t="inlineStr">
        <is>
          <t>ShortRunLowGrayLevelEmphasis</t>
        </is>
      </c>
      <c r="E195" t="inlineStr">
        <is>
          <t>3-5</t>
        </is>
      </c>
      <c r="F195" t="n">
        <v>0.0232</v>
      </c>
      <c r="G195" t="n">
        <v>0.001</v>
      </c>
      <c r="H195" s="6" t="n">
        <v>0.023189257533539</v>
      </c>
      <c r="I195" s="4">
        <f>IFERROR(IF(NOT(H195=""),ABS(ROUNDDOWN(F195-H195, 3 - (1+INT(LOG10(ABS(F195)))))),""),IF(AND(F195=0,NOT(F195="")),ABS(ROUNDDOWN(F195-H195,0)),""))</f>
        <v/>
      </c>
      <c r="J195" s="4">
        <f>IF(NOT(I195=""),IF(I195&lt;=G195,"match",IF(I195&lt;3*G195,"partial match","no match")),"")</f>
        <v/>
      </c>
      <c r="K195" t="inlineStr">
        <is>
          <t>rlm_srlge_3D_avg</t>
        </is>
      </c>
    </row>
    <row r="196" ht="15" customHeight="1" s="10">
      <c r="A196" t="inlineStr">
        <is>
          <t>configuration D</t>
        </is>
      </c>
      <c r="B196" t="inlineStr">
        <is>
          <t>Run length matrix (3D, averaged)</t>
        </is>
      </c>
      <c r="C196" t="inlineStr">
        <is>
          <t>Short run high grey level emphasis</t>
        </is>
      </c>
      <c r="D196" t="inlineStr">
        <is>
          <t>ShortRunHighGrayLevelEmphasis</t>
        </is>
      </c>
      <c r="E196" t="inlineStr">
        <is>
          <t>3-5</t>
        </is>
      </c>
      <c r="F196" t="n">
        <v>219</v>
      </c>
      <c r="G196" t="n">
        <v>13</v>
      </c>
      <c r="H196" s="6" t="n">
        <v>186.297503080942</v>
      </c>
      <c r="I196" s="4">
        <f>IFERROR(IF(NOT(H196=""),ABS(ROUNDDOWN(F196-H196, 3 - (1+INT(LOG10(ABS(F196)))))),""),IF(AND(F196=0,NOT(F196="")),ABS(ROUNDDOWN(F196-H196,0)),""))</f>
        <v/>
      </c>
      <c r="J196" s="4">
        <f>IF(NOT(I196=""),IF(I196&lt;=G196,"match",IF(I196&lt;3*G196,"partial match","no match")),"")</f>
        <v/>
      </c>
      <c r="K196" t="inlineStr">
        <is>
          <t>rlm_srhge_3D_avg</t>
        </is>
      </c>
    </row>
    <row r="197" ht="15" customHeight="1" s="10">
      <c r="A197" t="inlineStr">
        <is>
          <t>configuration D</t>
        </is>
      </c>
      <c r="B197" t="inlineStr">
        <is>
          <t>Run length matrix (3D, averaged)</t>
        </is>
      </c>
      <c r="C197" t="inlineStr">
        <is>
          <t>Long run low grey level emphasis</t>
        </is>
      </c>
      <c r="D197" t="inlineStr">
        <is>
          <t>LongRunLowGrayLevelEmphasis</t>
        </is>
      </c>
      <c r="E197" t="inlineStr">
        <is>
          <t>3-5</t>
        </is>
      </c>
      <c r="F197" t="n">
        <v>0.0484</v>
      </c>
      <c r="G197" t="n">
        <v>0.0031</v>
      </c>
      <c r="H197" s="6" t="n">
        <v>0.049061077410501</v>
      </c>
      <c r="I197" s="4">
        <f>IFERROR(IF(NOT(H197=""),ABS(ROUNDDOWN(F197-H197, 3 - (1+INT(LOG10(ABS(F197)))))),""),IF(AND(F197=0,NOT(F197="")),ABS(ROUNDDOWN(F197-H197,0)),""))</f>
        <v/>
      </c>
      <c r="J197" s="4">
        <f>IF(NOT(I197=""),IF(I197&lt;=G197,"match",IF(I197&lt;3*G197,"partial match","no match")),"")</f>
        <v/>
      </c>
      <c r="K197" t="inlineStr">
        <is>
          <t>rlm_lrlge_3D_avg</t>
        </is>
      </c>
    </row>
    <row r="198" ht="15" customHeight="1" s="10">
      <c r="A198" t="inlineStr">
        <is>
          <t>configuration D</t>
        </is>
      </c>
      <c r="B198" t="inlineStr">
        <is>
          <t>Run length matrix (3D, averaged)</t>
        </is>
      </c>
      <c r="C198" t="inlineStr">
        <is>
          <t>Long run high grey level emphasis</t>
        </is>
      </c>
      <c r="D198" t="inlineStr">
        <is>
          <t>LongRunHighGrayLevelEmphasis</t>
        </is>
      </c>
      <c r="E198" t="inlineStr">
        <is>
          <t>3-5</t>
        </is>
      </c>
      <c r="F198" t="n">
        <v>2670</v>
      </c>
      <c r="G198" t="n">
        <v>30</v>
      </c>
      <c r="H198" s="6" t="n">
        <v>2177.59408511724</v>
      </c>
      <c r="I198" s="4">
        <f>IFERROR(IF(NOT(H198=""),ABS(ROUNDDOWN(F198-H198, 3 - (1+INT(LOG10(ABS(F198)))))),""),IF(AND(F198=0,NOT(F198="")),ABS(ROUNDDOWN(F198-H198,0)),""))</f>
        <v/>
      </c>
      <c r="J198" s="4">
        <f>IF(NOT(I198=""),IF(I198&lt;=G198,"match",IF(I198&lt;3*G198,"partial match","no match")),"")</f>
        <v/>
      </c>
      <c r="K198" t="inlineStr">
        <is>
          <t>rlm_lrhge_3D_avg</t>
        </is>
      </c>
    </row>
    <row r="199" ht="15" customHeight="1" s="10">
      <c r="A199" t="inlineStr">
        <is>
          <t>configuration D</t>
        </is>
      </c>
      <c r="B199" t="inlineStr">
        <is>
          <t>Run length matrix (3D, averaged)</t>
        </is>
      </c>
      <c r="C199" t="inlineStr">
        <is>
          <t>Grey level non-uniformity</t>
        </is>
      </c>
      <c r="D199" t="inlineStr">
        <is>
          <t>GrayLevelNonUniformity</t>
        </is>
      </c>
      <c r="E199" t="inlineStr">
        <is>
          <t>3-5</t>
        </is>
      </c>
      <c r="F199" t="n">
        <v>3290</v>
      </c>
      <c r="G199" t="n">
        <v>10</v>
      </c>
      <c r="H199" s="6" t="n">
        <v>3602.12362045917</v>
      </c>
      <c r="I199" s="4">
        <f>IFERROR(IF(NOT(H199=""),ABS(ROUNDDOWN(F199-H199, 3 - (1+INT(LOG10(ABS(F199)))))),""),IF(AND(F199=0,NOT(F199="")),ABS(ROUNDDOWN(F199-H199,0)),""))</f>
        <v/>
      </c>
      <c r="J199" s="4">
        <f>IF(NOT(I199=""),IF(I199&lt;=G199,"match",IF(I199&lt;3*G199,"partial match","no match")),"")</f>
        <v/>
      </c>
      <c r="K199" t="inlineStr">
        <is>
          <t>rlm_glnu_3D_avg</t>
        </is>
      </c>
    </row>
    <row r="200" ht="15" customHeight="1" s="10">
      <c r="A200" t="inlineStr">
        <is>
          <t>configuration D</t>
        </is>
      </c>
      <c r="B200" t="inlineStr">
        <is>
          <t>Run length matrix (3D, averaged)</t>
        </is>
      </c>
      <c r="C200" t="inlineStr">
        <is>
          <t>Grey level non-uniformity normalised</t>
        </is>
      </c>
      <c r="D200" t="inlineStr">
        <is>
          <t>GrayLevelNonUniformityNormalized</t>
        </is>
      </c>
      <c r="E200" t="inlineStr">
        <is>
          <t>3-5</t>
        </is>
      </c>
      <c r="F200" t="n">
        <v>0.133</v>
      </c>
      <c r="G200" t="n">
        <v>0.002</v>
      </c>
      <c r="H200" s="6" t="n">
        <v>0.147190053603233</v>
      </c>
      <c r="I200" s="4">
        <f>IFERROR(IF(NOT(H200=""),ABS(ROUNDDOWN(F200-H200, 3 - (1+INT(LOG10(ABS(F200)))))),""),IF(AND(F200=0,NOT(F200="")),ABS(ROUNDDOWN(F200-H200,0)),""))</f>
        <v/>
      </c>
      <c r="J200" s="4">
        <f>IF(NOT(I200=""),IF(I200&lt;=G200,"match",IF(I200&lt;3*G200,"partial match","no match")),"")</f>
        <v/>
      </c>
      <c r="K200" t="inlineStr">
        <is>
          <t>rlm_glnu_norm_3D_avg</t>
        </is>
      </c>
    </row>
    <row r="201" ht="15" customHeight="1" s="10">
      <c r="A201" t="inlineStr">
        <is>
          <t>configuration D</t>
        </is>
      </c>
      <c r="B201" t="inlineStr">
        <is>
          <t>Run length matrix (3D, averaged)</t>
        </is>
      </c>
      <c r="C201" t="inlineStr">
        <is>
          <t>Run length non-uniformity</t>
        </is>
      </c>
      <c r="D201" t="inlineStr">
        <is>
          <t>RunLengthNonUniformity</t>
        </is>
      </c>
      <c r="E201" t="inlineStr">
        <is>
          <t>3-5</t>
        </is>
      </c>
      <c r="F201" t="n">
        <v>12400</v>
      </c>
      <c r="G201" t="n">
        <v>200</v>
      </c>
      <c r="H201" s="6" t="n">
        <v>11760.4170769846</v>
      </c>
      <c r="I201" s="4">
        <f>IFERROR(IF(NOT(H201=""),ABS(ROUNDDOWN(F201-H201, 3 - (1+INT(LOG10(ABS(F201)))))),""),IF(AND(F201=0,NOT(F201="")),ABS(ROUNDDOWN(F201-H201,0)),""))</f>
        <v/>
      </c>
      <c r="J201" s="4">
        <f>IF(NOT(I201=""),IF(I201&lt;=G201,"match",IF(I201&lt;3*G201,"partial match","no match")),"")</f>
        <v/>
      </c>
      <c r="K201" t="inlineStr">
        <is>
          <t>rlm_rlnu_3D_avg</t>
        </is>
      </c>
    </row>
    <row r="202" ht="15" customHeight="1" s="10">
      <c r="A202" t="inlineStr">
        <is>
          <t>configuration D</t>
        </is>
      </c>
      <c r="B202" t="inlineStr">
        <is>
          <t>Run length matrix (3D, averaged)</t>
        </is>
      </c>
      <c r="C202" t="inlineStr">
        <is>
          <t>Run length non-uniformity normalised</t>
        </is>
      </c>
      <c r="D202" t="inlineStr">
        <is>
          <t>RunLengthNonUniformityNormalized</t>
        </is>
      </c>
      <c r="E202" t="inlineStr">
        <is>
          <t>3-5</t>
        </is>
      </c>
      <c r="F202" t="n">
        <v>0.5</v>
      </c>
      <c r="G202" t="n">
        <v>0.001</v>
      </c>
      <c r="H202" s="6" t="n">
        <v>0.48043508704357</v>
      </c>
      <c r="I202" s="4">
        <f>IFERROR(IF(NOT(H202=""),ABS(ROUNDDOWN(F202-H202, 3 - (1+INT(LOG10(ABS(F202)))))),""),IF(AND(F202=0,NOT(F202="")),ABS(ROUNDDOWN(F202-H202,0)),""))</f>
        <v/>
      </c>
      <c r="J202" s="4">
        <f>IF(NOT(I202=""),IF(I202&lt;=G202,"match",IF(I202&lt;3*G202,"partial match","no match")),"")</f>
        <v/>
      </c>
      <c r="K202" t="inlineStr">
        <is>
          <t>rlm_rlnu_norm_3D_avg</t>
        </is>
      </c>
    </row>
    <row r="203" ht="15" customHeight="1" s="10">
      <c r="A203" t="inlineStr">
        <is>
          <t>configuration D</t>
        </is>
      </c>
      <c r="B203" t="inlineStr">
        <is>
          <t>Run length matrix (3D, averaged)</t>
        </is>
      </c>
      <c r="C203" t="inlineStr">
        <is>
          <t>Run percentage</t>
        </is>
      </c>
      <c r="D203" t="inlineStr">
        <is>
          <t>RunPercentage</t>
        </is>
      </c>
      <c r="E203" t="inlineStr">
        <is>
          <t>3-5</t>
        </is>
      </c>
      <c r="F203" t="n">
        <v>0.554</v>
      </c>
      <c r="G203" t="n">
        <v>0.005</v>
      </c>
      <c r="H203" s="6" t="n">
        <v>0.552711137457284</v>
      </c>
      <c r="I203" s="4">
        <f>IFERROR(IF(NOT(H203=""),ABS(ROUNDDOWN(F203-H203, 3 - (1+INT(LOG10(ABS(F203)))))),""),IF(AND(F203=0,NOT(F203="")),ABS(ROUNDDOWN(F203-H203,0)),""))</f>
        <v/>
      </c>
      <c r="J203" s="4">
        <f>IF(NOT(I203=""),IF(I203&lt;=G203,"match",IF(I203&lt;3*G203,"partial match","no match")),"")</f>
        <v/>
      </c>
      <c r="K203" t="inlineStr">
        <is>
          <t>rlm_r_perc_3D_avg</t>
        </is>
      </c>
    </row>
    <row r="204" ht="15" customHeight="1" s="10">
      <c r="A204" t="inlineStr">
        <is>
          <t>configuration D</t>
        </is>
      </c>
      <c r="B204" t="inlineStr">
        <is>
          <t>Run length matrix (3D, averaged)</t>
        </is>
      </c>
      <c r="C204" t="inlineStr">
        <is>
          <t>Grey level variance</t>
        </is>
      </c>
      <c r="D204" t="inlineStr">
        <is>
          <t>GrayLevelVariance</t>
        </is>
      </c>
      <c r="E204" t="inlineStr">
        <is>
          <t>3-5</t>
        </is>
      </c>
      <c r="F204" t="n">
        <v>31.5</v>
      </c>
      <c r="G204" t="n">
        <v>0.4</v>
      </c>
      <c r="H204" s="6" t="n">
        <v>26.3244353356442</v>
      </c>
      <c r="I204" s="4">
        <f>IFERROR(IF(NOT(H204=""),ABS(ROUNDDOWN(F204-H204, 3 - (1+INT(LOG10(ABS(F204)))))),""),IF(AND(F204=0,NOT(F204="")),ABS(ROUNDDOWN(F204-H204,0)),""))</f>
        <v/>
      </c>
      <c r="J204" s="4">
        <f>IF(NOT(I204=""),IF(I204&lt;=G204,"match",IF(I204&lt;3*G204,"partial match","no match")),"")</f>
        <v/>
      </c>
      <c r="K204" t="inlineStr">
        <is>
          <t>rlm_gl_var_3D_avg</t>
        </is>
      </c>
    </row>
    <row r="205" ht="15" customHeight="1" s="10">
      <c r="A205" t="inlineStr">
        <is>
          <t>configuration D</t>
        </is>
      </c>
      <c r="B205" t="inlineStr">
        <is>
          <t>Run length matrix (3D, averaged)</t>
        </is>
      </c>
      <c r="C205" t="inlineStr">
        <is>
          <t>Run length variance</t>
        </is>
      </c>
      <c r="D205" t="inlineStr">
        <is>
          <t>RunLengthVariance</t>
        </is>
      </c>
      <c r="E205" t="inlineStr">
        <is>
          <t>3-5</t>
        </is>
      </c>
      <c r="F205" t="n">
        <v>3.35</v>
      </c>
      <c r="G205" t="n">
        <v>0.14</v>
      </c>
      <c r="H205" s="6" t="n">
        <v>3.05260544615461</v>
      </c>
      <c r="I205" s="4">
        <f>IFERROR(IF(NOT(H205=""),ABS(ROUNDDOWN(F205-H205, 3 - (1+INT(LOG10(ABS(F205)))))),""),IF(AND(F205=0,NOT(F205="")),ABS(ROUNDDOWN(F205-H205,0)),""))</f>
        <v/>
      </c>
      <c r="J205" s="4">
        <f>IF(NOT(I205=""),IF(I205&lt;=G205,"match",IF(I205&lt;3*G205,"partial match","no match")),"")</f>
        <v/>
      </c>
      <c r="K205" t="inlineStr">
        <is>
          <t>rlm_rl_var_3D_avg</t>
        </is>
      </c>
    </row>
    <row r="206" ht="15" customHeight="1" s="10">
      <c r="A206" t="inlineStr">
        <is>
          <t>configuration D</t>
        </is>
      </c>
      <c r="B206" t="inlineStr">
        <is>
          <t>Run length matrix (3D, averaged)</t>
        </is>
      </c>
      <c r="C206" t="inlineStr">
        <is>
          <t>Run entropy</t>
        </is>
      </c>
      <c r="D206" t="inlineStr">
        <is>
          <t>RunEntropy</t>
        </is>
      </c>
      <c r="E206" t="inlineStr">
        <is>
          <t>6-9</t>
        </is>
      </c>
      <c r="F206" t="n">
        <v>5.08</v>
      </c>
      <c r="G206" t="n">
        <v>0.02</v>
      </c>
      <c r="H206" s="6" t="n">
        <v>4.98808828372259</v>
      </c>
      <c r="I206" s="4">
        <f>IFERROR(IF(NOT(H206=""),ABS(ROUNDDOWN(F206-H206, 3 - (1+INT(LOG10(ABS(F206)))))),""),IF(AND(F206=0,NOT(F206="")),ABS(ROUNDDOWN(F206-H206,0)),""))</f>
        <v/>
      </c>
      <c r="J206" s="4">
        <f>IF(NOT(I206=""),IF(I206&lt;=G206,"match",IF(I206&lt;3*G206,"partial match","no match")),"")</f>
        <v/>
      </c>
      <c r="K206" t="inlineStr">
        <is>
          <t>rlm_rl_entr_3D_avg</t>
        </is>
      </c>
    </row>
    <row r="207" ht="15" customHeight="1" s="10">
      <c r="A207" t="inlineStr">
        <is>
          <t>configuration D</t>
        </is>
      </c>
      <c r="B207" t="inlineStr">
        <is>
          <t>Run length matrix (3D, merged)</t>
        </is>
      </c>
      <c r="C207" t="inlineStr">
        <is>
          <t>Short runs emphasis</t>
        </is>
      </c>
      <c r="E207" t="inlineStr">
        <is>
          <t>6-9</t>
        </is>
      </c>
      <c r="F207" t="n">
        <v>0.736</v>
      </c>
      <c r="G207" t="n">
        <v>0.001</v>
      </c>
      <c r="H207" s="6" t="n"/>
      <c r="I207" s="4">
        <f>IFERROR(IF(NOT(H207=""),ABS(ROUNDDOWN(F207-H207, 3 - (1+INT(LOG10(ABS(F207)))))),""),IF(AND(F207=0,NOT(F207="")),ABS(ROUNDDOWN(F207-H207,0)),""))</f>
        <v/>
      </c>
      <c r="J207" s="4">
        <f>IF(NOT(I207=""),IF(I207&lt;=G207,"match",IF(I207&lt;3*G207,"partial match","no match")),"")</f>
        <v/>
      </c>
      <c r="K207" t="inlineStr">
        <is>
          <t>rlm_sre_3D_comb</t>
        </is>
      </c>
    </row>
    <row r="208" ht="15" customHeight="1" s="10">
      <c r="A208" t="inlineStr">
        <is>
          <t>configuration D</t>
        </is>
      </c>
      <c r="B208" t="inlineStr">
        <is>
          <t>Run length matrix (3D, merged)</t>
        </is>
      </c>
      <c r="C208" t="inlineStr">
        <is>
          <t>Long runs emphasis</t>
        </is>
      </c>
      <c r="E208" t="inlineStr">
        <is>
          <t>6-9</t>
        </is>
      </c>
      <c r="F208" t="n">
        <v>6.56</v>
      </c>
      <c r="G208" t="n">
        <v>0.18</v>
      </c>
      <c r="H208" s="6" t="n"/>
      <c r="I208" s="4">
        <f>IFERROR(IF(NOT(H208=""),ABS(ROUNDDOWN(F208-H208, 3 - (1+INT(LOG10(ABS(F208)))))),""),IF(AND(F208=0,NOT(F208="")),ABS(ROUNDDOWN(F208-H208,0)),""))</f>
        <v/>
      </c>
      <c r="J208" s="4">
        <f>IF(NOT(I208=""),IF(I208&lt;=G208,"match",IF(I208&lt;3*G208,"partial match","no match")),"")</f>
        <v/>
      </c>
      <c r="K208" t="inlineStr">
        <is>
          <t>rlm_lre_3D_comb</t>
        </is>
      </c>
    </row>
    <row r="209" ht="15" customHeight="1" s="10">
      <c r="A209" t="inlineStr">
        <is>
          <t>configuration D</t>
        </is>
      </c>
      <c r="B209" t="inlineStr">
        <is>
          <t>Run length matrix (3D, merged)</t>
        </is>
      </c>
      <c r="C209" t="inlineStr">
        <is>
          <t>Low grey level run emphasis</t>
        </is>
      </c>
      <c r="E209" t="inlineStr">
        <is>
          <t>6-9</t>
        </is>
      </c>
      <c r="F209" t="n">
        <v>0.0257</v>
      </c>
      <c r="G209" t="n">
        <v>0.0012</v>
      </c>
      <c r="H209" s="6" t="n"/>
      <c r="I209" s="4">
        <f>IFERROR(IF(NOT(H209=""),ABS(ROUNDDOWN(F209-H209, 3 - (1+INT(LOG10(ABS(F209)))))),""),IF(AND(F209=0,NOT(F209="")),ABS(ROUNDDOWN(F209-H209,0)),""))</f>
        <v/>
      </c>
      <c r="J209" s="4">
        <f>IF(NOT(I209=""),IF(I209&lt;=G209,"match",IF(I209&lt;3*G209,"partial match","no match")),"")</f>
        <v/>
      </c>
      <c r="K209" t="inlineStr">
        <is>
          <t>rlm_lgre_3D_comb</t>
        </is>
      </c>
    </row>
    <row r="210" ht="15" customHeight="1" s="10">
      <c r="A210" t="inlineStr">
        <is>
          <t>configuration D</t>
        </is>
      </c>
      <c r="B210" t="inlineStr">
        <is>
          <t>Run length matrix (3D, merged)</t>
        </is>
      </c>
      <c r="C210" t="inlineStr">
        <is>
          <t>High grey level run emphasis</t>
        </is>
      </c>
      <c r="E210" t="inlineStr">
        <is>
          <t>6-9</t>
        </is>
      </c>
      <c r="F210" t="n">
        <v>326</v>
      </c>
      <c r="G210" t="n">
        <v>17</v>
      </c>
      <c r="H210" s="6" t="n"/>
      <c r="I210" s="4">
        <f>IFERROR(IF(NOT(H210=""),ABS(ROUNDDOWN(F210-H210, 3 - (1+INT(LOG10(ABS(F210)))))),""),IF(AND(F210=0,NOT(F210="")),ABS(ROUNDDOWN(F210-H210,0)),""))</f>
        <v/>
      </c>
      <c r="J210" s="4">
        <f>IF(NOT(I210=""),IF(I210&lt;=G210,"match",IF(I210&lt;3*G210,"partial match","no match")),"")</f>
        <v/>
      </c>
      <c r="K210" t="inlineStr">
        <is>
          <t>rlm_hgre_3D_comb</t>
        </is>
      </c>
    </row>
    <row r="211" ht="15" customHeight="1" s="10">
      <c r="A211" t="inlineStr">
        <is>
          <t>configuration D</t>
        </is>
      </c>
      <c r="B211" t="inlineStr">
        <is>
          <t>Run length matrix (3D, merged)</t>
        </is>
      </c>
      <c r="C211" t="inlineStr">
        <is>
          <t>Short run low grey level emphasis</t>
        </is>
      </c>
      <c r="E211" t="inlineStr">
        <is>
          <t>6-9</t>
        </is>
      </c>
      <c r="F211" t="n">
        <v>0.0232</v>
      </c>
      <c r="G211" t="n">
        <v>0.001</v>
      </c>
      <c r="H211" s="6" t="n"/>
      <c r="I211" s="4">
        <f>IFERROR(IF(NOT(H211=""),ABS(ROUNDDOWN(F211-H211, 3 - (1+INT(LOG10(ABS(F211)))))),""),IF(AND(F211=0,NOT(F211="")),ABS(ROUNDDOWN(F211-H211,0)),""))</f>
        <v/>
      </c>
      <c r="J211" s="4">
        <f>IF(NOT(I211=""),IF(I211&lt;=G211,"match",IF(I211&lt;3*G211,"partial match","no match")),"")</f>
        <v/>
      </c>
      <c r="K211" t="inlineStr">
        <is>
          <t>rlm_srlge_3D_comb</t>
        </is>
      </c>
    </row>
    <row r="212" ht="15" customHeight="1" s="10">
      <c r="A212" t="inlineStr">
        <is>
          <t>configuration D</t>
        </is>
      </c>
      <c r="B212" t="inlineStr">
        <is>
          <t>Run length matrix (3D, merged)</t>
        </is>
      </c>
      <c r="C212" t="inlineStr">
        <is>
          <t>Short run high grey level emphasis</t>
        </is>
      </c>
      <c r="E212" t="inlineStr">
        <is>
          <t>6-9</t>
        </is>
      </c>
      <c r="F212" t="n">
        <v>219</v>
      </c>
      <c r="G212" t="n">
        <v>13</v>
      </c>
      <c r="H212" s="6" t="n"/>
      <c r="I212" s="4">
        <f>IFERROR(IF(NOT(H212=""),ABS(ROUNDDOWN(F212-H212, 3 - (1+INT(LOG10(ABS(F212)))))),""),IF(AND(F212=0,NOT(F212="")),ABS(ROUNDDOWN(F212-H212,0)),""))</f>
        <v/>
      </c>
      <c r="J212" s="4">
        <f>IF(NOT(I212=""),IF(I212&lt;=G212,"match",IF(I212&lt;3*G212,"partial match","no match")),"")</f>
        <v/>
      </c>
      <c r="K212" t="inlineStr">
        <is>
          <t>rlm_srhge_3D_comb</t>
        </is>
      </c>
    </row>
    <row r="213" ht="15" customHeight="1" s="10">
      <c r="A213" t="inlineStr">
        <is>
          <t>configuration D</t>
        </is>
      </c>
      <c r="B213" t="inlineStr">
        <is>
          <t>Run length matrix (3D, merged)</t>
        </is>
      </c>
      <c r="C213" t="inlineStr">
        <is>
          <t>Long run low grey level emphasis</t>
        </is>
      </c>
      <c r="E213" t="inlineStr">
        <is>
          <t>6-9</t>
        </is>
      </c>
      <c r="F213" t="n">
        <v>0.0478</v>
      </c>
      <c r="G213" t="n">
        <v>0.0031</v>
      </c>
      <c r="H213" s="6" t="n"/>
      <c r="I213" s="4">
        <f>IFERROR(IF(NOT(H213=""),ABS(ROUNDDOWN(F213-H213, 3 - (1+INT(LOG10(ABS(F213)))))),""),IF(AND(F213=0,NOT(F213="")),ABS(ROUNDDOWN(F213-H213,0)),""))</f>
        <v/>
      </c>
      <c r="J213" s="4">
        <f>IF(NOT(I213=""),IF(I213&lt;=G213,"match",IF(I213&lt;3*G213,"partial match","no match")),"")</f>
        <v/>
      </c>
      <c r="K213" t="inlineStr">
        <is>
          <t>rlm_lrlge_3D_comb</t>
        </is>
      </c>
    </row>
    <row r="214" ht="15" customHeight="1" s="10">
      <c r="A214" t="inlineStr">
        <is>
          <t>configuration D</t>
        </is>
      </c>
      <c r="B214" t="inlineStr">
        <is>
          <t>Run length matrix (3D, merged)</t>
        </is>
      </c>
      <c r="C214" t="inlineStr">
        <is>
          <t>Long run high grey level emphasis</t>
        </is>
      </c>
      <c r="E214" t="inlineStr">
        <is>
          <t>6-9</t>
        </is>
      </c>
      <c r="F214" t="n">
        <v>2630</v>
      </c>
      <c r="G214" t="n">
        <v>30</v>
      </c>
      <c r="H214" s="6" t="n"/>
      <c r="I214" s="4">
        <f>IFERROR(IF(NOT(H214=""),ABS(ROUNDDOWN(F214-H214, 3 - (1+INT(LOG10(ABS(F214)))))),""),IF(AND(F214=0,NOT(F214="")),ABS(ROUNDDOWN(F214-H214,0)),""))</f>
        <v/>
      </c>
      <c r="J214" s="4">
        <f>IF(NOT(I214=""),IF(I214&lt;=G214,"match",IF(I214&lt;3*G214,"partial match","no match")),"")</f>
        <v/>
      </c>
      <c r="K214" t="inlineStr">
        <is>
          <t>rlm_lrhge_3D_comb</t>
        </is>
      </c>
    </row>
    <row r="215" ht="15" customHeight="1" s="10">
      <c r="A215" t="inlineStr">
        <is>
          <t>configuration D</t>
        </is>
      </c>
      <c r="B215" t="inlineStr">
        <is>
          <t>Run length matrix (3D, merged)</t>
        </is>
      </c>
      <c r="C215" t="inlineStr">
        <is>
          <t>Grey level non-uniformity</t>
        </is>
      </c>
      <c r="E215" t="inlineStr">
        <is>
          <t>6-9</t>
        </is>
      </c>
      <c r="F215" t="n">
        <v>42800</v>
      </c>
      <c r="G215" t="n">
        <v>200</v>
      </c>
      <c r="H215" s="6" t="n"/>
      <c r="I215" s="4">
        <f>IFERROR(IF(NOT(H215=""),ABS(ROUNDDOWN(F215-H215, 3 - (1+INT(LOG10(ABS(F215)))))),""),IF(AND(F215=0,NOT(F215="")),ABS(ROUNDDOWN(F215-H215,0)),""))</f>
        <v/>
      </c>
      <c r="J215" s="4">
        <f>IF(NOT(I215=""),IF(I215&lt;=G215,"match",IF(I215&lt;3*G215,"partial match","no match")),"")</f>
        <v/>
      </c>
      <c r="K215" t="inlineStr">
        <is>
          <t>rlm_glnu_3D_comb</t>
        </is>
      </c>
    </row>
    <row r="216" ht="15" customHeight="1" s="10">
      <c r="A216" t="inlineStr">
        <is>
          <t>configuration D</t>
        </is>
      </c>
      <c r="B216" t="inlineStr">
        <is>
          <t>Run length matrix (3D, merged)</t>
        </is>
      </c>
      <c r="C216" t="inlineStr">
        <is>
          <t>Grey level non-uniformity normalised</t>
        </is>
      </c>
      <c r="E216" t="inlineStr">
        <is>
          <t>6-9</t>
        </is>
      </c>
      <c r="F216" t="n">
        <v>0.134</v>
      </c>
      <c r="G216" t="n">
        <v>0.002</v>
      </c>
      <c r="H216" s="6" t="n"/>
      <c r="I216" s="4">
        <f>IFERROR(IF(NOT(H216=""),ABS(ROUNDDOWN(F216-H216, 3 - (1+INT(LOG10(ABS(F216)))))),""),IF(AND(F216=0,NOT(F216="")),ABS(ROUNDDOWN(F216-H216,0)),""))</f>
        <v/>
      </c>
      <c r="J216" s="4">
        <f>IF(NOT(I216=""),IF(I216&lt;=G216,"match",IF(I216&lt;3*G216,"partial match","no match")),"")</f>
        <v/>
      </c>
      <c r="K216" t="inlineStr">
        <is>
          <t>rlm_glnu_norm_3D_comb</t>
        </is>
      </c>
    </row>
    <row r="217" ht="15" customHeight="1" s="10">
      <c r="A217" t="inlineStr">
        <is>
          <t>configuration D</t>
        </is>
      </c>
      <c r="B217" t="inlineStr">
        <is>
          <t>Run length matrix (3D, merged)</t>
        </is>
      </c>
      <c r="C217" t="inlineStr">
        <is>
          <t>Run length non-uniformity</t>
        </is>
      </c>
      <c r="E217" t="inlineStr">
        <is>
          <t>6-9</t>
        </is>
      </c>
      <c r="F217" t="n">
        <v>160000</v>
      </c>
      <c r="G217" t="n">
        <v>3000</v>
      </c>
      <c r="H217" s="6" t="n"/>
      <c r="I217" s="4">
        <f>IFERROR(IF(NOT(H217=""),ABS(ROUNDDOWN(F217-H217, 3 - (1+INT(LOG10(ABS(F217)))))),""),IF(AND(F217=0,NOT(F217="")),ABS(ROUNDDOWN(F217-H217,0)),""))</f>
        <v/>
      </c>
      <c r="J217" s="4">
        <f>IF(NOT(I217=""),IF(I217&lt;=G217,"match",IF(I217&lt;3*G217,"partial match","no match")),"")</f>
        <v/>
      </c>
      <c r="K217" t="inlineStr">
        <is>
          <t>rlm_rlnu_3D_comb</t>
        </is>
      </c>
    </row>
    <row r="218" ht="15" customHeight="1" s="10">
      <c r="A218" t="inlineStr">
        <is>
          <t>configuration D</t>
        </is>
      </c>
      <c r="B218" t="inlineStr">
        <is>
          <t>Run length matrix (3D, merged)</t>
        </is>
      </c>
      <c r="C218" t="inlineStr">
        <is>
          <t>Run length non-uniformity normalised</t>
        </is>
      </c>
      <c r="E218" t="inlineStr">
        <is>
          <t>6-9</t>
        </is>
      </c>
      <c r="F218" t="n">
        <v>0.501</v>
      </c>
      <c r="G218" t="n">
        <v>0.001</v>
      </c>
      <c r="H218" s="6" t="n"/>
      <c r="I218" s="4">
        <f>IFERROR(IF(NOT(H218=""),ABS(ROUNDDOWN(F218-H218, 3 - (1+INT(LOG10(ABS(F218)))))),""),IF(AND(F218=0,NOT(F218="")),ABS(ROUNDDOWN(F218-H218,0)),""))</f>
        <v/>
      </c>
      <c r="J218" s="4">
        <f>IF(NOT(I218=""),IF(I218&lt;=G218,"match",IF(I218&lt;3*G218,"partial match","no match")),"")</f>
        <v/>
      </c>
      <c r="K218" t="inlineStr">
        <is>
          <t>rlm_rlnu_norm_3D_comb</t>
        </is>
      </c>
    </row>
    <row r="219" ht="15" customHeight="1" s="10">
      <c r="A219" t="inlineStr">
        <is>
          <t>configuration D</t>
        </is>
      </c>
      <c r="B219" t="inlineStr">
        <is>
          <t>Run length matrix (3D, merged)</t>
        </is>
      </c>
      <c r="C219" t="inlineStr">
        <is>
          <t>Run percentage</t>
        </is>
      </c>
      <c r="E219" t="inlineStr">
        <is>
          <t>6-9</t>
        </is>
      </c>
      <c r="F219" t="n">
        <v>0.554</v>
      </c>
      <c r="G219" t="n">
        <v>0.005</v>
      </c>
      <c r="H219" s="6" t="n"/>
      <c r="I219" s="4">
        <f>IFERROR(IF(NOT(H219=""),ABS(ROUNDDOWN(F219-H219, 3 - (1+INT(LOG10(ABS(F219)))))),""),IF(AND(F219=0,NOT(F219="")),ABS(ROUNDDOWN(F219-H219,0)),""))</f>
        <v/>
      </c>
      <c r="J219" s="4">
        <f>IF(NOT(I219=""),IF(I219&lt;=G219,"match",IF(I219&lt;3*G219,"partial match","no match")),"")</f>
        <v/>
      </c>
      <c r="K219" t="inlineStr">
        <is>
          <t>rlm_r_perc_3D_comb</t>
        </is>
      </c>
    </row>
    <row r="220" ht="15" customHeight="1" s="10">
      <c r="A220" t="inlineStr">
        <is>
          <t>configuration D</t>
        </is>
      </c>
      <c r="B220" t="inlineStr">
        <is>
          <t>Run length matrix (3D, merged)</t>
        </is>
      </c>
      <c r="C220" t="inlineStr">
        <is>
          <t>Grey level variance</t>
        </is>
      </c>
      <c r="E220" t="inlineStr">
        <is>
          <t>6-9</t>
        </is>
      </c>
      <c r="F220" t="n">
        <v>31.4</v>
      </c>
      <c r="G220" t="n">
        <v>0.4</v>
      </c>
      <c r="H220" s="6" t="n"/>
      <c r="I220" s="4">
        <f>IFERROR(IF(NOT(H220=""),ABS(ROUNDDOWN(F220-H220, 3 - (1+INT(LOG10(ABS(F220)))))),""),IF(AND(F220=0,NOT(F220="")),ABS(ROUNDDOWN(F220-H220,0)),""))</f>
        <v/>
      </c>
      <c r="J220" s="4">
        <f>IF(NOT(I220=""),IF(I220&lt;=G220,"match",IF(I220&lt;3*G220,"partial match","no match")),"")</f>
        <v/>
      </c>
      <c r="K220" t="inlineStr">
        <is>
          <t>rlm_gl_var_3D_comb</t>
        </is>
      </c>
    </row>
    <row r="221" ht="15" customHeight="1" s="10">
      <c r="A221" t="inlineStr">
        <is>
          <t>configuration D</t>
        </is>
      </c>
      <c r="B221" t="inlineStr">
        <is>
          <t>Run length matrix (3D, merged)</t>
        </is>
      </c>
      <c r="C221" t="inlineStr">
        <is>
          <t>Run length variance</t>
        </is>
      </c>
      <c r="E221" t="inlineStr">
        <is>
          <t>6-9</t>
        </is>
      </c>
      <c r="F221" t="n">
        <v>3.29</v>
      </c>
      <c r="G221" t="n">
        <v>0.13</v>
      </c>
      <c r="H221" s="6" t="n"/>
      <c r="I221" s="4">
        <f>IFERROR(IF(NOT(H221=""),ABS(ROUNDDOWN(F221-H221, 3 - (1+INT(LOG10(ABS(F221)))))),""),IF(AND(F221=0,NOT(F221="")),ABS(ROUNDDOWN(F221-H221,0)),""))</f>
        <v/>
      </c>
      <c r="J221" s="4">
        <f>IF(NOT(I221=""),IF(I221&lt;=G221,"match",IF(I221&lt;3*G221,"partial match","no match")),"")</f>
        <v/>
      </c>
      <c r="K221" t="inlineStr">
        <is>
          <t>rlm_rl_var_3D_comb</t>
        </is>
      </c>
    </row>
    <row r="222" ht="15" customHeight="1" s="10">
      <c r="A222" t="inlineStr">
        <is>
          <t>configuration D</t>
        </is>
      </c>
      <c r="B222" t="inlineStr">
        <is>
          <t>Run length matrix (3D, merged)</t>
        </is>
      </c>
      <c r="C222" t="inlineStr">
        <is>
          <t>Run entropy</t>
        </is>
      </c>
      <c r="E222" t="inlineStr">
        <is>
          <t>6-9</t>
        </is>
      </c>
      <c r="F222" t="n">
        <v>5.08</v>
      </c>
      <c r="G222" t="n">
        <v>0.02</v>
      </c>
      <c r="H222" s="6" t="n"/>
      <c r="I222" s="4">
        <f>IFERROR(IF(NOT(H222=""),ABS(ROUNDDOWN(F222-H222, 3 - (1+INT(LOG10(ABS(F222)))))),""),IF(AND(F222=0,NOT(F222="")),ABS(ROUNDDOWN(F222-H222,0)),""))</f>
        <v/>
      </c>
      <c r="J222" s="4">
        <f>IF(NOT(I222=""),IF(I222&lt;=G222,"match",IF(I222&lt;3*G222,"partial match","no match")),"")</f>
        <v/>
      </c>
      <c r="K222" t="inlineStr">
        <is>
          <t>rlm_rl_entr_3D_comb</t>
        </is>
      </c>
    </row>
    <row r="223" ht="15" customHeight="1" s="10">
      <c r="A223" t="inlineStr">
        <is>
          <t>configuration D</t>
        </is>
      </c>
      <c r="B223" t="inlineStr">
        <is>
          <t>Size zone matrix (3D)</t>
        </is>
      </c>
      <c r="C223" t="inlineStr">
        <is>
          <t>Small zone emphasis</t>
        </is>
      </c>
      <c r="D223" t="inlineStr">
        <is>
          <t>SmallZoneEmphasis</t>
        </is>
      </c>
      <c r="E223" t="inlineStr">
        <is>
          <t>6-9</t>
        </is>
      </c>
      <c r="F223" t="n">
        <v>0.637</v>
      </c>
      <c r="G223" t="n">
        <v>0.005</v>
      </c>
      <c r="H223" s="6" t="n">
        <v>0.637849235878432</v>
      </c>
      <c r="I223" s="4">
        <f>IFERROR(IF(NOT(H223=""),ABS(ROUNDDOWN(F223-H223, 3 - (1+INT(LOG10(ABS(F223)))))),""),IF(AND(F223=0,NOT(F223="")),ABS(ROUNDDOWN(F223-H223,0)),""))</f>
        <v/>
      </c>
      <c r="J223" s="4">
        <f>IF(NOT(I223=""),IF(I223&lt;=G223,"match",IF(I223&lt;3*G223,"partial match","no match")),"")</f>
        <v/>
      </c>
      <c r="K223" t="inlineStr">
        <is>
          <t>szm_sze_3D</t>
        </is>
      </c>
    </row>
    <row r="224" ht="15" customHeight="1" s="10">
      <c r="A224" t="inlineStr">
        <is>
          <t>configuration D</t>
        </is>
      </c>
      <c r="B224" t="inlineStr">
        <is>
          <t>Size zone matrix (3D)</t>
        </is>
      </c>
      <c r="C224" t="inlineStr">
        <is>
          <t>Large zone emphasis</t>
        </is>
      </c>
      <c r="D224" t="inlineStr">
        <is>
          <t>LargeZoneEmphasis</t>
        </is>
      </c>
      <c r="E224" t="inlineStr">
        <is>
          <t>6-9</t>
        </is>
      </c>
      <c r="F224" t="n">
        <v>99100</v>
      </c>
      <c r="G224" t="n">
        <v>2800</v>
      </c>
      <c r="H224" s="6" t="n">
        <v>105126.157881833</v>
      </c>
      <c r="I224" s="4">
        <f>IFERROR(IF(NOT(H224=""),ABS(ROUNDDOWN(F224-H224, 3 - (1+INT(LOG10(ABS(F224)))))),""),IF(AND(F224=0,NOT(F224="")),ABS(ROUNDDOWN(F224-H224,0)),""))</f>
        <v/>
      </c>
      <c r="J224" s="4">
        <f>IF(NOT(I224=""),IF(I224&lt;=G224,"match",IF(I224&lt;3*G224,"partial match","no match")),"")</f>
        <v/>
      </c>
      <c r="K224" t="inlineStr">
        <is>
          <t>szm_lze_3D</t>
        </is>
      </c>
    </row>
    <row r="225" ht="15" customHeight="1" s="10">
      <c r="A225" t="inlineStr">
        <is>
          <t>configuration D</t>
        </is>
      </c>
      <c r="B225" t="inlineStr">
        <is>
          <t>Size zone matrix (3D)</t>
        </is>
      </c>
      <c r="C225" t="inlineStr">
        <is>
          <t>Low grey level emphasis</t>
        </is>
      </c>
      <c r="D225" t="inlineStr">
        <is>
          <t>LowGrayLevelZoneEmphasis</t>
        </is>
      </c>
      <c r="E225" t="inlineStr">
        <is>
          <t>6-9</t>
        </is>
      </c>
      <c r="F225" t="n">
        <v>0.0409</v>
      </c>
      <c r="G225" t="n">
        <v>0.0005</v>
      </c>
      <c r="H225" s="6" t="n">
        <v>0.044710487980945</v>
      </c>
      <c r="I225" s="4">
        <f>IFERROR(IF(NOT(H225=""),ABS(ROUNDDOWN(F225-H225, 3 - (1+INT(LOG10(ABS(F225)))))),""),IF(AND(F225=0,NOT(F225="")),ABS(ROUNDDOWN(F225-H225,0)),""))</f>
        <v/>
      </c>
      <c r="J225" s="4">
        <f>IF(NOT(I225=""),IF(I225&lt;=G225,"match",IF(I225&lt;3*G225,"partial match","no match")),"")</f>
        <v/>
      </c>
      <c r="K225" t="inlineStr">
        <is>
          <t>szm_lgze_3D</t>
        </is>
      </c>
    </row>
    <row r="226" ht="15" customHeight="1" s="10">
      <c r="A226" t="inlineStr">
        <is>
          <t>configuration D</t>
        </is>
      </c>
      <c r="B226" t="inlineStr">
        <is>
          <t>Size zone matrix (3D)</t>
        </is>
      </c>
      <c r="C226" t="inlineStr">
        <is>
          <t>High grey level emphasis</t>
        </is>
      </c>
      <c r="D226" t="inlineStr">
        <is>
          <t>HighGrayLevelZoneEmphasis</t>
        </is>
      </c>
      <c r="E226" t="inlineStr">
        <is>
          <t>6-9</t>
        </is>
      </c>
      <c r="F226" t="n">
        <v>188</v>
      </c>
      <c r="G226" t="n">
        <v>10</v>
      </c>
      <c r="H226" s="6" t="n">
        <v>161.547438097572</v>
      </c>
      <c r="I226" s="4">
        <f>IFERROR(IF(NOT(H226=""),ABS(ROUNDDOWN(F226-H226, 3 - (1+INT(LOG10(ABS(F226)))))),""),IF(AND(F226=0,NOT(F226="")),ABS(ROUNDDOWN(F226-H226,0)),""))</f>
        <v/>
      </c>
      <c r="J226" s="4">
        <f>IF(NOT(I226=""),IF(I226&lt;=G226,"match",IF(I226&lt;3*G226,"partial match","no match")),"")</f>
        <v/>
      </c>
      <c r="K226" t="inlineStr">
        <is>
          <t>szm_hgze_3D</t>
        </is>
      </c>
    </row>
    <row r="227" ht="15" customHeight="1" s="10">
      <c r="A227" t="inlineStr">
        <is>
          <t>configuration D</t>
        </is>
      </c>
      <c r="B227" t="inlineStr">
        <is>
          <t>Size zone matrix (3D)</t>
        </is>
      </c>
      <c r="C227" t="inlineStr">
        <is>
          <t>Small zone low grey level emphasis</t>
        </is>
      </c>
      <c r="D227" t="inlineStr">
        <is>
          <t>SmallZoneLowGrayLevelEmphasis</t>
        </is>
      </c>
      <c r="E227" t="inlineStr">
        <is>
          <t>6-9</t>
        </is>
      </c>
      <c r="F227" t="n">
        <v>0.0248</v>
      </c>
      <c r="G227" t="n">
        <v>0.0004</v>
      </c>
      <c r="H227" s="6" t="n">
        <v>0.0260067108599226</v>
      </c>
      <c r="I227" s="4">
        <f>IFERROR(IF(NOT(H227=""),ABS(ROUNDDOWN(F227-H227, 3 - (1+INT(LOG10(ABS(F227)))))),""),IF(AND(F227=0,NOT(F227="")),ABS(ROUNDDOWN(F227-H227,0)),""))</f>
        <v/>
      </c>
      <c r="J227" s="4">
        <f>IF(NOT(I227=""),IF(I227&lt;=G227,"match",IF(I227&lt;3*G227,"partial match","no match")),"")</f>
        <v/>
      </c>
      <c r="K227" t="inlineStr">
        <is>
          <t>szm_szlge_3D</t>
        </is>
      </c>
    </row>
    <row r="228" ht="15" customHeight="1" s="10">
      <c r="A228" t="inlineStr">
        <is>
          <t>configuration D</t>
        </is>
      </c>
      <c r="B228" t="inlineStr">
        <is>
          <t>Size zone matrix (3D)</t>
        </is>
      </c>
      <c r="C228" t="inlineStr">
        <is>
          <t>Small zone high grey level emphasis</t>
        </is>
      </c>
      <c r="D228" t="inlineStr">
        <is>
          <t>SmallZoneHighGrayLevelEmphasis</t>
        </is>
      </c>
      <c r="E228" t="inlineStr">
        <is>
          <t>6-9</t>
        </is>
      </c>
      <c r="F228" t="n">
        <v>117</v>
      </c>
      <c r="G228" t="n">
        <v>7</v>
      </c>
      <c r="H228" s="6" t="n">
        <v>102.007146295707</v>
      </c>
      <c r="I228" s="4">
        <f>IFERROR(IF(NOT(H228=""),ABS(ROUNDDOWN(F228-H228, 3 - (1+INT(LOG10(ABS(F228)))))),""),IF(AND(F228=0,NOT(F228="")),ABS(ROUNDDOWN(F228-H228,0)),""))</f>
        <v/>
      </c>
      <c r="J228" s="4">
        <f>IF(NOT(I228=""),IF(I228&lt;=G228,"match",IF(I228&lt;3*G228,"partial match","no match")),"")</f>
        <v/>
      </c>
      <c r="K228" t="inlineStr">
        <is>
          <t>szm_szhge_3D</t>
        </is>
      </c>
    </row>
    <row r="229" ht="15" customHeight="1" s="10">
      <c r="A229" t="inlineStr">
        <is>
          <t>configuration D</t>
        </is>
      </c>
      <c r="B229" t="inlineStr">
        <is>
          <t>Size zone matrix (3D)</t>
        </is>
      </c>
      <c r="C229" t="inlineStr">
        <is>
          <t>Large zone low grey level emphasis</t>
        </is>
      </c>
      <c r="D229" t="inlineStr">
        <is>
          <t>LargeZoneLowGrayLevelEmphasis</t>
        </is>
      </c>
      <c r="E229" t="inlineStr">
        <is>
          <t>6-9</t>
        </is>
      </c>
      <c r="F229" t="n">
        <v>241</v>
      </c>
      <c r="G229" t="n">
        <v>14</v>
      </c>
      <c r="H229" s="6" t="n">
        <v>296.608669936339</v>
      </c>
      <c r="I229" s="4">
        <f>IFERROR(IF(NOT(H229=""),ABS(ROUNDDOWN(F229-H229, 3 - (1+INT(LOG10(ABS(F229)))))),""),IF(AND(F229=0,NOT(F229="")),ABS(ROUNDDOWN(F229-H229,0)),""))</f>
        <v/>
      </c>
      <c r="J229" s="4">
        <f>IF(NOT(I229=""),IF(I229&lt;=G229,"match",IF(I229&lt;3*G229,"partial match","no match")),"")</f>
        <v/>
      </c>
      <c r="K229" t="inlineStr">
        <is>
          <t>szm_lzlge_3D</t>
        </is>
      </c>
    </row>
    <row r="230" ht="15" customHeight="1" s="10">
      <c r="A230" t="inlineStr">
        <is>
          <t>configuration D</t>
        </is>
      </c>
      <c r="B230" t="inlineStr">
        <is>
          <t>Size zone matrix (3D)</t>
        </is>
      </c>
      <c r="C230" t="inlineStr">
        <is>
          <t>Large zone high grey level emphasis</t>
        </is>
      </c>
      <c r="D230" t="inlineStr">
        <is>
          <t>LargeZoneHighGrayLevelEmphasis</t>
        </is>
      </c>
      <c r="E230" t="inlineStr">
        <is>
          <t>6-9</t>
        </is>
      </c>
      <c r="F230" t="n">
        <v>41400000</v>
      </c>
      <c r="G230" t="n">
        <v>300000</v>
      </c>
      <c r="H230" s="8" t="n">
        <v>37745588.3402794</v>
      </c>
      <c r="I230" s="4">
        <f>IFERROR(IF(NOT(H230=""),ABS(ROUNDDOWN(F230-H230, 3 - (1+INT(LOG10(ABS(F230)))))),""),IF(AND(F230=0,NOT(F230="")),ABS(ROUNDDOWN(F230-H230,0)),""))</f>
        <v/>
      </c>
      <c r="J230" s="4">
        <f>IF(NOT(I230=""),IF(I230&lt;=G230,"match",IF(I230&lt;3*G230,"partial match","no match")),"")</f>
        <v/>
      </c>
      <c r="K230" t="inlineStr">
        <is>
          <t>szm_lzhge_3D</t>
        </is>
      </c>
    </row>
    <row r="231" ht="15" customHeight="1" s="10">
      <c r="A231" t="inlineStr">
        <is>
          <t>configuration D</t>
        </is>
      </c>
      <c r="B231" t="inlineStr">
        <is>
          <t>Size zone matrix (3D)</t>
        </is>
      </c>
      <c r="C231" t="inlineStr">
        <is>
          <t>Grey level non-uniformity</t>
        </is>
      </c>
      <c r="D231" t="inlineStr">
        <is>
          <t>GrayLevelNonUniformity</t>
        </is>
      </c>
      <c r="E231" t="inlineStr">
        <is>
          <t>6-9</t>
        </is>
      </c>
      <c r="F231" t="n">
        <v>212</v>
      </c>
      <c r="G231" t="n">
        <v>6</v>
      </c>
      <c r="H231" s="6" t="n">
        <v>216.43515567541</v>
      </c>
      <c r="I231" s="4">
        <f>IFERROR(IF(NOT(H231=""),ABS(ROUNDDOWN(F231-H231, 3 - (1+INT(LOG10(ABS(F231)))))),""),IF(AND(F231=0,NOT(F231="")),ABS(ROUNDDOWN(F231-H231,0)),""))</f>
        <v/>
      </c>
      <c r="J231" s="4">
        <f>IF(NOT(I231=""),IF(I231&lt;=G231,"match",IF(I231&lt;3*G231,"partial match","no match")),"")</f>
        <v/>
      </c>
      <c r="K231" t="inlineStr">
        <is>
          <t>szm_glnu_3D</t>
        </is>
      </c>
    </row>
    <row r="232" ht="15" customHeight="1" s="10">
      <c r="A232" t="inlineStr">
        <is>
          <t>configuration D</t>
        </is>
      </c>
      <c r="B232" t="inlineStr">
        <is>
          <t>Size zone matrix (3D)</t>
        </is>
      </c>
      <c r="C232" t="inlineStr">
        <is>
          <t>Grey level non uniformity normalised</t>
        </is>
      </c>
      <c r="D232" t="inlineStr">
        <is>
          <t>GrayLevelNonUniformityNormalized</t>
        </is>
      </c>
      <c r="E232" t="inlineStr">
        <is>
          <t>6-9</t>
        </is>
      </c>
      <c r="F232" t="n">
        <v>0.0491</v>
      </c>
      <c r="G232" t="n">
        <v>0.0008</v>
      </c>
      <c r="H232" s="6" t="n">
        <v>0.053060837380586</v>
      </c>
      <c r="I232" s="4">
        <f>IFERROR(IF(NOT(H232=""),ABS(ROUNDDOWN(F232-H232, 3 - (1+INT(LOG10(ABS(F232)))))),""),IF(AND(F232=0,NOT(F232="")),ABS(ROUNDDOWN(F232-H232,0)),""))</f>
        <v/>
      </c>
      <c r="J232" s="4">
        <f>IF(NOT(I232=""),IF(I232&lt;=G232,"match",IF(I232&lt;3*G232,"partial match","no match")),"")</f>
        <v/>
      </c>
      <c r="K232" t="inlineStr">
        <is>
          <t>szm_glnu_norm_3D</t>
        </is>
      </c>
    </row>
    <row r="233" ht="15" customHeight="1" s="10">
      <c r="A233" t="inlineStr">
        <is>
          <t>configuration D</t>
        </is>
      </c>
      <c r="B233" t="inlineStr">
        <is>
          <t>Size zone matrix (3D)</t>
        </is>
      </c>
      <c r="C233" t="inlineStr">
        <is>
          <t>Zone size non-uniformity</t>
        </is>
      </c>
      <c r="D233" t="inlineStr">
        <is>
          <t>SizeZoneNonUniformity</t>
        </is>
      </c>
      <c r="E233" t="inlineStr">
        <is>
          <t>6-9</t>
        </is>
      </c>
      <c r="F233" t="n">
        <v>1630</v>
      </c>
      <c r="G233" t="n">
        <v>10</v>
      </c>
      <c r="H233" s="6" t="n">
        <v>1542.83819563618</v>
      </c>
      <c r="I233" s="4">
        <f>IFERROR(IF(NOT(H233=""),ABS(ROUNDDOWN(F233-H233, 3 - (1+INT(LOG10(ABS(F233)))))),""),IF(AND(F233=0,NOT(F233="")),ABS(ROUNDDOWN(F233-H233,0)),""))</f>
        <v/>
      </c>
      <c r="J233" s="4">
        <f>IF(NOT(I233=""),IF(I233&lt;=G233,"match",IF(I233&lt;3*G233,"partial match","no match")),"")</f>
        <v/>
      </c>
      <c r="K233" t="inlineStr">
        <is>
          <t>szm_zsnu_3D</t>
        </is>
      </c>
    </row>
    <row r="234" ht="15" customHeight="1" s="10">
      <c r="A234" t="inlineStr">
        <is>
          <t>configuration D</t>
        </is>
      </c>
      <c r="B234" t="inlineStr">
        <is>
          <t>Size zone matrix (3D)</t>
        </is>
      </c>
      <c r="C234" t="inlineStr">
        <is>
          <t>Zone size non-uniformity normalised</t>
        </is>
      </c>
      <c r="D234" t="inlineStr">
        <is>
          <t>SizeZoneNonUniformityNormalized</t>
        </is>
      </c>
      <c r="E234" t="inlineStr">
        <is>
          <t>6-9</t>
        </is>
      </c>
      <c r="F234" t="n">
        <v>0.377</v>
      </c>
      <c r="G234" t="n">
        <v>0.006</v>
      </c>
      <c r="H234" s="6" t="n">
        <v>0.378239322293745</v>
      </c>
      <c r="I234" s="4">
        <f>IFERROR(IF(NOT(H234=""),ABS(ROUNDDOWN(F234-H234, 3 - (1+INT(LOG10(ABS(F234)))))),""),IF(AND(F234=0,NOT(F234="")),ABS(ROUNDDOWN(F234-H234,0)),""))</f>
        <v/>
      </c>
      <c r="J234" s="4">
        <f>IF(NOT(I234=""),IF(I234&lt;=G234,"match",IF(I234&lt;3*G234,"partial match","no match")),"")</f>
        <v/>
      </c>
      <c r="K234" t="inlineStr">
        <is>
          <t>szm_zsnu_norm_3D</t>
        </is>
      </c>
    </row>
    <row r="235" ht="15" customHeight="1" s="10">
      <c r="A235" t="inlineStr">
        <is>
          <t>configuration D</t>
        </is>
      </c>
      <c r="B235" t="inlineStr">
        <is>
          <t>Size zone matrix (3D)</t>
        </is>
      </c>
      <c r="C235" t="inlineStr">
        <is>
          <t>Zone percentage</t>
        </is>
      </c>
      <c r="D235" t="inlineStr">
        <is>
          <t>ZonePercentage</t>
        </is>
      </c>
      <c r="E235" t="inlineStr">
        <is>
          <t>6-9</t>
        </is>
      </c>
      <c r="F235" t="n">
        <v>0.09719999999999999</v>
      </c>
      <c r="G235" t="n">
        <v>0.0007</v>
      </c>
      <c r="H235" s="6" t="n">
        <v>0.09245240253853119</v>
      </c>
      <c r="I235" s="4">
        <f>IFERROR(IF(NOT(H235=""),ABS(ROUNDDOWN(F235-H235, 3 - (1+INT(LOG10(ABS(F235)))))),""),IF(AND(F235=0,NOT(F235="")),ABS(ROUNDDOWN(F235-H235,0)),""))</f>
        <v/>
      </c>
      <c r="J235" s="4">
        <f>IF(NOT(I235=""),IF(I235&lt;=G235,"match",IF(I235&lt;3*G235,"partial match","no match")),"")</f>
        <v/>
      </c>
      <c r="K235" t="inlineStr">
        <is>
          <t>szm_z_perc_3D</t>
        </is>
      </c>
    </row>
    <row r="236" ht="15" customHeight="1" s="10">
      <c r="A236" t="inlineStr">
        <is>
          <t>configuration D</t>
        </is>
      </c>
      <c r="B236" t="inlineStr">
        <is>
          <t>Size zone matrix (3D)</t>
        </is>
      </c>
      <c r="C236" t="inlineStr">
        <is>
          <t>Grey level variance</t>
        </is>
      </c>
      <c r="D236" t="inlineStr">
        <is>
          <t>GrayLevelVariance</t>
        </is>
      </c>
      <c r="E236" t="inlineStr">
        <is>
          <t>6-9</t>
        </is>
      </c>
      <c r="F236" t="n">
        <v>32.7</v>
      </c>
      <c r="G236" t="n">
        <v>1.6</v>
      </c>
      <c r="H236" s="6" t="n">
        <v>27.9095303403766</v>
      </c>
      <c r="I236" s="4">
        <f>IFERROR(IF(NOT(H236=""),ABS(ROUNDDOWN(F236-H236, 3 - (1+INT(LOG10(ABS(F236)))))),""),IF(AND(F236=0,NOT(F236="")),ABS(ROUNDDOWN(F236-H236,0)),""))</f>
        <v/>
      </c>
      <c r="J236" s="4">
        <f>IF(NOT(I236=""),IF(I236&lt;=G236,"match",IF(I236&lt;3*G236,"partial match","no match")),"")</f>
        <v/>
      </c>
      <c r="K236" t="inlineStr">
        <is>
          <t>szm_gl_var_3D</t>
        </is>
      </c>
    </row>
    <row r="237" ht="15" customHeight="1" s="10">
      <c r="A237" t="inlineStr">
        <is>
          <t>configuration D</t>
        </is>
      </c>
      <c r="B237" t="inlineStr">
        <is>
          <t>Size zone matrix (3D)</t>
        </is>
      </c>
      <c r="C237" t="inlineStr">
        <is>
          <t>Zone size variance</t>
        </is>
      </c>
      <c r="D237" t="inlineStr">
        <is>
          <t>ZoneSizeVariance</t>
        </is>
      </c>
      <c r="E237" t="inlineStr">
        <is>
          <t>6-9</t>
        </is>
      </c>
      <c r="F237" t="n">
        <v>99000</v>
      </c>
      <c r="G237" t="n">
        <v>2800</v>
      </c>
      <c r="H237" s="6" t="n">
        <v>105009.163879883</v>
      </c>
      <c r="I237" s="4">
        <f>IFERROR(IF(NOT(H237=""),ABS(ROUNDDOWN(F237-H237, 3 - (1+INT(LOG10(ABS(F237)))))),""),IF(AND(F237=0,NOT(F237="")),ABS(ROUNDDOWN(F237-H237,0)),""))</f>
        <v/>
      </c>
      <c r="J237" s="4">
        <f>IF(NOT(I237=""),IF(I237&lt;=G237,"match",IF(I237&lt;3*G237,"partial match","no match")),"")</f>
        <v/>
      </c>
      <c r="K237" t="inlineStr">
        <is>
          <t>szm_zs_var_3D</t>
        </is>
      </c>
    </row>
    <row r="238" ht="15" customHeight="1" s="10">
      <c r="A238" t="inlineStr">
        <is>
          <t>configuration D</t>
        </is>
      </c>
      <c r="B238" t="inlineStr">
        <is>
          <t>Size zone matrix (3D)</t>
        </is>
      </c>
      <c r="C238" t="inlineStr">
        <is>
          <t>Zone size entropy</t>
        </is>
      </c>
      <c r="D238" t="inlineStr">
        <is>
          <t>ZoneSizeEntropy</t>
        </is>
      </c>
      <c r="E238" t="inlineStr">
        <is>
          <t>6-9</t>
        </is>
      </c>
      <c r="F238" t="n">
        <v>6.52</v>
      </c>
      <c r="G238" t="n">
        <v>0.01</v>
      </c>
      <c r="H238" s="6" t="n">
        <v>6.39601218994399</v>
      </c>
      <c r="I238" s="4">
        <f>IFERROR(IF(NOT(H238=""),ABS(ROUNDDOWN(F238-H238, 3 - (1+INT(LOG10(ABS(F238)))))),""),IF(AND(F238=0,NOT(F238="")),ABS(ROUNDDOWN(F238-H238,0)),""))</f>
        <v/>
      </c>
      <c r="J238" s="4">
        <f>IF(NOT(I238=""),IF(I238&lt;=G238,"match",IF(I238&lt;3*G238,"partial match","no match")),"")</f>
        <v/>
      </c>
      <c r="K238" t="inlineStr">
        <is>
          <t>szm_zs_entr_3D</t>
        </is>
      </c>
    </row>
    <row r="239" ht="15" customHeight="1" s="10">
      <c r="A239" t="inlineStr">
        <is>
          <t>configuration D</t>
        </is>
      </c>
      <c r="B239" t="inlineStr">
        <is>
          <t>Distance zone matrix (3D)</t>
        </is>
      </c>
      <c r="C239" t="inlineStr">
        <is>
          <t>Small distance emphasis</t>
        </is>
      </c>
      <c r="D239" t="inlineStr">
        <is>
          <t>SmallDistanceEmphasis</t>
        </is>
      </c>
      <c r="E239" t="inlineStr">
        <is>
          <t>3-5</t>
        </is>
      </c>
      <c r="F239" t="n">
        <v>0.579</v>
      </c>
      <c r="G239" t="n">
        <v>0.004</v>
      </c>
      <c r="H239" s="6" t="n">
        <v>0.6868283709773561</v>
      </c>
      <c r="I239" s="4">
        <f>IFERROR(IF(NOT(H239=""),ABS(ROUNDDOWN(F239-H239, 3 - (1+INT(LOG10(ABS(F239)))))),""),IF(AND(F239=0,NOT(F239="")),ABS(ROUNDDOWN(F239-H239,0)),""))</f>
        <v/>
      </c>
      <c r="J239" s="4">
        <f>IF(NOT(I239=""),IF(I239&lt;=G239,"match",IF(I239&lt;3*G239,"partial match","no match")),"")</f>
        <v/>
      </c>
      <c r="K239" t="inlineStr">
        <is>
          <t>dzm_sde_3D</t>
        </is>
      </c>
    </row>
    <row r="240" ht="15" customHeight="1" s="10">
      <c r="A240" t="inlineStr">
        <is>
          <t>configuration D</t>
        </is>
      </c>
      <c r="B240" t="inlineStr">
        <is>
          <t>Distance zone matrix (3D)</t>
        </is>
      </c>
      <c r="C240" t="inlineStr">
        <is>
          <t>Large distance emphasis</t>
        </is>
      </c>
      <c r="D240" t="inlineStr">
        <is>
          <t>LargeDistanceEmphasis</t>
        </is>
      </c>
      <c r="E240" t="inlineStr">
        <is>
          <t>3-5</t>
        </is>
      </c>
      <c r="F240" t="n">
        <v>10.3</v>
      </c>
      <c r="G240" t="n">
        <v>0.1</v>
      </c>
      <c r="H240" s="6" t="n">
        <v>6.04510909536651</v>
      </c>
      <c r="I240" s="4">
        <f>IFERROR(IF(NOT(H240=""),ABS(ROUNDDOWN(F240-H240, 3 - (1+INT(LOG10(ABS(F240)))))),""),IF(AND(F240=0,NOT(F240="")),ABS(ROUNDDOWN(F240-H240,0)),""))</f>
        <v/>
      </c>
      <c r="J240" s="4">
        <f>IF(NOT(I240=""),IF(I240&lt;=G240,"match",IF(I240&lt;3*G240,"partial match","no match")),"")</f>
        <v/>
      </c>
      <c r="K240" t="inlineStr">
        <is>
          <t>dzm_lde_3D</t>
        </is>
      </c>
    </row>
    <row r="241" ht="15" customHeight="1" s="10">
      <c r="A241" t="inlineStr">
        <is>
          <t>configuration D</t>
        </is>
      </c>
      <c r="B241" t="inlineStr">
        <is>
          <t>Distance zone matrix (3D)</t>
        </is>
      </c>
      <c r="C241" t="inlineStr">
        <is>
          <t>Low grey level emphasis</t>
        </is>
      </c>
      <c r="D241" t="inlineStr">
        <is>
          <t>LowGrayLevelZoneEmphasis</t>
        </is>
      </c>
      <c r="E241" t="inlineStr">
        <is>
          <t>3-5</t>
        </is>
      </c>
      <c r="F241" t="n">
        <v>0.0409</v>
      </c>
      <c r="G241" t="n">
        <v>0.0005</v>
      </c>
      <c r="H241" s="6" t="n">
        <v>0.044710487980945</v>
      </c>
      <c r="I241" s="4">
        <f>IFERROR(IF(NOT(H241=""),ABS(ROUNDDOWN(F241-H241, 3 - (1+INT(LOG10(ABS(F241)))))),""),IF(AND(F241=0,NOT(F241="")),ABS(ROUNDDOWN(F241-H241,0)),""))</f>
        <v/>
      </c>
      <c r="J241" s="4">
        <f>IF(NOT(I241=""),IF(I241&lt;=G241,"match",IF(I241&lt;3*G241,"partial match","no match")),"")</f>
        <v/>
      </c>
      <c r="K241" t="inlineStr">
        <is>
          <t>dzm_lgze_3D</t>
        </is>
      </c>
    </row>
    <row r="242" ht="15" customHeight="1" s="10">
      <c r="A242" t="inlineStr">
        <is>
          <t>configuration D</t>
        </is>
      </c>
      <c r="B242" t="inlineStr">
        <is>
          <t>Distance zone matrix (3D)</t>
        </is>
      </c>
      <c r="C242" t="inlineStr">
        <is>
          <t>High grey level emphasis</t>
        </is>
      </c>
      <c r="D242" t="inlineStr">
        <is>
          <t>HighGrayLevelZoneEmphasis</t>
        </is>
      </c>
      <c r="E242" t="inlineStr">
        <is>
          <t>3-5</t>
        </is>
      </c>
      <c r="F242" t="n">
        <v>188</v>
      </c>
      <c r="G242" t="n">
        <v>10</v>
      </c>
      <c r="H242" s="6" t="n">
        <v>161.547438097572</v>
      </c>
      <c r="I242" s="4">
        <f>IFERROR(IF(NOT(H242=""),ABS(ROUNDDOWN(F242-H242, 3 - (1+INT(LOG10(ABS(F242)))))),""),IF(AND(F242=0,NOT(F242="")),ABS(ROUNDDOWN(F242-H242,0)),""))</f>
        <v/>
      </c>
      <c r="J242" s="4">
        <f>IF(NOT(I242=""),IF(I242&lt;=G242,"match",IF(I242&lt;3*G242,"partial match","no match")),"")</f>
        <v/>
      </c>
      <c r="K242" t="inlineStr">
        <is>
          <t>dzm_hgze_3D</t>
        </is>
      </c>
    </row>
    <row r="243" ht="15" customHeight="1" s="10">
      <c r="A243" t="inlineStr">
        <is>
          <t>configuration D</t>
        </is>
      </c>
      <c r="B243" t="inlineStr">
        <is>
          <t>Distance zone matrix (3D)</t>
        </is>
      </c>
      <c r="C243" t="inlineStr">
        <is>
          <t>Small distance low grey level emphasis</t>
        </is>
      </c>
      <c r="D243" t="inlineStr">
        <is>
          <t>SmallDistanceLowGrayLevelEmphasis</t>
        </is>
      </c>
      <c r="E243" t="inlineStr">
        <is>
          <t>3-5</t>
        </is>
      </c>
      <c r="F243" t="n">
        <v>0.0302</v>
      </c>
      <c r="G243" t="n">
        <v>0.0005999999999999999</v>
      </c>
      <c r="H243" s="6" t="n">
        <v>0.0415830446005416</v>
      </c>
      <c r="I243" s="4">
        <f>IFERROR(IF(NOT(H243=""),ABS(ROUNDDOWN(F243-H243, 3 - (1+INT(LOG10(ABS(F243)))))),""),IF(AND(F243=0,NOT(F243="")),ABS(ROUNDDOWN(F243-H243,0)),""))</f>
        <v/>
      </c>
      <c r="J243" s="4">
        <f>IF(NOT(I243=""),IF(I243&lt;=G243,"match",IF(I243&lt;3*G243,"partial match","no match")),"")</f>
        <v/>
      </c>
      <c r="K243" t="inlineStr">
        <is>
          <t>dzm_sdlge_3D</t>
        </is>
      </c>
    </row>
    <row r="244" ht="15" customHeight="1" s="10">
      <c r="A244" t="inlineStr">
        <is>
          <t>configuration D</t>
        </is>
      </c>
      <c r="B244" t="inlineStr">
        <is>
          <t>Distance zone matrix (3D)</t>
        </is>
      </c>
      <c r="C244" t="inlineStr">
        <is>
          <t>Small distance high grey level emphasis</t>
        </is>
      </c>
      <c r="D244" t="inlineStr">
        <is>
          <t>SmallDistanceHighGrayLevelEmphasis</t>
        </is>
      </c>
      <c r="E244" t="inlineStr">
        <is>
          <t>3-5</t>
        </is>
      </c>
      <c r="F244" t="n">
        <v>99.3</v>
      </c>
      <c r="G244" t="n">
        <v>5.1</v>
      </c>
      <c r="H244" s="6" t="n">
        <v>96.0875594476029</v>
      </c>
      <c r="I244" s="4">
        <f>IFERROR(IF(NOT(H244=""),ABS(ROUNDDOWN(F244-H244, 3 - (1+INT(LOG10(ABS(F244)))))),""),IF(AND(F244=0,NOT(F244="")),ABS(ROUNDDOWN(F244-H244,0)),""))</f>
        <v/>
      </c>
      <c r="J244" s="4">
        <f>IF(NOT(I244=""),IF(I244&lt;=G244,"match",IF(I244&lt;3*G244,"partial match","no match")),"")</f>
        <v/>
      </c>
      <c r="K244" t="inlineStr">
        <is>
          <t>dzm_sdhge_3D</t>
        </is>
      </c>
    </row>
    <row r="245" ht="15" customHeight="1" s="10">
      <c r="A245" t="inlineStr">
        <is>
          <t>configuration D</t>
        </is>
      </c>
      <c r="B245" t="inlineStr">
        <is>
          <t>Distance zone matrix (3D)</t>
        </is>
      </c>
      <c r="C245" t="inlineStr">
        <is>
          <t>Large distance low grey level emphasis</t>
        </is>
      </c>
      <c r="D245" t="inlineStr">
        <is>
          <t>LargeDistanceLowGrayLevelEmphasis</t>
        </is>
      </c>
      <c r="E245" t="inlineStr">
        <is>
          <t>3-5</t>
        </is>
      </c>
      <c r="F245" t="n">
        <v>0.183</v>
      </c>
      <c r="G245" t="n">
        <v>0.004</v>
      </c>
      <c r="H245" s="6" t="n">
        <v>0.0749209351359036</v>
      </c>
      <c r="I245" s="4">
        <f>IFERROR(IF(NOT(H245=""),ABS(ROUNDDOWN(F245-H245, 3 - (1+INT(LOG10(ABS(F245)))))),""),IF(AND(F245=0,NOT(F245="")),ABS(ROUNDDOWN(F245-H245,0)),""))</f>
        <v/>
      </c>
      <c r="J245" s="4">
        <f>IF(NOT(I245=""),IF(I245&lt;=G245,"match",IF(I245&lt;3*G245,"partial match","no match")),"")</f>
        <v/>
      </c>
      <c r="K245" t="inlineStr">
        <is>
          <t>dzm_ldlge_3D</t>
        </is>
      </c>
    </row>
    <row r="246" ht="15" customHeight="1" s="10">
      <c r="A246" t="inlineStr">
        <is>
          <t>configuration D</t>
        </is>
      </c>
      <c r="B246" t="inlineStr">
        <is>
          <t>Distance zone matrix (3D)</t>
        </is>
      </c>
      <c r="C246" t="inlineStr">
        <is>
          <t>Large distance high grey level emphasis</t>
        </is>
      </c>
      <c r="D246" t="inlineStr">
        <is>
          <t>LargeDistanceHighGrayLevelEmphasis</t>
        </is>
      </c>
      <c r="E246" t="inlineStr">
        <is>
          <t>3-5</t>
        </is>
      </c>
      <c r="F246" t="n">
        <v>2620</v>
      </c>
      <c r="G246" t="n">
        <v>110</v>
      </c>
      <c r="H246" s="6" t="n">
        <v>1537.23927433194</v>
      </c>
      <c r="I246" s="4">
        <f>IFERROR(IF(NOT(H246=""),ABS(ROUNDDOWN(F246-H246, 3 - (1+INT(LOG10(ABS(F246)))))),""),IF(AND(F246=0,NOT(F246="")),ABS(ROUNDDOWN(F246-H246,0)),""))</f>
        <v/>
      </c>
      <c r="J246" s="4">
        <f>IF(NOT(I246=""),IF(I246&lt;=G246,"match",IF(I246&lt;3*G246,"partial match","no match")),"")</f>
        <v/>
      </c>
      <c r="K246" t="inlineStr">
        <is>
          <t>dzm_ldhge_3D</t>
        </is>
      </c>
    </row>
    <row r="247" ht="15" customHeight="1" s="10">
      <c r="A247" t="inlineStr">
        <is>
          <t>configuration D</t>
        </is>
      </c>
      <c r="B247" t="inlineStr">
        <is>
          <t>Distance zone matrix (3D)</t>
        </is>
      </c>
      <c r="C247" t="inlineStr">
        <is>
          <t>Grey level non-uniformity</t>
        </is>
      </c>
      <c r="D247" t="inlineStr">
        <is>
          <t>GrayLevelNonUniformity</t>
        </is>
      </c>
      <c r="E247" t="inlineStr">
        <is>
          <t>3-5</t>
        </is>
      </c>
      <c r="F247" t="n">
        <v>212</v>
      </c>
      <c r="G247" t="n">
        <v>6</v>
      </c>
      <c r="H247" s="6" t="n">
        <v>216.43515567541</v>
      </c>
      <c r="I247" s="4">
        <f>IFERROR(IF(NOT(H247=""),ABS(ROUNDDOWN(F247-H247, 3 - (1+INT(LOG10(ABS(F247)))))),""),IF(AND(F247=0,NOT(F247="")),ABS(ROUNDDOWN(F247-H247,0)),""))</f>
        <v/>
      </c>
      <c r="J247" s="4">
        <f>IF(NOT(I247=""),IF(I247&lt;=G247,"match",IF(I247&lt;3*G247,"partial match","no match")),"")</f>
        <v/>
      </c>
      <c r="K247" t="inlineStr">
        <is>
          <t>dzm_glnu_3D</t>
        </is>
      </c>
    </row>
    <row r="248" ht="15" customHeight="1" s="10">
      <c r="A248" t="inlineStr">
        <is>
          <t>configuration D</t>
        </is>
      </c>
      <c r="B248" t="inlineStr">
        <is>
          <t>Distance zone matrix (3D)</t>
        </is>
      </c>
      <c r="C248" t="inlineStr">
        <is>
          <t>Grey level non-uniformity normalised</t>
        </is>
      </c>
      <c r="D248" t="inlineStr">
        <is>
          <t>GrayLevelNonUniformityNormalized</t>
        </is>
      </c>
      <c r="E248" t="inlineStr">
        <is>
          <t>3-5</t>
        </is>
      </c>
      <c r="F248" t="n">
        <v>0.0491</v>
      </c>
      <c r="G248" t="n">
        <v>0.0008</v>
      </c>
      <c r="H248" s="6" t="n">
        <v>0.053060837380586</v>
      </c>
      <c r="I248" s="4">
        <f>IFERROR(IF(NOT(H248=""),ABS(ROUNDDOWN(F248-H248, 3 - (1+INT(LOG10(ABS(F248)))))),""),IF(AND(F248=0,NOT(F248="")),ABS(ROUNDDOWN(F248-H248,0)),""))</f>
        <v/>
      </c>
      <c r="J248" s="4">
        <f>IF(NOT(I248=""),IF(I248&lt;=G248,"match",IF(I248&lt;3*G248,"partial match","no match")),"")</f>
        <v/>
      </c>
      <c r="K248" t="inlineStr">
        <is>
          <t>dzm_glnu_norm_3D</t>
        </is>
      </c>
    </row>
    <row r="249" ht="15" customHeight="1" s="10">
      <c r="A249" t="inlineStr">
        <is>
          <t>configuration D</t>
        </is>
      </c>
      <c r="B249" t="inlineStr">
        <is>
          <t>Distance zone matrix (3D)</t>
        </is>
      </c>
      <c r="C249" t="inlineStr">
        <is>
          <t>Zone distance non-uniformity</t>
        </is>
      </c>
      <c r="D249" t="inlineStr">
        <is>
          <t>ZoneDistanceNonUniformity</t>
        </is>
      </c>
      <c r="E249" t="inlineStr">
        <is>
          <t>3-5</t>
        </is>
      </c>
      <c r="F249" t="n">
        <v>1370</v>
      </c>
      <c r="G249" t="n">
        <v>20</v>
      </c>
      <c r="H249" s="6" t="n">
        <v>1785.21770041676</v>
      </c>
      <c r="I249" s="4">
        <f>IFERROR(IF(NOT(H249=""),ABS(ROUNDDOWN(F249-H249, 3 - (1+INT(LOG10(ABS(F249)))))),""),IF(AND(F249=0,NOT(F249="")),ABS(ROUNDDOWN(F249-H249,0)),""))</f>
        <v/>
      </c>
      <c r="J249" s="4">
        <f>IF(NOT(I249=""),IF(I249&lt;=G249,"match",IF(I249&lt;3*G249,"partial match","no match")),"")</f>
        <v/>
      </c>
      <c r="K249" t="inlineStr">
        <is>
          <t>dzm_zdnu_3D</t>
        </is>
      </c>
    </row>
    <row r="250" ht="15" customHeight="1" s="10">
      <c r="A250" t="inlineStr">
        <is>
          <t>configuration D</t>
        </is>
      </c>
      <c r="B250" t="inlineStr">
        <is>
          <t>Distance zone matrix (3D)</t>
        </is>
      </c>
      <c r="C250" t="inlineStr">
        <is>
          <t>Zone distance non-uniformity normalised</t>
        </is>
      </c>
      <c r="D250" t="inlineStr">
        <is>
          <t>ZoneDistanceNonUniformityNormalized</t>
        </is>
      </c>
      <c r="E250" t="inlineStr">
        <is>
          <t>3-5</t>
        </is>
      </c>
      <c r="F250" t="n">
        <v>0.317</v>
      </c>
      <c r="G250" t="n">
        <v>0.004</v>
      </c>
      <c r="H250" s="6" t="n">
        <v>0.437660627706979</v>
      </c>
      <c r="I250" s="4">
        <f>IFERROR(IF(NOT(H250=""),ABS(ROUNDDOWN(F250-H250, 3 - (1+INT(LOG10(ABS(F250)))))),""),IF(AND(F250=0,NOT(F250="")),ABS(ROUNDDOWN(F250-H250,0)),""))</f>
        <v/>
      </c>
      <c r="J250" s="4">
        <f>IF(NOT(I250=""),IF(I250&lt;=G250,"match",IF(I250&lt;3*G250,"partial match","no match")),"")</f>
        <v/>
      </c>
      <c r="K250" t="inlineStr">
        <is>
          <t>dzm_zdnu_norm_3D</t>
        </is>
      </c>
    </row>
    <row r="251" ht="15" customHeight="1" s="10">
      <c r="A251" t="inlineStr">
        <is>
          <t>configuration D</t>
        </is>
      </c>
      <c r="B251" t="inlineStr">
        <is>
          <t>Distance zone matrix (3D)</t>
        </is>
      </c>
      <c r="C251" t="inlineStr">
        <is>
          <t>Zone percentage</t>
        </is>
      </c>
      <c r="D251" t="inlineStr">
        <is>
          <t>ZonePercentage</t>
        </is>
      </c>
      <c r="E251" t="inlineStr">
        <is>
          <t>3-5</t>
        </is>
      </c>
      <c r="F251" t="n">
        <v>0.09719999999999999</v>
      </c>
      <c r="G251" t="n">
        <v>0.0007</v>
      </c>
      <c r="H251" s="6" t="n">
        <v>0.09245240253853119</v>
      </c>
      <c r="I251" s="4">
        <f>IFERROR(IF(NOT(H251=""),ABS(ROUNDDOWN(F251-H251, 3 - (1+INT(LOG10(ABS(F251)))))),""),IF(AND(F251=0,NOT(F251="")),ABS(ROUNDDOWN(F251-H251,0)),""))</f>
        <v/>
      </c>
      <c r="J251" s="4">
        <f>IF(NOT(I251=""),IF(I251&lt;=G251,"match",IF(I251&lt;3*G251,"partial match","no match")),"")</f>
        <v/>
      </c>
      <c r="K251" t="inlineStr">
        <is>
          <t>dzm_z_perc_3D</t>
        </is>
      </c>
    </row>
    <row r="252" ht="15" customHeight="1" s="10">
      <c r="A252" t="inlineStr">
        <is>
          <t>configuration D</t>
        </is>
      </c>
      <c r="B252" t="inlineStr">
        <is>
          <t>Distance zone matrix (3D)</t>
        </is>
      </c>
      <c r="C252" t="inlineStr">
        <is>
          <t>Grey level variance</t>
        </is>
      </c>
      <c r="D252" t="inlineStr">
        <is>
          <t>GrayLevelVariance</t>
        </is>
      </c>
      <c r="E252" t="inlineStr">
        <is>
          <t>3-5</t>
        </is>
      </c>
      <c r="F252" t="n">
        <v>32.7</v>
      </c>
      <c r="G252" t="n">
        <v>1.6</v>
      </c>
      <c r="H252" s="6" t="n">
        <v>27.9095303403767</v>
      </c>
      <c r="I252" s="4">
        <f>IFERROR(IF(NOT(H252=""),ABS(ROUNDDOWN(F252-H252, 3 - (1+INT(LOG10(ABS(F252)))))),""),IF(AND(F252=0,NOT(F252="")),ABS(ROUNDDOWN(F252-H252,0)),""))</f>
        <v/>
      </c>
      <c r="J252" s="4">
        <f>IF(NOT(I252=""),IF(I252&lt;=G252,"match",IF(I252&lt;3*G252,"partial match","no match")),"")</f>
        <v/>
      </c>
      <c r="K252" t="inlineStr">
        <is>
          <t>dzm_gl_var_3D</t>
        </is>
      </c>
    </row>
    <row r="253" ht="15" customHeight="1" s="10">
      <c r="A253" t="inlineStr">
        <is>
          <t>configuration D</t>
        </is>
      </c>
      <c r="B253" t="inlineStr">
        <is>
          <t>Distance zone matrix (3D)</t>
        </is>
      </c>
      <c r="C253" t="inlineStr">
        <is>
          <t>Zone distance variance</t>
        </is>
      </c>
      <c r="D253" t="inlineStr">
        <is>
          <t>ZoneDistanceVariance</t>
        </is>
      </c>
      <c r="E253" t="inlineStr">
        <is>
          <t>3-5</t>
        </is>
      </c>
      <c r="F253" t="n">
        <v>4.61</v>
      </c>
      <c r="G253" t="n">
        <v>0.04</v>
      </c>
      <c r="H253" s="6" t="n">
        <v>2.70568661675233</v>
      </c>
      <c r="I253" s="4">
        <f>IFERROR(IF(NOT(H253=""),ABS(ROUNDDOWN(F253-H253, 3 - (1+INT(LOG10(ABS(F253)))))),""),IF(AND(F253=0,NOT(F253="")),ABS(ROUNDDOWN(F253-H253,0)),""))</f>
        <v/>
      </c>
      <c r="J253" s="4">
        <f>IF(NOT(I253=""),IF(I253&lt;=G253,"match",IF(I253&lt;3*G253,"partial match","no match")),"")</f>
        <v/>
      </c>
      <c r="K253" t="inlineStr">
        <is>
          <t>dzm_zd_var_3D</t>
        </is>
      </c>
    </row>
    <row r="254" ht="15" customHeight="1" s="10">
      <c r="A254" t="inlineStr">
        <is>
          <t>configuration D</t>
        </is>
      </c>
      <c r="B254" t="inlineStr">
        <is>
          <t>Distance zone matrix (3D)</t>
        </is>
      </c>
      <c r="C254" t="inlineStr">
        <is>
          <t>Zone distance entropy</t>
        </is>
      </c>
      <c r="D254" t="inlineStr">
        <is>
          <t>ZoneDistanceEntropy</t>
        </is>
      </c>
      <c r="E254" t="inlineStr">
        <is>
          <t>3-5</t>
        </is>
      </c>
      <c r="F254" t="n">
        <v>6.61</v>
      </c>
      <c r="G254" t="n">
        <v>0.03</v>
      </c>
      <c r="H254" s="6" t="n">
        <v>5.91054732672633</v>
      </c>
      <c r="I254" s="4">
        <f>IFERROR(IF(NOT(H254=""),ABS(ROUNDDOWN(F254-H254, 3 - (1+INT(LOG10(ABS(F254)))))),""),IF(AND(F254=0,NOT(F254="")),ABS(ROUNDDOWN(F254-H254,0)),""))</f>
        <v/>
      </c>
      <c r="J254" s="4">
        <f>IF(NOT(I254=""),IF(I254&lt;=G254,"match",IF(I254&lt;3*G254,"partial match","no match")),"")</f>
        <v/>
      </c>
      <c r="K254" t="inlineStr">
        <is>
          <t>dzm_zd_entr_3D</t>
        </is>
      </c>
    </row>
    <row r="255" ht="15" customHeight="1" s="10">
      <c r="A255" t="inlineStr">
        <is>
          <t>configuration D</t>
        </is>
      </c>
      <c r="B255" t="inlineStr">
        <is>
          <t>Neighbourhood grey tone difference matrix (3D)</t>
        </is>
      </c>
      <c r="C255" t="inlineStr">
        <is>
          <t>Coarseness</t>
        </is>
      </c>
      <c r="D255" t="inlineStr">
        <is>
          <t>Coarseness</t>
        </is>
      </c>
      <c r="E255" t="inlineStr">
        <is>
          <t>6-9</t>
        </is>
      </c>
      <c r="F255" t="n">
        <v>0.000208</v>
      </c>
      <c r="G255" t="n">
        <v>4e-06</v>
      </c>
      <c r="H255" s="8" t="n">
        <v>0.000201177221707138</v>
      </c>
      <c r="I255" s="4">
        <f>IFERROR(IF(NOT(H255=""),ABS(ROUNDDOWN(F255-H255, 3 - (1+INT(LOG10(ABS(F255)))))),""),IF(AND(F255=0,NOT(F255="")),ABS(ROUNDDOWN(F255-H255,0)),""))</f>
        <v/>
      </c>
      <c r="J255" s="4">
        <f>IF(NOT(I255=""),IF(I255&lt;=G255,"match",IF(I255&lt;3*G255,"partial match","no match")),"")</f>
        <v/>
      </c>
      <c r="K255" t="inlineStr">
        <is>
          <t>ngt_coarseness_3D</t>
        </is>
      </c>
    </row>
    <row r="256" ht="15" customHeight="1" s="10">
      <c r="A256" t="inlineStr">
        <is>
          <t>configuration D</t>
        </is>
      </c>
      <c r="B256" t="inlineStr">
        <is>
          <t>Neighbourhood grey tone difference matrix (3D)</t>
        </is>
      </c>
      <c r="C256" t="inlineStr">
        <is>
          <t>Contrast</t>
        </is>
      </c>
      <c r="D256" t="inlineStr">
        <is>
          <t>Contrast</t>
        </is>
      </c>
      <c r="E256" t="inlineStr">
        <is>
          <t>6-9</t>
        </is>
      </c>
      <c r="F256" t="n">
        <v>0.046</v>
      </c>
      <c r="G256" t="n">
        <v>0.0005</v>
      </c>
      <c r="H256" s="6" t="n">
        <v>0.0364599296101551</v>
      </c>
      <c r="I256" s="4">
        <f>IFERROR(IF(NOT(H256=""),ABS(ROUNDDOWN(F256-H256, 3 - (1+INT(LOG10(ABS(F256)))))),""),IF(AND(F256=0,NOT(F256="")),ABS(ROUNDDOWN(F256-H256,0)),""))</f>
        <v/>
      </c>
      <c r="J256" s="4">
        <f>IF(NOT(I256=""),IF(I256&lt;=G256,"match",IF(I256&lt;3*G256,"partial match","no match")),"")</f>
        <v/>
      </c>
      <c r="K256" t="inlineStr">
        <is>
          <t>ngt_contrast_3D</t>
        </is>
      </c>
    </row>
    <row r="257" ht="15" customHeight="1" s="10">
      <c r="A257" t="inlineStr">
        <is>
          <t>configuration D</t>
        </is>
      </c>
      <c r="B257" t="inlineStr">
        <is>
          <t>Neighbourhood grey tone difference matrix (3D)</t>
        </is>
      </c>
      <c r="C257" t="inlineStr">
        <is>
          <t>Busyness</t>
        </is>
      </c>
      <c r="D257" t="inlineStr">
        <is>
          <t>Busyness</t>
        </is>
      </c>
      <c r="E257" t="inlineStr">
        <is>
          <t>6-9</t>
        </is>
      </c>
      <c r="F257" t="n">
        <v>5.14</v>
      </c>
      <c r="G257" t="n">
        <v>0.14</v>
      </c>
      <c r="H257" s="6" t="n">
        <v>5.6633720804353</v>
      </c>
      <c r="I257" s="4">
        <f>IFERROR(IF(NOT(H257=""),ABS(ROUNDDOWN(F257-H257, 3 - (1+INT(LOG10(ABS(F257)))))),""),IF(AND(F257=0,NOT(F257="")),ABS(ROUNDDOWN(F257-H257,0)),""))</f>
        <v/>
      </c>
      <c r="J257" s="4">
        <f>IF(NOT(I257=""),IF(I257&lt;=G257,"match",IF(I257&lt;3*G257,"partial match","no match")),"")</f>
        <v/>
      </c>
      <c r="K257" t="inlineStr">
        <is>
          <t>ngt_busyness_3D</t>
        </is>
      </c>
    </row>
    <row r="258" ht="15" customHeight="1" s="10">
      <c r="A258" t="inlineStr">
        <is>
          <t>configuration D</t>
        </is>
      </c>
      <c r="B258" t="inlineStr">
        <is>
          <t>Neighbourhood grey tone difference matrix (3D)</t>
        </is>
      </c>
      <c r="C258" t="inlineStr">
        <is>
          <t>Complexity</t>
        </is>
      </c>
      <c r="D258" t="inlineStr">
        <is>
          <t>Complexity</t>
        </is>
      </c>
      <c r="E258" t="inlineStr">
        <is>
          <t>6-9</t>
        </is>
      </c>
      <c r="F258" t="n">
        <v>400</v>
      </c>
      <c r="G258" t="n">
        <v>5</v>
      </c>
      <c r="H258" s="6" t="n">
        <v>388.02547029472</v>
      </c>
      <c r="I258" s="4">
        <f>IFERROR(IF(NOT(H258=""),ABS(ROUNDDOWN(F258-H258, 3 - (1+INT(LOG10(ABS(F258)))))),""),IF(AND(F258=0,NOT(F258="")),ABS(ROUNDDOWN(F258-H258,0)),""))</f>
        <v/>
      </c>
      <c r="J258" s="4">
        <f>IF(NOT(I258=""),IF(I258&lt;=G258,"match",IF(I258&lt;3*G258,"partial match","no match")),"")</f>
        <v/>
      </c>
      <c r="K258" t="inlineStr">
        <is>
          <t>ngt_complexity_3D</t>
        </is>
      </c>
    </row>
    <row r="259" ht="15" customHeight="1" s="10">
      <c r="A259" t="inlineStr">
        <is>
          <t>configuration D</t>
        </is>
      </c>
      <c r="B259" t="inlineStr">
        <is>
          <t>Neighbourhood grey tone difference matrix (3D)</t>
        </is>
      </c>
      <c r="C259" t="inlineStr">
        <is>
          <t>Strength</t>
        </is>
      </c>
      <c r="D259" t="inlineStr">
        <is>
          <t>Strength</t>
        </is>
      </c>
      <c r="E259" t="inlineStr">
        <is>
          <t>6-9</t>
        </is>
      </c>
      <c r="F259" t="n">
        <v>0.162</v>
      </c>
      <c r="G259" t="n">
        <v>0.008</v>
      </c>
      <c r="H259" s="6" t="n">
        <v>0.152535630066616</v>
      </c>
      <c r="I259" s="4">
        <f>IFERROR(IF(NOT(H259=""),ABS(ROUNDDOWN(F259-H259, 3 - (1+INT(LOG10(ABS(F259)))))),""),IF(AND(F259=0,NOT(F259="")),ABS(ROUNDDOWN(F259-H259,0)),""))</f>
        <v/>
      </c>
      <c r="J259" s="4">
        <f>IF(NOT(I259=""),IF(I259&lt;=G259,"match",IF(I259&lt;3*G259,"partial match","no match")),"")</f>
        <v/>
      </c>
      <c r="K259" t="inlineStr">
        <is>
          <t>ngt_strength_3D</t>
        </is>
      </c>
    </row>
    <row r="260" ht="15" customHeight="1" s="10">
      <c r="A260" t="inlineStr">
        <is>
          <t>configuration D</t>
        </is>
      </c>
      <c r="B260" t="inlineStr">
        <is>
          <t>Neighbouring grey level dependence matrix (3D)</t>
        </is>
      </c>
      <c r="C260" t="inlineStr">
        <is>
          <t>Low dependence emphasis</t>
        </is>
      </c>
      <c r="D260" t="inlineStr">
        <is>
          <t>LowDependenceEmphasis</t>
        </is>
      </c>
      <c r="E260" t="inlineStr">
        <is>
          <t>6-9</t>
        </is>
      </c>
      <c r="F260" t="n">
        <v>0.0912</v>
      </c>
      <c r="G260" t="n">
        <v>0.0007</v>
      </c>
      <c r="H260" s="6" t="n">
        <v>0.0861723691296634</v>
      </c>
      <c r="I260" s="4">
        <f>IFERROR(IF(NOT(H260=""),ABS(ROUNDDOWN(F260-H260, 3 - (1+INT(LOG10(ABS(F260)))))),""),IF(AND(F260=0,NOT(F260="")),ABS(ROUNDDOWN(F260-H260,0)),""))</f>
        <v/>
      </c>
      <c r="J260" s="4">
        <f>IF(NOT(I260=""),IF(I260&lt;=G260,"match",IF(I260&lt;3*G260,"partial match","no match")),"")</f>
        <v/>
      </c>
      <c r="K260" t="inlineStr">
        <is>
          <t>ngl_lde_3D</t>
        </is>
      </c>
    </row>
    <row r="261" ht="15" customHeight="1" s="10">
      <c r="A261" t="inlineStr">
        <is>
          <t>configuration D</t>
        </is>
      </c>
      <c r="B261" t="inlineStr">
        <is>
          <t>Neighbouring grey level dependence matrix (3D)</t>
        </is>
      </c>
      <c r="C261" t="inlineStr">
        <is>
          <t>High dependence emphasis</t>
        </is>
      </c>
      <c r="D261" t="inlineStr">
        <is>
          <t>HighDependenceEmphasis</t>
        </is>
      </c>
      <c r="E261" t="inlineStr">
        <is>
          <t>6-9</t>
        </is>
      </c>
      <c r="F261" t="n">
        <v>223</v>
      </c>
      <c r="G261" t="n">
        <v>5</v>
      </c>
      <c r="H261" s="6" t="n">
        <v>218.879011786038</v>
      </c>
      <c r="I261" s="4">
        <f>IFERROR(IF(NOT(H261=""),ABS(ROUNDDOWN(F261-H261, 3 - (1+INT(LOG10(ABS(F261)))))),""),IF(AND(F261=0,NOT(F261="")),ABS(ROUNDDOWN(F261-H261,0)),""))</f>
        <v/>
      </c>
      <c r="J261" s="4">
        <f>IF(NOT(I261=""),IF(I261&lt;=G261,"match",IF(I261&lt;3*G261,"partial match","no match")),"")</f>
        <v/>
      </c>
      <c r="K261" t="inlineStr">
        <is>
          <t>ngl_hde_3D</t>
        </is>
      </c>
    </row>
    <row r="262" ht="15" customHeight="1" s="10">
      <c r="A262" t="inlineStr">
        <is>
          <t>configuration D</t>
        </is>
      </c>
      <c r="B262" t="inlineStr">
        <is>
          <t>Neighbouring grey level dependence matrix (3D)</t>
        </is>
      </c>
      <c r="C262" t="inlineStr">
        <is>
          <t>Low grey level count emphasis</t>
        </is>
      </c>
      <c r="D262" t="inlineStr">
        <is>
          <t>LowGrayLevelCountEmphasis</t>
        </is>
      </c>
      <c r="E262" t="inlineStr">
        <is>
          <t>6-9</t>
        </is>
      </c>
      <c r="F262" t="n">
        <v>0.0168</v>
      </c>
      <c r="G262" t="n">
        <v>0.0009</v>
      </c>
      <c r="H262" s="6" t="n">
        <v>0.0167417653735904</v>
      </c>
      <c r="I262" s="4">
        <f>IFERROR(IF(NOT(H262=""),ABS(ROUNDDOWN(F262-H262, 3 - (1+INT(LOG10(ABS(F262)))))),""),IF(AND(F262=0,NOT(F262="")),ABS(ROUNDDOWN(F262-H262,0)),""))</f>
        <v/>
      </c>
      <c r="J262" s="4">
        <f>IF(NOT(I262=""),IF(I262&lt;=G262,"match",IF(I262&lt;3*G262,"partial match","no match")),"")</f>
        <v/>
      </c>
      <c r="K262" t="inlineStr">
        <is>
          <t>ngl_lgce_3D</t>
        </is>
      </c>
    </row>
    <row r="263" ht="15" customHeight="1" s="10">
      <c r="A263" t="inlineStr">
        <is>
          <t>configuration D</t>
        </is>
      </c>
      <c r="B263" t="inlineStr">
        <is>
          <t>Neighbouring grey level dependence matrix (3D)</t>
        </is>
      </c>
      <c r="C263" t="inlineStr">
        <is>
          <t>High grey level count emphasis</t>
        </is>
      </c>
      <c r="D263" t="inlineStr">
        <is>
          <t>HighGrayLevelCountEmphasis</t>
        </is>
      </c>
      <c r="E263" t="inlineStr">
        <is>
          <t>6-9</t>
        </is>
      </c>
      <c r="F263" t="n">
        <v>364</v>
      </c>
      <c r="G263" t="n">
        <v>16</v>
      </c>
      <c r="H263" s="6" t="n">
        <v>313.987669990933</v>
      </c>
      <c r="I263" s="4">
        <f>IFERROR(IF(NOT(H263=""),ABS(ROUNDDOWN(F263-H263, 3 - (1+INT(LOG10(ABS(F263)))))),""),IF(AND(F263=0,NOT(F263="")),ABS(ROUNDDOWN(F263-H263,0)),""))</f>
        <v/>
      </c>
      <c r="J263" s="4">
        <f>IF(NOT(I263=""),IF(I263&lt;=G263,"match",IF(I263&lt;3*G263,"partial match","no match")),"")</f>
        <v/>
      </c>
      <c r="K263" t="inlineStr">
        <is>
          <t>ngl_hgce_3D</t>
        </is>
      </c>
    </row>
    <row r="264" ht="15" customHeight="1" s="10">
      <c r="A264" t="inlineStr">
        <is>
          <t>configuration D</t>
        </is>
      </c>
      <c r="B264" t="inlineStr">
        <is>
          <t>Neighbouring grey level dependence matrix (3D)</t>
        </is>
      </c>
      <c r="C264" t="inlineStr">
        <is>
          <t>Low dependence low grey level emphasis</t>
        </is>
      </c>
      <c r="D264" t="inlineStr">
        <is>
          <t>LowDependenceLowGrayLevelEmphasis</t>
        </is>
      </c>
      <c r="E264" t="inlineStr">
        <is>
          <t>6-9</t>
        </is>
      </c>
      <c r="F264" t="n">
        <v>0.00357</v>
      </c>
      <c r="G264" t="n">
        <v>4e-05</v>
      </c>
      <c r="H264" s="8" t="n">
        <v>0.00357785294063553</v>
      </c>
      <c r="I264" s="4">
        <f>IFERROR(IF(NOT(H264=""),ABS(ROUNDDOWN(F264-H264, 3 - (1+INT(LOG10(ABS(F264)))))),""),IF(AND(F264=0,NOT(F264="")),ABS(ROUNDDOWN(F264-H264,0)),""))</f>
        <v/>
      </c>
      <c r="J264" s="4">
        <f>IF(NOT(I264=""),IF(I264&lt;=G264,"match",IF(I264&lt;3*G264,"partial match","no match")),"")</f>
        <v/>
      </c>
      <c r="K264" t="inlineStr">
        <is>
          <t>ngl_ldlge_3D</t>
        </is>
      </c>
    </row>
    <row r="265" ht="15" customHeight="1" s="10">
      <c r="A265" t="inlineStr">
        <is>
          <t>configuration D</t>
        </is>
      </c>
      <c r="B265" t="inlineStr">
        <is>
          <t>Neighbouring grey level dependence matrix (3D)</t>
        </is>
      </c>
      <c r="C265" t="inlineStr">
        <is>
          <t>Low dependence high grey level emphasis</t>
        </is>
      </c>
      <c r="D265" t="inlineStr">
        <is>
          <t>LowDependenceHighGrayLevelEmphasis</t>
        </is>
      </c>
      <c r="E265" t="inlineStr">
        <is>
          <t>6-9</t>
        </is>
      </c>
      <c r="F265" t="n">
        <v>18.9</v>
      </c>
      <c r="G265" t="n">
        <v>1.1</v>
      </c>
      <c r="H265" s="6" t="n">
        <v>15.4119205930169</v>
      </c>
      <c r="I265" s="4">
        <f>IFERROR(IF(NOT(H265=""),ABS(ROUNDDOWN(F265-H265, 3 - (1+INT(LOG10(ABS(F265)))))),""),IF(AND(F265=0,NOT(F265="")),ABS(ROUNDDOWN(F265-H265,0)),""))</f>
        <v/>
      </c>
      <c r="J265" s="4">
        <f>IF(NOT(I265=""),IF(I265&lt;=G265,"match",IF(I265&lt;3*G265,"partial match","no match")),"")</f>
        <v/>
      </c>
      <c r="K265" t="inlineStr">
        <is>
          <t>ngl_ldhge_3D</t>
        </is>
      </c>
    </row>
    <row r="266" ht="15" customHeight="1" s="10">
      <c r="A266" t="inlineStr">
        <is>
          <t>configuration D</t>
        </is>
      </c>
      <c r="B266" t="inlineStr">
        <is>
          <t>Neighbouring grey level dependence matrix (3D)</t>
        </is>
      </c>
      <c r="C266" t="inlineStr">
        <is>
          <t>High dependence low grey level emphasis</t>
        </is>
      </c>
      <c r="D266" s="11" t="inlineStr">
        <is>
          <t>HighDependenceLowGrayLevelEmphasis</t>
        </is>
      </c>
      <c r="E266" t="inlineStr">
        <is>
          <t>6-9</t>
        </is>
      </c>
      <c r="F266" t="n">
        <v>0.798</v>
      </c>
      <c r="G266" t="n">
        <v>0.07199999999999999</v>
      </c>
      <c r="H266" s="6" t="n">
        <v>0.847487671007618</v>
      </c>
      <c r="I266" s="4">
        <f>IFERROR(IF(NOT(H266=""),ABS(ROUNDDOWN(F266-H266, 3 - (1+INT(LOG10(ABS(F266)))))),""),IF(AND(F266=0,NOT(F266="")),ABS(ROUNDDOWN(F266-H266,0)),""))</f>
        <v/>
      </c>
      <c r="J266" s="4">
        <f>IF(NOT(I266=""),IF(I266&lt;=G266,"match",IF(I266&lt;3*G266,"partial match","no match")),"")</f>
        <v/>
      </c>
      <c r="K266" t="inlineStr">
        <is>
          <t>ngl_hdlge_3D</t>
        </is>
      </c>
    </row>
    <row r="267" ht="15" customHeight="1" s="10">
      <c r="A267" t="inlineStr">
        <is>
          <t>configuration D</t>
        </is>
      </c>
      <c r="B267" t="inlineStr">
        <is>
          <t>Neighbouring grey level dependence matrix (3D)</t>
        </is>
      </c>
      <c r="C267" t="inlineStr">
        <is>
          <t>High dependence high grey level emphasis</t>
        </is>
      </c>
      <c r="D267" t="inlineStr">
        <is>
          <t>HighDependenceHighGrayLevelEmphasis</t>
        </is>
      </c>
      <c r="E267" t="inlineStr">
        <is>
          <t>6-9</t>
        </is>
      </c>
      <c r="F267" t="n">
        <v>92800</v>
      </c>
      <c r="G267" t="n">
        <v>1300</v>
      </c>
      <c r="H267" s="6" t="n">
        <v>77642.99279238439</v>
      </c>
      <c r="I267" s="4">
        <f>IFERROR(IF(NOT(H267=""),ABS(ROUNDDOWN(F267-H267, 3 - (1+INT(LOG10(ABS(F267)))))),""),IF(AND(F267=0,NOT(F267="")),ABS(ROUNDDOWN(F267-H267,0)),""))</f>
        <v/>
      </c>
      <c r="J267" s="4">
        <f>IF(NOT(I267=""),IF(I267&lt;=G267,"match",IF(I267&lt;3*G267,"partial match","no match")),"")</f>
        <v/>
      </c>
      <c r="K267" t="inlineStr">
        <is>
          <t>ngl_hdhge_3D</t>
        </is>
      </c>
    </row>
    <row r="268" ht="15" customHeight="1" s="10">
      <c r="A268" t="inlineStr">
        <is>
          <t>configuration D</t>
        </is>
      </c>
      <c r="B268" t="inlineStr">
        <is>
          <t>Neighbouring grey level dependence matrix (3D)</t>
        </is>
      </c>
      <c r="C268" t="inlineStr">
        <is>
          <t>Grey level non-uniformity</t>
        </is>
      </c>
      <c r="D268" t="inlineStr">
        <is>
          <t>GrayLevelNonUniformity</t>
        </is>
      </c>
      <c r="E268" t="inlineStr">
        <is>
          <t>6-9</t>
        </is>
      </c>
      <c r="F268" t="n">
        <v>10200</v>
      </c>
      <c r="G268" t="n">
        <v>300</v>
      </c>
      <c r="H268" s="6" t="n">
        <v>10317.5263825929</v>
      </c>
      <c r="I268" s="4">
        <f>IFERROR(IF(NOT(H268=""),ABS(ROUNDDOWN(F268-H268, 3 - (1+INT(LOG10(ABS(F268)))))),""),IF(AND(F268=0,NOT(F268="")),ABS(ROUNDDOWN(F268-H268,0)),""))</f>
        <v/>
      </c>
      <c r="J268" s="4">
        <f>IF(NOT(I268=""),IF(I268&lt;=G268,"match",IF(I268&lt;3*G268,"partial match","no match")),"")</f>
        <v/>
      </c>
      <c r="K268" t="inlineStr">
        <is>
          <t>ngl_glnu_3D</t>
        </is>
      </c>
    </row>
    <row r="269" ht="15" customHeight="1" s="10">
      <c r="A269" t="inlineStr">
        <is>
          <t>configuration D</t>
        </is>
      </c>
      <c r="B269" t="inlineStr">
        <is>
          <t>Neighbouring grey level dependence matrix (3D)</t>
        </is>
      </c>
      <c r="C269" t="inlineStr">
        <is>
          <t>Grey level non-uniformity normalised</t>
        </is>
      </c>
      <c r="D269" t="inlineStr">
        <is>
          <t>GrayLevelNonUniformityNormalized</t>
        </is>
      </c>
      <c r="E269" t="inlineStr">
        <is>
          <t>6-9</t>
        </is>
      </c>
      <c r="F269" t="n">
        <v>0.229</v>
      </c>
      <c r="G269" t="n">
        <v>0.003</v>
      </c>
      <c r="H269" s="6" t="n">
        <v>0.233851459260945</v>
      </c>
      <c r="I269" s="4">
        <f>IFERROR(IF(NOT(H269=""),ABS(ROUNDDOWN(F269-H269, 3 - (1+INT(LOG10(ABS(F269)))))),""),IF(AND(F269=0,NOT(F269="")),ABS(ROUNDDOWN(F269-H269,0)),""))</f>
        <v/>
      </c>
      <c r="J269" s="4">
        <f>IF(NOT(I269=""),IF(I269&lt;=G269,"match",IF(I269&lt;3*G269,"partial match","no match")),"")</f>
        <v/>
      </c>
      <c r="K269" t="inlineStr">
        <is>
          <t>ngl_glnu_norm_3D</t>
        </is>
      </c>
    </row>
    <row r="270" ht="15" customHeight="1" s="10">
      <c r="A270" t="inlineStr">
        <is>
          <t>configuration D</t>
        </is>
      </c>
      <c r="B270" t="inlineStr">
        <is>
          <t>Neighbouring grey level dependence matrix (3D)</t>
        </is>
      </c>
      <c r="C270" t="inlineStr">
        <is>
          <t>Dependence count non-uniformity</t>
        </is>
      </c>
      <c r="D270" t="inlineStr">
        <is>
          <t>DependenceCountNonUniformity</t>
        </is>
      </c>
      <c r="E270" t="inlineStr">
        <is>
          <t>6-9</t>
        </is>
      </c>
      <c r="F270" t="n">
        <v>1840</v>
      </c>
      <c r="G270" t="n">
        <v>30</v>
      </c>
      <c r="H270" s="6" t="n">
        <v>1783.09347234814</v>
      </c>
      <c r="I270" s="4">
        <f>IFERROR(IF(NOT(H270=""),ABS(ROUNDDOWN(F270-H270, 3 - (1+INT(LOG10(ABS(F270)))))),""),IF(AND(F270=0,NOT(F270="")),ABS(ROUNDDOWN(F270-H270,0)),""))</f>
        <v/>
      </c>
      <c r="J270" s="4">
        <f>IF(NOT(I270=""),IF(I270&lt;=G270,"match",IF(I270&lt;3*G270,"partial match","no match")),"")</f>
        <v/>
      </c>
      <c r="K270" t="inlineStr">
        <is>
          <t>ngl_dcnu_3D</t>
        </is>
      </c>
    </row>
    <row r="271" ht="15" customHeight="1" s="10">
      <c r="A271" t="inlineStr">
        <is>
          <t>configuration D</t>
        </is>
      </c>
      <c r="B271" t="inlineStr">
        <is>
          <t>Neighbouring grey level dependence matrix (3D)</t>
        </is>
      </c>
      <c r="C271" t="inlineStr">
        <is>
          <t>Dependence count non-uniformity normalised</t>
        </is>
      </c>
      <c r="D271" t="inlineStr">
        <is>
          <t>DependenceCountNonUniformityNormalized</t>
        </is>
      </c>
      <c r="E271" t="inlineStr">
        <is>
          <t>6-9</t>
        </is>
      </c>
      <c r="F271" t="n">
        <v>0.0413</v>
      </c>
      <c r="G271" t="n">
        <v>0.0003</v>
      </c>
      <c r="H271" s="6" t="n">
        <v>0.0404146299262951</v>
      </c>
      <c r="I271" s="4">
        <f>IFERROR(IF(NOT(H271=""),ABS(ROUNDDOWN(F271-H271, 3 - (1+INT(LOG10(ABS(F271)))))),""),IF(AND(F271=0,NOT(F271="")),ABS(ROUNDDOWN(F271-H271,0)),""))</f>
        <v/>
      </c>
      <c r="J271" s="4">
        <f>IF(NOT(I271=""),IF(I271&lt;=G271,"match",IF(I271&lt;3*G271,"partial match","no match")),"")</f>
        <v/>
      </c>
      <c r="K271" t="inlineStr">
        <is>
          <t>ngl_dcnu_norm_3D</t>
        </is>
      </c>
    </row>
    <row r="272" ht="15" customHeight="1" s="10">
      <c r="A272" t="inlineStr">
        <is>
          <t>configuration D</t>
        </is>
      </c>
      <c r="B272" t="inlineStr">
        <is>
          <t>Neighbouring grey level dependence matrix (3D)</t>
        </is>
      </c>
      <c r="C272" t="inlineStr">
        <is>
          <t>Dependence count percentage</t>
        </is>
      </c>
      <c r="D272" t="inlineStr">
        <is>
          <t>DependenceCountPercentage</t>
        </is>
      </c>
      <c r="E272" t="inlineStr">
        <is>
          <t>3-5</t>
        </is>
      </c>
      <c r="F272" t="n">
        <v>1</v>
      </c>
      <c r="G272" t="n">
        <v>0</v>
      </c>
      <c r="I272" s="4">
        <f>IFERROR(IF(NOT(H272=""),ABS(ROUNDDOWN(F272-H272, 3 - (1+INT(LOG10(ABS(F272)))))),""),IF(AND(F272=0,NOT(F272="")),ABS(ROUNDDOWN(F272-H273,0)),""))</f>
        <v/>
      </c>
      <c r="J272" s="4">
        <f>IF(NOT(I272=""),IF(I272&lt;=G272,"match",IF(I272&lt;3*G272,"partial match","no match")),"")</f>
        <v/>
      </c>
      <c r="K272" t="inlineStr">
        <is>
          <t>ngl_dc_perc_3D</t>
        </is>
      </c>
    </row>
    <row r="273" ht="15" customHeight="1" s="10">
      <c r="A273" t="inlineStr">
        <is>
          <t>configuration D</t>
        </is>
      </c>
      <c r="B273" t="inlineStr">
        <is>
          <t>Neighbouring grey level dependence matrix (3D)</t>
        </is>
      </c>
      <c r="C273" t="inlineStr">
        <is>
          <t>Grey level variance</t>
        </is>
      </c>
      <c r="D273" t="inlineStr">
        <is>
          <t>GrayLevelVariance</t>
        </is>
      </c>
      <c r="E273" t="inlineStr">
        <is>
          <t>6-9</t>
        </is>
      </c>
      <c r="F273" t="n">
        <v>21.7</v>
      </c>
      <c r="G273" t="n">
        <v>0.4</v>
      </c>
      <c r="H273" s="6" t="n">
        <v>17.9371157680898</v>
      </c>
      <c r="I273" s="4">
        <f>IFERROR(IF(NOT(H273=""),ABS(ROUNDDOWN(F273-H273, 3 - (1+INT(LOG10(ABS(F273)))))),""),IF(AND(F273=0,NOT(F273="")),ABS(ROUNDDOWN(F273-H274,0)),""))</f>
        <v/>
      </c>
      <c r="J273" s="4">
        <f>IF(NOT(I273=""),IF(I273&lt;=G273,"match",IF(I273&lt;3*G273,"partial match","no match")),"")</f>
        <v/>
      </c>
      <c r="K273" t="inlineStr">
        <is>
          <t>ngl_gl_var_3D</t>
        </is>
      </c>
    </row>
    <row r="274" ht="15" customHeight="1" s="10">
      <c r="A274" t="inlineStr">
        <is>
          <t>configuration D</t>
        </is>
      </c>
      <c r="B274" t="inlineStr">
        <is>
          <t>Neighbouring grey level dependence matrix (3D)</t>
        </is>
      </c>
      <c r="C274" t="inlineStr">
        <is>
          <t>Dependence count variance</t>
        </is>
      </c>
      <c r="D274" t="inlineStr">
        <is>
          <t>DependenceCountVariance</t>
        </is>
      </c>
      <c r="E274" t="inlineStr">
        <is>
          <t>6-9</t>
        </is>
      </c>
      <c r="F274" t="n">
        <v>63.9</v>
      </c>
      <c r="G274" t="n">
        <v>1.3</v>
      </c>
      <c r="H274" s="6" t="n">
        <v>59.3756231952911</v>
      </c>
      <c r="I274" s="4">
        <f>IFERROR(IF(NOT(H274=""),ABS(ROUNDDOWN(F274-H274, 3 - (1+INT(LOG10(ABS(F274)))))),""),IF(AND(F274=0,NOT(F274="")),ABS(ROUNDDOWN(F274-H275,0)),""))</f>
        <v/>
      </c>
      <c r="J274" s="4">
        <f>IF(NOT(I274=""),IF(I274&lt;=G274,"match",IF(I274&lt;3*G274,"partial match","no match")),"")</f>
        <v/>
      </c>
      <c r="K274" t="inlineStr">
        <is>
          <t>ngl_dc_var_3D</t>
        </is>
      </c>
    </row>
    <row r="275" ht="15" customHeight="1" s="10">
      <c r="A275" t="inlineStr">
        <is>
          <t>configuration D</t>
        </is>
      </c>
      <c r="B275" t="inlineStr">
        <is>
          <t>Neighbouring grey level dependence matrix (3D)</t>
        </is>
      </c>
      <c r="C275" t="inlineStr">
        <is>
          <t>Dependence count entropy</t>
        </is>
      </c>
      <c r="D275" t="inlineStr">
        <is>
          <t>DependenceCountEntropy</t>
        </is>
      </c>
      <c r="E275" t="inlineStr">
        <is>
          <t>6-9</t>
        </is>
      </c>
      <c r="F275" t="n">
        <v>6.98</v>
      </c>
      <c r="G275" t="n">
        <v>0.01</v>
      </c>
      <c r="H275" s="6" t="n">
        <v>6.96728076784607</v>
      </c>
      <c r="I275" s="4">
        <f>IFERROR(IF(NOT(H275=""),ABS(ROUNDDOWN(F275-H275, 3 - (1+INT(LOG10(ABS(F275)))))),""),IF(AND(F275=0,NOT(F275="")),ABS(ROUNDDOWN(F275-H276,0)),""))</f>
        <v/>
      </c>
      <c r="J275" s="4">
        <f>IF(NOT(I275=""),IF(I275&lt;=G275,"match",IF(I275&lt;3*G275,"partial match","no match")),"")</f>
        <v/>
      </c>
      <c r="K275" t="inlineStr">
        <is>
          <t>ngl_dc_entr_3D</t>
        </is>
      </c>
    </row>
    <row r="276" ht="15" customHeight="1" s="10">
      <c r="A276" t="inlineStr">
        <is>
          <t>configuration D</t>
        </is>
      </c>
      <c r="B276" t="inlineStr">
        <is>
          <t>Neighbouring grey level dependence matrix (3D)</t>
        </is>
      </c>
      <c r="C276" t="inlineStr">
        <is>
          <t>Dependence count energy</t>
        </is>
      </c>
      <c r="D276" t="inlineStr">
        <is>
          <t>DependenceCountEnergy</t>
        </is>
      </c>
      <c r="E276" t="inlineStr">
        <is>
          <t>3-5</t>
        </is>
      </c>
      <c r="F276" t="n">
        <v>0.0113</v>
      </c>
      <c r="G276" t="n">
        <v>0.0002</v>
      </c>
      <c r="H276" s="6" t="n">
        <v>0.0115125648421144</v>
      </c>
      <c r="I276" s="4">
        <f>IFERROR(IF(NOT(H276=""),ABS(ROUNDDOWN(F276-H276, 3 - (1+INT(LOG10(ABS(F276)))))),""),IF(AND(F276=0,NOT(F276="")),ABS(ROUNDDOWN(F276-H277,0)),""))</f>
        <v/>
      </c>
      <c r="J276" s="4">
        <f>IF(NOT(I276=""),IF(I276&lt;=G276,"match",IF(I276&lt;3*G276,"partial match","no match")),"")</f>
        <v/>
      </c>
      <c r="K276" t="inlineStr">
        <is>
          <t>ngl_dc_energy_3D</t>
        </is>
      </c>
    </row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</sheetData>
  <conditionalFormatting sqref="J2:J276">
    <cfRule type="containsBlanks" priority="5" dxfId="3">
      <formula>LEN(TRIM(J2))=0</formula>
    </cfRule>
    <cfRule type="cellIs" priority="6" operator="equal" dxfId="2">
      <formula>"match"</formula>
    </cfRule>
    <cfRule type="cellIs" priority="7" operator="equal" dxfId="1">
      <formula>"partial match"</formula>
    </cfRule>
    <cfRule type="cellIs" priority="8" operator="equal" dxfId="0">
      <formula>"no match"</formula>
    </cfRule>
  </conditionalFormatting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276"/>
  <sheetViews>
    <sheetView topLeftCell="A25" workbookViewId="0">
      <selection activeCell="D2" sqref="D2"/>
    </sheetView>
  </sheetViews>
  <sheetFormatPr baseColWidth="8" defaultColWidth="14.42578125" defaultRowHeight="15.75" customHeight="1"/>
  <cols>
    <col width="43" customWidth="1" style="10" min="2" max="2"/>
    <col width="50.140625" customWidth="1" style="10" min="3" max="4"/>
    <col width="30.42578125" customWidth="1" style="10" min="11" max="11"/>
  </cols>
  <sheetData>
    <row r="1" ht="15" customHeight="1" s="10">
      <c r="A1" s="1" t="inlineStr">
        <is>
          <t>data_set</t>
        </is>
      </c>
      <c r="B1" s="1" t="inlineStr">
        <is>
          <t>family</t>
        </is>
      </c>
      <c r="C1" s="1" t="inlineStr">
        <is>
          <t>image_biomarker</t>
        </is>
      </c>
      <c r="D1" s="1" t="inlineStr">
        <is>
          <t>RadiomicsJ_NAME</t>
        </is>
      </c>
      <c r="E1" s="1" t="inlineStr">
        <is>
          <t>consensus</t>
        </is>
      </c>
      <c r="F1" s="1" t="inlineStr">
        <is>
          <t>benchmark_value</t>
        </is>
      </c>
      <c r="G1" s="1" t="inlineStr">
        <is>
          <t>tolerance</t>
        </is>
      </c>
      <c r="H1" s="1" t="inlineStr">
        <is>
          <t>your_result</t>
        </is>
      </c>
      <c r="I1" s="1" t="inlineStr">
        <is>
          <t>difference</t>
        </is>
      </c>
      <c r="J1" s="1" t="inlineStr">
        <is>
          <t>check</t>
        </is>
      </c>
      <c r="K1" s="1" t="inlineStr">
        <is>
          <t>tag</t>
        </is>
      </c>
      <c r="L1" t="inlineStr">
        <is>
          <t>reference_status</t>
        </is>
      </c>
    </row>
    <row r="2" ht="15" customHeight="1" s="10">
      <c r="A2" t="inlineStr">
        <is>
          <t>configuration E</t>
        </is>
      </c>
      <c r="B2" t="inlineStr">
        <is>
          <t>Diagnostics-initial image</t>
        </is>
      </c>
      <c r="C2" t="inlineStr">
        <is>
          <t>Image dimension x</t>
        </is>
      </c>
      <c r="E2" t="inlineStr">
        <is>
          <t>6-9</t>
        </is>
      </c>
      <c r="F2" t="n">
        <v>204</v>
      </c>
      <c r="G2" t="n">
        <v>0</v>
      </c>
      <c r="H2" s="9" t="n"/>
      <c r="I2" s="4">
        <f>IFERROR(IF(NOT(H2=""),ABS(ROUNDDOWN(F2-H2, 3 - (1+INT(LOG10(ABS(F2)))))),""),IF(AND(F2=0,NOT(F2="")),ABS(ROUNDDOWN(F2-H2,0)),""))</f>
        <v/>
      </c>
      <c r="J2" s="4">
        <f>IF(NOT(I2=""),IF(I2&lt;=G2,"match",IF(I2&lt;3*G2,"partial match","no match")),"")</f>
        <v/>
      </c>
      <c r="K2" t="inlineStr">
        <is>
          <t>img_dim_x_init_img</t>
        </is>
      </c>
    </row>
    <row r="3" ht="15" customHeight="1" s="10">
      <c r="A3" t="inlineStr">
        <is>
          <t>configuration E</t>
        </is>
      </c>
      <c r="B3" t="inlineStr">
        <is>
          <t>Diagnostics-initial image</t>
        </is>
      </c>
      <c r="C3" t="inlineStr">
        <is>
          <t>Image dimension y</t>
        </is>
      </c>
      <c r="E3" t="inlineStr">
        <is>
          <t>6-9</t>
        </is>
      </c>
      <c r="F3" t="n">
        <v>201</v>
      </c>
      <c r="G3" t="n">
        <v>0</v>
      </c>
      <c r="H3" s="9" t="n"/>
      <c r="I3" s="4">
        <f>IFERROR(IF(NOT(H3=""),ABS(ROUNDDOWN(F3-H3, 3 - (1+INT(LOG10(ABS(F3)))))),""),IF(AND(F3=0,NOT(F3="")),ABS(ROUNDDOWN(F3-H3,0)),""))</f>
        <v/>
      </c>
      <c r="J3" s="4">
        <f>IF(NOT(I3=""),IF(I3&lt;=G3,"match",IF(I3&lt;3*G3,"partial match","no match")),"")</f>
        <v/>
      </c>
      <c r="K3" t="inlineStr">
        <is>
          <t>img_dim_y_init_img</t>
        </is>
      </c>
    </row>
    <row r="4" ht="15" customHeight="1" s="10">
      <c r="A4" t="inlineStr">
        <is>
          <t>configuration E</t>
        </is>
      </c>
      <c r="B4" t="inlineStr">
        <is>
          <t>Diagnostics-initial image</t>
        </is>
      </c>
      <c r="C4" t="inlineStr">
        <is>
          <t>Image dimension z</t>
        </is>
      </c>
      <c r="E4" t="inlineStr">
        <is>
          <t>6-9</t>
        </is>
      </c>
      <c r="F4" t="n">
        <v>60</v>
      </c>
      <c r="G4" t="n">
        <v>0</v>
      </c>
      <c r="H4" s="9" t="n"/>
      <c r="I4" s="4">
        <f>IFERROR(IF(NOT(H4=""),ABS(ROUNDDOWN(F4-H4, 3 - (1+INT(LOG10(ABS(F4)))))),""),IF(AND(F4=0,NOT(F4="")),ABS(ROUNDDOWN(F4-H4,0)),""))</f>
        <v/>
      </c>
      <c r="J4" s="4">
        <f>IF(NOT(I4=""),IF(I4&lt;=G4,"match",IF(I4&lt;3*G4,"partial match","no match")),"")</f>
        <v/>
      </c>
      <c r="K4" t="inlineStr">
        <is>
          <t>img_dim_z_init_img</t>
        </is>
      </c>
    </row>
    <row r="5" ht="15" customHeight="1" s="10">
      <c r="A5" t="inlineStr">
        <is>
          <t>configuration E</t>
        </is>
      </c>
      <c r="B5" t="inlineStr">
        <is>
          <t>Diagnostics-initial image</t>
        </is>
      </c>
      <c r="C5" t="inlineStr">
        <is>
          <t>Voxel dimension x</t>
        </is>
      </c>
      <c r="E5" t="inlineStr">
        <is>
          <t>6-9</t>
        </is>
      </c>
      <c r="F5" t="n">
        <v>0.977</v>
      </c>
      <c r="G5" t="n">
        <v>0</v>
      </c>
      <c r="I5" s="4">
        <f>IFERROR(IF(NOT(H5=""),ABS(ROUNDDOWN(F5-H5, 3 - (1+INT(LOG10(ABS(F5)))))),""),IF(AND(F5=0,NOT(F5="")),ABS(ROUNDDOWN(F5-H5,0)),""))</f>
        <v/>
      </c>
      <c r="J5" s="4">
        <f>IF(NOT(I5=""),IF(I5&lt;=G5,"match",IF(I5&lt;3*G5,"partial match","no match")),"")</f>
        <v/>
      </c>
      <c r="K5" t="inlineStr">
        <is>
          <t>vox_dim_x_init_img</t>
        </is>
      </c>
    </row>
    <row r="6" ht="15" customHeight="1" s="10">
      <c r="A6" t="inlineStr">
        <is>
          <t>configuration E</t>
        </is>
      </c>
      <c r="B6" t="inlineStr">
        <is>
          <t>Diagnostics-initial image</t>
        </is>
      </c>
      <c r="C6" t="inlineStr">
        <is>
          <t>Voxel dimension y</t>
        </is>
      </c>
      <c r="E6" t="inlineStr">
        <is>
          <t>6-9</t>
        </is>
      </c>
      <c r="F6" t="n">
        <v>0.977</v>
      </c>
      <c r="G6" t="n">
        <v>0</v>
      </c>
      <c r="I6" s="4">
        <f>IFERROR(IF(NOT(H6=""),ABS(ROUNDDOWN(F6-H6, 3 - (1+INT(LOG10(ABS(F6)))))),""),IF(AND(F6=0,NOT(F6="")),ABS(ROUNDDOWN(F6-H6,0)),""))</f>
        <v/>
      </c>
      <c r="J6" s="4">
        <f>IF(NOT(I6=""),IF(I6&lt;=G6,"match",IF(I6&lt;3*G6,"partial match","no match")),"")</f>
        <v/>
      </c>
      <c r="K6" t="inlineStr">
        <is>
          <t>vox_dim_y_init_img</t>
        </is>
      </c>
    </row>
    <row r="7" ht="15" customHeight="1" s="10">
      <c r="A7" t="inlineStr">
        <is>
          <t>configuration E</t>
        </is>
      </c>
      <c r="B7" t="inlineStr">
        <is>
          <t>Diagnostics-initial image</t>
        </is>
      </c>
      <c r="C7" t="inlineStr">
        <is>
          <t>Voxel dimension z</t>
        </is>
      </c>
      <c r="E7" t="inlineStr">
        <is>
          <t>6-9</t>
        </is>
      </c>
      <c r="F7" t="n">
        <v>3</v>
      </c>
      <c r="G7" t="n">
        <v>0</v>
      </c>
      <c r="I7" s="4">
        <f>IFERROR(IF(NOT(H7=""),ABS(ROUNDDOWN(F7-H7, 3 - (1+INT(LOG10(ABS(F7)))))),""),IF(AND(F7=0,NOT(F7="")),ABS(ROUNDDOWN(F7-H7,0)),""))</f>
        <v/>
      </c>
      <c r="J7" s="4">
        <f>IF(NOT(I7=""),IF(I7&lt;=G7,"match",IF(I7&lt;3*G7,"partial match","no match")),"")</f>
        <v/>
      </c>
      <c r="K7" t="inlineStr">
        <is>
          <t>vox_dim_z_init_img</t>
        </is>
      </c>
    </row>
    <row r="8" ht="15" customHeight="1" s="10">
      <c r="A8" t="inlineStr">
        <is>
          <t>configuration E</t>
        </is>
      </c>
      <c r="B8" t="inlineStr">
        <is>
          <t>Diagnostics-initial image</t>
        </is>
      </c>
      <c r="C8" t="inlineStr">
        <is>
          <t>Mean intensity</t>
        </is>
      </c>
      <c r="E8" t="inlineStr">
        <is>
          <t>6-9</t>
        </is>
      </c>
      <c r="F8" t="n">
        <v>-266</v>
      </c>
      <c r="G8" t="n">
        <v>0</v>
      </c>
      <c r="I8" s="4">
        <f>IFERROR(IF(NOT(H8=""),ABS(ROUNDDOWN(F8-H8, 3 - (1+INT(LOG10(ABS(F8)))))),""),IF(AND(F8=0,NOT(F8="")),ABS(ROUNDDOWN(F8-H8,0)),""))</f>
        <v/>
      </c>
      <c r="J8" s="4">
        <f>IF(NOT(I8=""),IF(I8&lt;=G8,"match",IF(I8&lt;3*G8,"partial match","no match")),"")</f>
        <v/>
      </c>
      <c r="K8" t="inlineStr">
        <is>
          <t>mean_int_init_img</t>
        </is>
      </c>
    </row>
    <row r="9" ht="15" customHeight="1" s="10">
      <c r="A9" t="inlineStr">
        <is>
          <t>configuration E</t>
        </is>
      </c>
      <c r="B9" t="inlineStr">
        <is>
          <t>Diagnostics-initial image</t>
        </is>
      </c>
      <c r="C9" t="inlineStr">
        <is>
          <t>Minimum intensity</t>
        </is>
      </c>
      <c r="E9" t="inlineStr">
        <is>
          <t>6-9</t>
        </is>
      </c>
      <c r="F9" t="n">
        <v>-1000</v>
      </c>
      <c r="G9" t="n">
        <v>0</v>
      </c>
      <c r="I9" s="4">
        <f>IFERROR(IF(NOT(H9=""),ABS(ROUNDDOWN(F9-H9, 3 - (1+INT(LOG10(ABS(F9)))))),""),IF(AND(F9=0,NOT(F9="")),ABS(ROUNDDOWN(F9-H9,0)),""))</f>
        <v/>
      </c>
      <c r="J9" s="4">
        <f>IF(NOT(I9=""),IF(I9&lt;=G9,"match",IF(I9&lt;3*G9,"partial match","no match")),"")</f>
        <v/>
      </c>
      <c r="K9" t="inlineStr">
        <is>
          <t>min_int_init_img</t>
        </is>
      </c>
    </row>
    <row r="10" ht="15" customHeight="1" s="10">
      <c r="A10" t="inlineStr">
        <is>
          <t>configuration E</t>
        </is>
      </c>
      <c r="B10" t="inlineStr">
        <is>
          <t>Diagnostics-initial image</t>
        </is>
      </c>
      <c r="C10" t="inlineStr">
        <is>
          <t>Maximum intensity</t>
        </is>
      </c>
      <c r="E10" t="inlineStr">
        <is>
          <t>6-9</t>
        </is>
      </c>
      <c r="F10" t="n">
        <v>3065</v>
      </c>
      <c r="G10" t="n">
        <v>0</v>
      </c>
      <c r="I10" s="4">
        <f>IFERROR(IF(NOT(H10=""),ABS(ROUNDDOWN(F10-H10, 3 - (1+INT(LOG10(ABS(F10)))))),""),IF(AND(F10=0,NOT(F10="")),ABS(ROUNDDOWN(F10-H10,0)),""))</f>
        <v/>
      </c>
      <c r="J10" s="4">
        <f>IF(NOT(I10=""),IF(I10&lt;=G10,"match",IF(I10&lt;3*G10,"partial match","no match")),"")</f>
        <v/>
      </c>
      <c r="K10" t="inlineStr">
        <is>
          <t>max_int_init_img</t>
        </is>
      </c>
    </row>
    <row r="11" ht="15" customHeight="1" s="10">
      <c r="A11" t="inlineStr">
        <is>
          <t>configuration E</t>
        </is>
      </c>
      <c r="B11" t="inlineStr">
        <is>
          <t>Diagnostics-interpolated image</t>
        </is>
      </c>
      <c r="C11" t="inlineStr">
        <is>
          <t>Image dimension x</t>
        </is>
      </c>
      <c r="E11" t="inlineStr">
        <is>
          <t>6-9</t>
        </is>
      </c>
      <c r="F11" t="n">
        <v>100</v>
      </c>
      <c r="G11" t="n">
        <v>1</v>
      </c>
      <c r="I11" s="4">
        <f>IFERROR(IF(NOT(H11=""),ABS(ROUNDDOWN(F11-H11, 3 - (1+INT(LOG10(ABS(F11)))))),""),IF(AND(F11=0,NOT(F11="")),ABS(ROUNDDOWN(F11-H11,0)),""))</f>
        <v/>
      </c>
      <c r="J11" s="4">
        <f>IF(NOT(I11=""),IF(I11&lt;=G11,"match",IF(I11&lt;3*G11,"partial match","no match")),"")</f>
        <v/>
      </c>
      <c r="K11" t="inlineStr">
        <is>
          <t>img_dim_x_interp_img</t>
        </is>
      </c>
    </row>
    <row r="12" ht="15" customHeight="1" s="10">
      <c r="A12" t="inlineStr">
        <is>
          <t>configuration E</t>
        </is>
      </c>
      <c r="B12" t="inlineStr">
        <is>
          <t>Diagnostics-interpolated image</t>
        </is>
      </c>
      <c r="C12" t="inlineStr">
        <is>
          <t>Image dimension y</t>
        </is>
      </c>
      <c r="E12" t="inlineStr">
        <is>
          <t>6-9</t>
        </is>
      </c>
      <c r="F12" t="n">
        <v>99</v>
      </c>
      <c r="G12" t="n">
        <v>0.8</v>
      </c>
      <c r="I12" s="4">
        <f>IFERROR(IF(NOT(H12=""),ABS(ROUNDDOWN(F12-H12, 3 - (1+INT(LOG10(ABS(F12)))))),""),IF(AND(F12=0,NOT(F12="")),ABS(ROUNDDOWN(F12-H12,0)),""))</f>
        <v/>
      </c>
      <c r="J12" s="4">
        <f>IF(NOT(I12=""),IF(I12&lt;=G12,"match",IF(I12&lt;3*G12,"partial match","no match")),"")</f>
        <v/>
      </c>
      <c r="K12" t="inlineStr">
        <is>
          <t>img_dim_y_interp_img</t>
        </is>
      </c>
    </row>
    <row r="13" ht="15" customHeight="1" s="10">
      <c r="A13" t="inlineStr">
        <is>
          <t>configuration E</t>
        </is>
      </c>
      <c r="B13" t="inlineStr">
        <is>
          <t>Diagnostics-interpolated image</t>
        </is>
      </c>
      <c r="C13" t="inlineStr">
        <is>
          <t>Image dimension z</t>
        </is>
      </c>
      <c r="E13" t="inlineStr">
        <is>
          <t>6-9</t>
        </is>
      </c>
      <c r="F13" t="n">
        <v>90</v>
      </c>
      <c r="G13" t="n">
        <v>0</v>
      </c>
      <c r="I13" s="4">
        <f>IFERROR(IF(NOT(H13=""),ABS(ROUNDDOWN(F13-H13, 3 - (1+INT(LOG10(ABS(F13)))))),""),IF(AND(F13=0,NOT(F13="")),ABS(ROUNDDOWN(F13-H13,0)),""))</f>
        <v/>
      </c>
      <c r="J13" s="4">
        <f>IF(NOT(I13=""),IF(I13&lt;=G13,"match",IF(I13&lt;3*G13,"partial match","no match")),"")</f>
        <v/>
      </c>
      <c r="K13" t="inlineStr">
        <is>
          <t>img_dim_z_interp_img</t>
        </is>
      </c>
    </row>
    <row r="14" ht="15" customHeight="1" s="10">
      <c r="A14" t="inlineStr">
        <is>
          <t>configuration E</t>
        </is>
      </c>
      <c r="B14" t="inlineStr">
        <is>
          <t>Diagnostics-interpolated image</t>
        </is>
      </c>
      <c r="C14" t="inlineStr">
        <is>
          <t>Voxel dimension x</t>
        </is>
      </c>
      <c r="E14" t="inlineStr">
        <is>
          <t>6-9</t>
        </is>
      </c>
      <c r="F14" t="n">
        <v>2</v>
      </c>
      <c r="G14" t="n">
        <v>0</v>
      </c>
      <c r="I14" s="4">
        <f>IFERROR(IF(NOT(H14=""),ABS(ROUNDDOWN(F14-H14, 3 - (1+INT(LOG10(ABS(F14)))))),""),IF(AND(F14=0,NOT(F14="")),ABS(ROUNDDOWN(F14-H14,0)),""))</f>
        <v/>
      </c>
      <c r="J14" s="4">
        <f>IF(NOT(I14=""),IF(I14&lt;=G14,"match",IF(I14&lt;3*G14,"partial match","no match")),"")</f>
        <v/>
      </c>
      <c r="K14" t="inlineStr">
        <is>
          <t>vox_dim_x_interp_img</t>
        </is>
      </c>
    </row>
    <row r="15" ht="15" customHeight="1" s="10">
      <c r="A15" t="inlineStr">
        <is>
          <t>configuration E</t>
        </is>
      </c>
      <c r="B15" t="inlineStr">
        <is>
          <t>Diagnostics-interpolated image</t>
        </is>
      </c>
      <c r="C15" t="inlineStr">
        <is>
          <t>Voxel dimension y</t>
        </is>
      </c>
      <c r="E15" t="inlineStr">
        <is>
          <t>6-9</t>
        </is>
      </c>
      <c r="F15" t="n">
        <v>2</v>
      </c>
      <c r="G15" t="n">
        <v>0</v>
      </c>
      <c r="I15" s="4">
        <f>IFERROR(IF(NOT(H15=""),ABS(ROUNDDOWN(F15-H15, 3 - (1+INT(LOG10(ABS(F15)))))),""),IF(AND(F15=0,NOT(F15="")),ABS(ROUNDDOWN(F15-H15,0)),""))</f>
        <v/>
      </c>
      <c r="J15" s="4">
        <f>IF(NOT(I15=""),IF(I15&lt;=G15,"match",IF(I15&lt;3*G15,"partial match","no match")),"")</f>
        <v/>
      </c>
      <c r="K15" t="inlineStr">
        <is>
          <t>vox_dim_y_interp_img</t>
        </is>
      </c>
    </row>
    <row r="16" ht="15" customHeight="1" s="10">
      <c r="A16" t="inlineStr">
        <is>
          <t>configuration E</t>
        </is>
      </c>
      <c r="B16" t="inlineStr">
        <is>
          <t>Diagnostics-interpolated image</t>
        </is>
      </c>
      <c r="C16" t="inlineStr">
        <is>
          <t>Voxel dimension z</t>
        </is>
      </c>
      <c r="E16" t="inlineStr">
        <is>
          <t>6-9</t>
        </is>
      </c>
      <c r="F16" t="n">
        <v>2</v>
      </c>
      <c r="G16" t="n">
        <v>0</v>
      </c>
      <c r="I16" s="4">
        <f>IFERROR(IF(NOT(H16=""),ABS(ROUNDDOWN(F16-H16, 3 - (1+INT(LOG10(ABS(F16)))))),""),IF(AND(F16=0,NOT(F16="")),ABS(ROUNDDOWN(F16-H16,0)),""))</f>
        <v/>
      </c>
      <c r="J16" s="4">
        <f>IF(NOT(I16=""),IF(I16&lt;=G16,"match",IF(I16&lt;3*G16,"partial match","no match")),"")</f>
        <v/>
      </c>
      <c r="K16" t="inlineStr">
        <is>
          <t>vox_dim_z_interp_img</t>
        </is>
      </c>
    </row>
    <row r="17" ht="15" customHeight="1" s="10">
      <c r="A17" t="inlineStr">
        <is>
          <t>configuration E</t>
        </is>
      </c>
      <c r="B17" t="inlineStr">
        <is>
          <t>Diagnostics-interpolated image</t>
        </is>
      </c>
      <c r="C17" t="inlineStr">
        <is>
          <t>Mean intensity</t>
        </is>
      </c>
      <c r="E17" t="inlineStr">
        <is>
          <t>6-9</t>
        </is>
      </c>
      <c r="F17" t="n">
        <v>-270</v>
      </c>
      <c r="G17" t="n">
        <v>3</v>
      </c>
      <c r="I17" s="4">
        <f>IFERROR(IF(NOT(H17=""),ABS(ROUNDDOWN(F17-H17, 3 - (1+INT(LOG10(ABS(F17)))))),""),IF(AND(F17=0,NOT(F17="")),ABS(ROUNDDOWN(F17-H17,0)),""))</f>
        <v/>
      </c>
      <c r="J17" s="4">
        <f>IF(NOT(I17=""),IF(I17&lt;=G17,"match",IF(I17&lt;3*G17,"partial match","no match")),"")</f>
        <v/>
      </c>
      <c r="K17" t="inlineStr">
        <is>
          <t>mean_int_interp_img</t>
        </is>
      </c>
    </row>
    <row r="18" ht="15" customHeight="1" s="10">
      <c r="A18" t="inlineStr">
        <is>
          <t>configuration E</t>
        </is>
      </c>
      <c r="B18" t="inlineStr">
        <is>
          <t>Diagnostics-interpolated image</t>
        </is>
      </c>
      <c r="C18" t="inlineStr">
        <is>
          <t>Minimum intensity</t>
        </is>
      </c>
      <c r="E18" t="inlineStr">
        <is>
          <t>3-5</t>
        </is>
      </c>
      <c r="F18" t="n">
        <v>-1111</v>
      </c>
      <c r="G18" t="n">
        <v>10</v>
      </c>
      <c r="I18" s="4">
        <f>IFERROR(IF(NOT(H18=""),ABS(ROUNDDOWN(F18-H18, 3 - (1+INT(LOG10(ABS(F18)))))),""),IF(AND(F18=0,NOT(F18="")),ABS(ROUNDDOWN(F18-H18,0)),""))</f>
        <v/>
      </c>
      <c r="J18" s="4">
        <f>IF(NOT(I18=""),IF(I18&lt;=G18,"match",IF(I18&lt;3*G18,"partial match","no match")),"")</f>
        <v/>
      </c>
      <c r="K18" t="inlineStr">
        <is>
          <t>min_int_interp_img</t>
        </is>
      </c>
    </row>
    <row r="19" ht="15" customHeight="1" s="10">
      <c r="A19" t="inlineStr">
        <is>
          <t>configuration E</t>
        </is>
      </c>
      <c r="B19" t="inlineStr">
        <is>
          <t>Diagnostics-interpolated image</t>
        </is>
      </c>
      <c r="C19" t="inlineStr">
        <is>
          <t>Maximum intensity</t>
        </is>
      </c>
      <c r="E19" t="inlineStr">
        <is>
          <t>6-9</t>
        </is>
      </c>
      <c r="F19" t="n">
        <v>2637</v>
      </c>
      <c r="G19" t="n">
        <v>30</v>
      </c>
      <c r="I19" s="4">
        <f>IFERROR(IF(NOT(H19=""),ABS(ROUNDDOWN(F19-H19, 3 - (1+INT(LOG10(ABS(F19)))))),""),IF(AND(F19=0,NOT(F19="")),ABS(ROUNDDOWN(F19-H19,0)),""))</f>
        <v/>
      </c>
      <c r="J19" s="4">
        <f>IF(NOT(I19=""),IF(I19&lt;=G19,"match",IF(I19&lt;3*G19,"partial match","no match")),"")</f>
        <v/>
      </c>
      <c r="K19" t="inlineStr">
        <is>
          <t>max_int_interp_img</t>
        </is>
      </c>
    </row>
    <row r="20" ht="15" customHeight="1" s="10">
      <c r="A20" t="inlineStr">
        <is>
          <t>configuration E</t>
        </is>
      </c>
      <c r="B20" t="inlineStr">
        <is>
          <t>Diagnostics-initial ROI</t>
        </is>
      </c>
      <c r="C20" t="inlineStr">
        <is>
          <t>Int. mask dimension x</t>
        </is>
      </c>
      <c r="E20" t="inlineStr">
        <is>
          <t>6-9</t>
        </is>
      </c>
      <c r="F20" t="n">
        <v>204</v>
      </c>
      <c r="G20" t="n">
        <v>0</v>
      </c>
      <c r="I20" s="4">
        <f>IFERROR(IF(NOT(H20=""),ABS(ROUNDDOWN(F20-H20, 3 - (1+INT(LOG10(ABS(F20)))))),""),IF(AND(F20=0,NOT(F20="")),ABS(ROUNDDOWN(F20-H20,0)),""))</f>
        <v/>
      </c>
      <c r="J20" s="4">
        <f>IF(NOT(I20=""),IF(I20&lt;=G20,"match",IF(I20&lt;3*G20,"partial match","no match")),"")</f>
        <v/>
      </c>
      <c r="K20" t="inlineStr">
        <is>
          <t>int_mask_dim_x_init_roi</t>
        </is>
      </c>
    </row>
    <row r="21" ht="15" customHeight="1" s="10">
      <c r="A21" t="inlineStr">
        <is>
          <t>configuration E</t>
        </is>
      </c>
      <c r="B21" t="inlineStr">
        <is>
          <t>Diagnostics-initial ROI</t>
        </is>
      </c>
      <c r="C21" t="inlineStr">
        <is>
          <t>Int. mask dimension y</t>
        </is>
      </c>
      <c r="E21" t="inlineStr">
        <is>
          <t>6-9</t>
        </is>
      </c>
      <c r="F21" t="n">
        <v>201</v>
      </c>
      <c r="G21" t="n">
        <v>0</v>
      </c>
      <c r="I21" s="4">
        <f>IFERROR(IF(NOT(H21=""),ABS(ROUNDDOWN(F21-H21, 3 - (1+INT(LOG10(ABS(F21)))))),""),IF(AND(F21=0,NOT(F21="")),ABS(ROUNDDOWN(F21-H21,0)),""))</f>
        <v/>
      </c>
      <c r="J21" s="4">
        <f>IF(NOT(I21=""),IF(I21&lt;=G21,"match",IF(I21&lt;3*G21,"partial match","no match")),"")</f>
        <v/>
      </c>
      <c r="K21" t="inlineStr">
        <is>
          <t>int_mask_dim_y_init_roi</t>
        </is>
      </c>
    </row>
    <row r="22" ht="15" customHeight="1" s="10">
      <c r="A22" t="inlineStr">
        <is>
          <t>configuration E</t>
        </is>
      </c>
      <c r="B22" t="inlineStr">
        <is>
          <t>Diagnostics-initial ROI</t>
        </is>
      </c>
      <c r="C22" t="inlineStr">
        <is>
          <t>Int. mask dimension z</t>
        </is>
      </c>
      <c r="E22" t="inlineStr">
        <is>
          <t>6-9</t>
        </is>
      </c>
      <c r="F22" t="n">
        <v>60</v>
      </c>
      <c r="G22" t="n">
        <v>0</v>
      </c>
      <c r="I22" s="4">
        <f>IFERROR(IF(NOT(H22=""),ABS(ROUNDDOWN(F22-H22, 3 - (1+INT(LOG10(ABS(F22)))))),""),IF(AND(F22=0,NOT(F22="")),ABS(ROUNDDOWN(F22-H22,0)),""))</f>
        <v/>
      </c>
      <c r="J22" s="4">
        <f>IF(NOT(I22=""),IF(I22&lt;=G22,"match",IF(I22&lt;3*G22,"partial match","no match")),"")</f>
        <v/>
      </c>
      <c r="K22" t="inlineStr">
        <is>
          <t>int_mask_dim_z_init_roi</t>
        </is>
      </c>
    </row>
    <row r="23" ht="15" customHeight="1" s="10">
      <c r="A23" t="inlineStr">
        <is>
          <t>configuration E</t>
        </is>
      </c>
      <c r="B23" t="inlineStr">
        <is>
          <t>Diagnostics-initial ROI</t>
        </is>
      </c>
      <c r="C23" t="inlineStr">
        <is>
          <t>Int. mask bounding box dimension x</t>
        </is>
      </c>
      <c r="E23" t="inlineStr">
        <is>
          <t>6-9</t>
        </is>
      </c>
      <c r="F23" t="n">
        <v>100</v>
      </c>
      <c r="G23" t="n">
        <v>0</v>
      </c>
      <c r="I23" s="4">
        <f>IFERROR(IF(NOT(H23=""),ABS(ROUNDDOWN(F23-H23, 3 - (1+INT(LOG10(ABS(F23)))))),""),IF(AND(F23=0,NOT(F23="")),ABS(ROUNDDOWN(F23-H23,0)),""))</f>
        <v/>
      </c>
      <c r="J23" s="4">
        <f>IF(NOT(I23=""),IF(I23&lt;=G23,"match",IF(I23&lt;3*G23,"partial match","no match")),"")</f>
        <v/>
      </c>
      <c r="K23" t="inlineStr">
        <is>
          <t>int_mask_bb_dim_x_init_roi</t>
        </is>
      </c>
    </row>
    <row r="24" ht="15" customHeight="1" s="10">
      <c r="A24" t="inlineStr">
        <is>
          <t>configuration E</t>
        </is>
      </c>
      <c r="B24" t="inlineStr">
        <is>
          <t>Diagnostics-initial ROI</t>
        </is>
      </c>
      <c r="C24" t="inlineStr">
        <is>
          <t>Int. mask bounding box dimension y</t>
        </is>
      </c>
      <c r="E24" t="inlineStr">
        <is>
          <t>6-9</t>
        </is>
      </c>
      <c r="F24" t="n">
        <v>99</v>
      </c>
      <c r="G24" t="n">
        <v>0</v>
      </c>
      <c r="I24" s="4">
        <f>IFERROR(IF(NOT(H24=""),ABS(ROUNDDOWN(F24-H24, 3 - (1+INT(LOG10(ABS(F24)))))),""),IF(AND(F24=0,NOT(F24="")),ABS(ROUNDDOWN(F24-H24,0)),""))</f>
        <v/>
      </c>
      <c r="J24" s="4">
        <f>IF(NOT(I24=""),IF(I24&lt;=G24,"match",IF(I24&lt;3*G24,"partial match","no match")),"")</f>
        <v/>
      </c>
      <c r="K24" t="inlineStr">
        <is>
          <t>int_mask_bb_dim_y_init_roi</t>
        </is>
      </c>
    </row>
    <row r="25" ht="15" customHeight="1" s="10">
      <c r="A25" t="inlineStr">
        <is>
          <t>configuration E</t>
        </is>
      </c>
      <c r="B25" t="inlineStr">
        <is>
          <t>Diagnostics-initial ROI</t>
        </is>
      </c>
      <c r="C25" t="inlineStr">
        <is>
          <t>Int. mask bounding box dimension z</t>
        </is>
      </c>
      <c r="E25" t="inlineStr">
        <is>
          <t>6-9</t>
        </is>
      </c>
      <c r="F25" t="n">
        <v>26</v>
      </c>
      <c r="G25" t="n">
        <v>0</v>
      </c>
      <c r="I25" s="4">
        <f>IFERROR(IF(NOT(H25=""),ABS(ROUNDDOWN(F25-H25, 3 - (1+INT(LOG10(ABS(F25)))))),""),IF(AND(F25=0,NOT(F25="")),ABS(ROUNDDOWN(F25-H25,0)),""))</f>
        <v/>
      </c>
      <c r="J25" s="4">
        <f>IF(NOT(I25=""),IF(I25&lt;=G25,"match",IF(I25&lt;3*G25,"partial match","no match")),"")</f>
        <v/>
      </c>
      <c r="K25" t="inlineStr">
        <is>
          <t>int_mask_bb_dim_z_init_roi</t>
        </is>
      </c>
    </row>
    <row r="26" ht="15" customHeight="1" s="10">
      <c r="A26" t="inlineStr">
        <is>
          <t>configuration E</t>
        </is>
      </c>
      <c r="B26" t="inlineStr">
        <is>
          <t>Diagnostics-initial ROI</t>
        </is>
      </c>
      <c r="C26" t="inlineStr">
        <is>
          <t>Morph. mask bounding box dimension x</t>
        </is>
      </c>
      <c r="E26" t="inlineStr">
        <is>
          <t>6-9</t>
        </is>
      </c>
      <c r="F26" t="n">
        <v>100</v>
      </c>
      <c r="G26" t="n">
        <v>0</v>
      </c>
      <c r="I26" s="4">
        <f>IFERROR(IF(NOT(H26=""),ABS(ROUNDDOWN(F26-H26, 3 - (1+INT(LOG10(ABS(F26)))))),""),IF(AND(F26=0,NOT(F26="")),ABS(ROUNDDOWN(F26-H26,0)),""))</f>
        <v/>
      </c>
      <c r="J26" s="4">
        <f>IF(NOT(I26=""),IF(I26&lt;=G26,"match",IF(I26&lt;3*G26,"partial match","no match")),"")</f>
        <v/>
      </c>
      <c r="K26" t="inlineStr">
        <is>
          <t>morph_mask_bb_dim_x_init_roi</t>
        </is>
      </c>
    </row>
    <row r="27" ht="15" customHeight="1" s="10">
      <c r="A27" t="inlineStr">
        <is>
          <t>configuration E</t>
        </is>
      </c>
      <c r="B27" t="inlineStr">
        <is>
          <t>Diagnostics-initial ROI</t>
        </is>
      </c>
      <c r="C27" t="inlineStr">
        <is>
          <t>Morph. mask bounding box dimension y</t>
        </is>
      </c>
      <c r="E27" t="inlineStr">
        <is>
          <t>6-9</t>
        </is>
      </c>
      <c r="F27" t="n">
        <v>99</v>
      </c>
      <c r="G27" t="n">
        <v>0</v>
      </c>
      <c r="I27" s="4">
        <f>IFERROR(IF(NOT(H27=""),ABS(ROUNDDOWN(F27-H27, 3 - (1+INT(LOG10(ABS(F27)))))),""),IF(AND(F27=0,NOT(F27="")),ABS(ROUNDDOWN(F27-H27,0)),""))</f>
        <v/>
      </c>
      <c r="J27" s="4">
        <f>IF(NOT(I27=""),IF(I27&lt;=G27,"match",IF(I27&lt;3*G27,"partial match","no match")),"")</f>
        <v/>
      </c>
      <c r="K27" t="inlineStr">
        <is>
          <t>morph_mask_bb_dim_y_init_roi</t>
        </is>
      </c>
    </row>
    <row r="28" ht="15" customHeight="1" s="10">
      <c r="A28" t="inlineStr">
        <is>
          <t>configuration E</t>
        </is>
      </c>
      <c r="B28" t="inlineStr">
        <is>
          <t>Diagnostics-initial ROI</t>
        </is>
      </c>
      <c r="C28" t="inlineStr">
        <is>
          <t>Morph. mask bounding box dimension z</t>
        </is>
      </c>
      <c r="E28" t="inlineStr">
        <is>
          <t>6-9</t>
        </is>
      </c>
      <c r="F28" t="n">
        <v>26</v>
      </c>
      <c r="G28" t="n">
        <v>0</v>
      </c>
      <c r="I28" s="4">
        <f>IFERROR(IF(NOT(H28=""),ABS(ROUNDDOWN(F28-H28, 3 - (1+INT(LOG10(ABS(F28)))))),""),IF(AND(F28=0,NOT(F28="")),ABS(ROUNDDOWN(F28-H28,0)),""))</f>
        <v/>
      </c>
      <c r="J28" s="4">
        <f>IF(NOT(I28=""),IF(I28&lt;=G28,"match",IF(I28&lt;3*G28,"partial match","no match")),"")</f>
        <v/>
      </c>
      <c r="K28" t="inlineStr">
        <is>
          <t>morph_mask_bb_dim_z_init_roi</t>
        </is>
      </c>
    </row>
    <row r="29" ht="15" customHeight="1" s="10">
      <c r="A29" t="inlineStr">
        <is>
          <t>configuration E</t>
        </is>
      </c>
      <c r="B29" t="inlineStr">
        <is>
          <t>Diagnostics-initial ROI</t>
        </is>
      </c>
      <c r="C29" t="inlineStr">
        <is>
          <t>Int. mask voxel count</t>
        </is>
      </c>
      <c r="E29" t="inlineStr">
        <is>
          <t>6-9</t>
        </is>
      </c>
      <c r="F29" t="n">
        <v>125256</v>
      </c>
      <c r="G29" t="n">
        <v>0</v>
      </c>
      <c r="I29" s="4">
        <f>IFERROR(IF(NOT(H29=""),ABS(ROUNDDOWN(F29-H29, 3 - (1+INT(LOG10(ABS(F29)))))),""),IF(AND(F29=0,NOT(F29="")),ABS(ROUNDDOWN(F29-H29,0)),""))</f>
        <v/>
      </c>
      <c r="J29" s="4">
        <f>IF(NOT(I29=""),IF(I29&lt;=G29,"match",IF(I29&lt;3*G29,"partial match","no match")),"")</f>
        <v/>
      </c>
      <c r="K29" t="inlineStr">
        <is>
          <t>int_mask_vox_count_init_roi</t>
        </is>
      </c>
    </row>
    <row r="30" ht="15" customHeight="1" s="10">
      <c r="A30" t="inlineStr">
        <is>
          <t>configuration E</t>
        </is>
      </c>
      <c r="B30" t="inlineStr">
        <is>
          <t>Diagnostics-initial ROI</t>
        </is>
      </c>
      <c r="C30" t="inlineStr">
        <is>
          <t>Morph. mask voxel count</t>
        </is>
      </c>
      <c r="E30" t="inlineStr">
        <is>
          <t>3-5</t>
        </is>
      </c>
      <c r="F30" t="n">
        <v>125256</v>
      </c>
      <c r="G30" t="n">
        <v>0</v>
      </c>
      <c r="I30" s="4">
        <f>IFERROR(IF(NOT(H30=""),ABS(ROUNDDOWN(F30-H30, 3 - (1+INT(LOG10(ABS(F30)))))),""),IF(AND(F30=0,NOT(F30="")),ABS(ROUNDDOWN(F30-H30,0)),""))</f>
        <v/>
      </c>
      <c r="J30" s="4">
        <f>IF(NOT(I30=""),IF(I30&lt;=G30,"match",IF(I30&lt;3*G30,"partial match","no match")),"")</f>
        <v/>
      </c>
      <c r="K30" t="inlineStr">
        <is>
          <t>morph_mask_vox_count_init_roi</t>
        </is>
      </c>
    </row>
    <row r="31" ht="15" customHeight="1" s="10">
      <c r="A31" t="inlineStr">
        <is>
          <t>configuration E</t>
        </is>
      </c>
      <c r="B31" t="inlineStr">
        <is>
          <t>Diagnostics-initial ROI</t>
        </is>
      </c>
      <c r="C31" t="inlineStr">
        <is>
          <t>Int. mask mean intensity</t>
        </is>
      </c>
      <c r="E31" t="inlineStr">
        <is>
          <t>6-9</t>
        </is>
      </c>
      <c r="F31" t="n">
        <v>-46.9</v>
      </c>
      <c r="G31" t="n">
        <v>0</v>
      </c>
      <c r="I31" s="4">
        <f>IFERROR(IF(NOT(H31=""),ABS(ROUNDDOWN(F31-H31, 3 - (1+INT(LOG10(ABS(F31)))))),""),IF(AND(F31=0,NOT(F31="")),ABS(ROUNDDOWN(F31-H31,0)),""))</f>
        <v/>
      </c>
      <c r="J31" s="4">
        <f>IF(NOT(I31=""),IF(I31&lt;=G31,"match",IF(I31&lt;3*G31,"partial match","no match")),"")</f>
        <v/>
      </c>
      <c r="K31" t="inlineStr">
        <is>
          <t>int_mask_mean_int_init_roi</t>
        </is>
      </c>
    </row>
    <row r="32" ht="15" customHeight="1" s="10">
      <c r="A32" t="inlineStr">
        <is>
          <t>configuration E</t>
        </is>
      </c>
      <c r="B32" t="inlineStr">
        <is>
          <t>Diagnostics-initial ROI</t>
        </is>
      </c>
      <c r="C32" t="inlineStr">
        <is>
          <t>Int. mask minimum intensity</t>
        </is>
      </c>
      <c r="E32" t="inlineStr">
        <is>
          <t>6-9</t>
        </is>
      </c>
      <c r="F32" t="n">
        <v>-1000</v>
      </c>
      <c r="G32" t="n">
        <v>0</v>
      </c>
      <c r="I32" s="4">
        <f>IFERROR(IF(NOT(H32=""),ABS(ROUNDDOWN(F32-H32, 3 - (1+INT(LOG10(ABS(F32)))))),""),IF(AND(F32=0,NOT(F32="")),ABS(ROUNDDOWN(F32-H32,0)),""))</f>
        <v/>
      </c>
      <c r="J32" s="4">
        <f>IF(NOT(I32=""),IF(I32&lt;=G32,"match",IF(I32&lt;3*G32,"partial match","no match")),"")</f>
        <v/>
      </c>
      <c r="K32" t="inlineStr">
        <is>
          <t>int_mask_min_int_init_roi</t>
        </is>
      </c>
    </row>
    <row r="33" ht="15" customHeight="1" s="10">
      <c r="A33" t="inlineStr">
        <is>
          <t>configuration E</t>
        </is>
      </c>
      <c r="B33" t="inlineStr">
        <is>
          <t>Diagnostics-initial ROI</t>
        </is>
      </c>
      <c r="C33" t="inlineStr">
        <is>
          <t>Int. mask maximum intensity</t>
        </is>
      </c>
      <c r="E33" t="inlineStr">
        <is>
          <t>6-9</t>
        </is>
      </c>
      <c r="F33" t="n">
        <v>723</v>
      </c>
      <c r="G33" t="n">
        <v>0</v>
      </c>
      <c r="I33" s="4">
        <f>IFERROR(IF(NOT(H33=""),ABS(ROUNDDOWN(F33-H33, 3 - (1+INT(LOG10(ABS(F33)))))),""),IF(AND(F33=0,NOT(F33="")),ABS(ROUNDDOWN(F33-H33,0)),""))</f>
        <v/>
      </c>
      <c r="J33" s="4">
        <f>IF(NOT(I33=""),IF(I33&lt;=G33,"match",IF(I33&lt;3*G33,"partial match","no match")),"")</f>
        <v/>
      </c>
      <c r="K33" t="inlineStr">
        <is>
          <t>int_mask_max_int_init_roi</t>
        </is>
      </c>
    </row>
    <row r="34" ht="15" customHeight="1" s="10">
      <c r="A34" t="inlineStr">
        <is>
          <t>configuration E</t>
        </is>
      </c>
      <c r="B34" t="inlineStr">
        <is>
          <t>Diagnostics-interpolated ROI</t>
        </is>
      </c>
      <c r="C34" t="inlineStr">
        <is>
          <t>Int. mask dimension x</t>
        </is>
      </c>
      <c r="E34" t="inlineStr">
        <is>
          <t>6-9</t>
        </is>
      </c>
      <c r="F34" t="n">
        <v>100</v>
      </c>
      <c r="G34" t="n">
        <v>1</v>
      </c>
      <c r="I34" s="4">
        <f>IFERROR(IF(NOT(H34=""),ABS(ROUNDDOWN(F34-H34, 3 - (1+INT(LOG10(ABS(F34)))))),""),IF(AND(F34=0,NOT(F34="")),ABS(ROUNDDOWN(F34-H34,0)),""))</f>
        <v/>
      </c>
      <c r="J34" s="4">
        <f>IF(NOT(I34=""),IF(I34&lt;=G34,"match",IF(I34&lt;3*G34,"partial match","no match")),"")</f>
        <v/>
      </c>
      <c r="K34" t="inlineStr">
        <is>
          <t>int_mask_dim_x_interp_roi</t>
        </is>
      </c>
    </row>
    <row r="35" ht="15" customHeight="1" s="10">
      <c r="A35" t="inlineStr">
        <is>
          <t>configuration E</t>
        </is>
      </c>
      <c r="B35" t="inlineStr">
        <is>
          <t>Diagnostics-interpolated ROI</t>
        </is>
      </c>
      <c r="C35" t="inlineStr">
        <is>
          <t>Int. mask dimension y</t>
        </is>
      </c>
      <c r="E35" t="inlineStr">
        <is>
          <t>6-9</t>
        </is>
      </c>
      <c r="F35" t="n">
        <v>99</v>
      </c>
      <c r="G35" t="n">
        <v>0.8</v>
      </c>
      <c r="I35" s="4">
        <f>IFERROR(IF(NOT(H35=""),ABS(ROUNDDOWN(F35-H35, 3 - (1+INT(LOG10(ABS(F35)))))),""),IF(AND(F35=0,NOT(F35="")),ABS(ROUNDDOWN(F35-H35,0)),""))</f>
        <v/>
      </c>
      <c r="J35" s="4">
        <f>IF(NOT(I35=""),IF(I35&lt;=G35,"match",IF(I35&lt;3*G35,"partial match","no match")),"")</f>
        <v/>
      </c>
      <c r="K35" t="inlineStr">
        <is>
          <t>int_mask_dim_y_interp_roi</t>
        </is>
      </c>
    </row>
    <row r="36" ht="15" customHeight="1" s="10">
      <c r="A36" t="inlineStr">
        <is>
          <t>configuration E</t>
        </is>
      </c>
      <c r="B36" t="inlineStr">
        <is>
          <t>Diagnostics-interpolated ROI</t>
        </is>
      </c>
      <c r="C36" t="inlineStr">
        <is>
          <t>Int. mask dimension z</t>
        </is>
      </c>
      <c r="E36" t="inlineStr">
        <is>
          <t>6-9</t>
        </is>
      </c>
      <c r="F36" t="n">
        <v>90</v>
      </c>
      <c r="G36" t="n">
        <v>0</v>
      </c>
      <c r="I36" s="4">
        <f>IFERROR(IF(NOT(H36=""),ABS(ROUNDDOWN(F36-H36, 3 - (1+INT(LOG10(ABS(F36)))))),""),IF(AND(F36=0,NOT(F36="")),ABS(ROUNDDOWN(F36-H36,0)),""))</f>
        <v/>
      </c>
      <c r="J36" s="4">
        <f>IF(NOT(I36=""),IF(I36&lt;=G36,"match",IF(I36&lt;3*G36,"partial match","no match")),"")</f>
        <v/>
      </c>
      <c r="K36" t="inlineStr">
        <is>
          <t>int_mask_dim_z_interp_roi</t>
        </is>
      </c>
    </row>
    <row r="37" ht="15" customHeight="1" s="10">
      <c r="A37" t="inlineStr">
        <is>
          <t>configuration E</t>
        </is>
      </c>
      <c r="B37" t="inlineStr">
        <is>
          <t>Diagnostics-interpolated ROI</t>
        </is>
      </c>
      <c r="C37" t="inlineStr">
        <is>
          <t>Int. mask bounding box dimension x</t>
        </is>
      </c>
      <c r="E37" t="inlineStr">
        <is>
          <t>6-9</t>
        </is>
      </c>
      <c r="F37" t="n">
        <v>49</v>
      </c>
      <c r="G37" t="n">
        <v>0.2</v>
      </c>
      <c r="I37" s="4">
        <f>IFERROR(IF(NOT(H37=""),ABS(ROUNDDOWN(F37-H37, 3 - (1+INT(LOG10(ABS(F37)))))),""),IF(AND(F37=0,NOT(F37="")),ABS(ROUNDDOWN(F37-H37,0)),""))</f>
        <v/>
      </c>
      <c r="J37" s="4">
        <f>IF(NOT(I37=""),IF(I37&lt;=G37,"match",IF(I37&lt;3*G37,"partial match","no match")),"")</f>
        <v/>
      </c>
      <c r="K37" t="inlineStr">
        <is>
          <t>int_mask_bb_dim_x_interp_roi</t>
        </is>
      </c>
    </row>
    <row r="38" ht="15" customHeight="1" s="10">
      <c r="A38" t="inlineStr">
        <is>
          <t>configuration E</t>
        </is>
      </c>
      <c r="B38" t="inlineStr">
        <is>
          <t>Diagnostics-interpolated ROI</t>
        </is>
      </c>
      <c r="C38" t="inlineStr">
        <is>
          <t>Int. mask bounding box dimension y</t>
        </is>
      </c>
      <c r="E38" t="inlineStr">
        <is>
          <t>6-9</t>
        </is>
      </c>
      <c r="F38" t="n">
        <v>49</v>
      </c>
      <c r="G38" t="n">
        <v>0.3</v>
      </c>
      <c r="I38" s="4">
        <f>IFERROR(IF(NOT(H38=""),ABS(ROUNDDOWN(F38-H38, 3 - (1+INT(LOG10(ABS(F38)))))),""),IF(AND(F38=0,NOT(F38="")),ABS(ROUNDDOWN(F38-H38,0)),""))</f>
        <v/>
      </c>
      <c r="J38" s="4">
        <f>IF(NOT(I38=""),IF(I38&lt;=G38,"match",IF(I38&lt;3*G38,"partial match","no match")),"")</f>
        <v/>
      </c>
      <c r="K38" t="inlineStr">
        <is>
          <t>int_mask_bb_dim_y_interp_roi</t>
        </is>
      </c>
    </row>
    <row r="39" ht="15" customHeight="1" s="10">
      <c r="A39" t="inlineStr">
        <is>
          <t>configuration E</t>
        </is>
      </c>
      <c r="B39" t="inlineStr">
        <is>
          <t>Diagnostics-interpolated ROI</t>
        </is>
      </c>
      <c r="C39" t="inlineStr">
        <is>
          <t>Int. mask bounding box dimension z</t>
        </is>
      </c>
      <c r="E39" t="inlineStr">
        <is>
          <t>6-9</t>
        </is>
      </c>
      <c r="F39" t="n">
        <v>40</v>
      </c>
      <c r="G39" t="n">
        <v>0</v>
      </c>
      <c r="I39" s="4">
        <f>IFERROR(IF(NOT(H39=""),ABS(ROUNDDOWN(F39-H39, 3 - (1+INT(LOG10(ABS(F39)))))),""),IF(AND(F39=0,NOT(F39="")),ABS(ROUNDDOWN(F39-H39,0)),""))</f>
        <v/>
      </c>
      <c r="J39" s="4">
        <f>IF(NOT(I39=""),IF(I39&lt;=G39,"match",IF(I39&lt;3*G39,"partial match","no match")),"")</f>
        <v/>
      </c>
      <c r="K39" t="inlineStr">
        <is>
          <t>int_mask_bb_dim_z_interp_roi</t>
        </is>
      </c>
    </row>
    <row r="40" ht="15" customHeight="1" s="10">
      <c r="A40" t="inlineStr">
        <is>
          <t>configuration E</t>
        </is>
      </c>
      <c r="B40" t="inlineStr">
        <is>
          <t>Diagnostics-interpolated ROI</t>
        </is>
      </c>
      <c r="C40" t="inlineStr">
        <is>
          <t>Morph. mask bounding box dimension x</t>
        </is>
      </c>
      <c r="E40" t="inlineStr">
        <is>
          <t>6-9</t>
        </is>
      </c>
      <c r="F40" t="n">
        <v>49</v>
      </c>
      <c r="G40" t="n">
        <v>0.2</v>
      </c>
      <c r="I40" s="4">
        <f>IFERROR(IF(NOT(H40=""),ABS(ROUNDDOWN(F40-H40, 3 - (1+INT(LOG10(ABS(F40)))))),""),IF(AND(F40=0,NOT(F40="")),ABS(ROUNDDOWN(F40-H40,0)),""))</f>
        <v/>
      </c>
      <c r="J40" s="4">
        <f>IF(NOT(I40=""),IF(I40&lt;=G40,"match",IF(I40&lt;3*G40,"partial match","no match")),"")</f>
        <v/>
      </c>
      <c r="K40" t="inlineStr">
        <is>
          <t>morph_mask_bb_dim_x_interp_roi</t>
        </is>
      </c>
    </row>
    <row r="41" ht="15" customHeight="1" s="10">
      <c r="A41" t="inlineStr">
        <is>
          <t>configuration E</t>
        </is>
      </c>
      <c r="B41" t="inlineStr">
        <is>
          <t>Diagnostics-interpolated ROI</t>
        </is>
      </c>
      <c r="C41" t="inlineStr">
        <is>
          <t>Morph. mask bounding box dimension y</t>
        </is>
      </c>
      <c r="E41" t="inlineStr">
        <is>
          <t>6-9</t>
        </is>
      </c>
      <c r="F41" t="n">
        <v>49</v>
      </c>
      <c r="G41" t="n">
        <v>0.3</v>
      </c>
      <c r="I41" s="4">
        <f>IFERROR(IF(NOT(H41=""),ABS(ROUNDDOWN(F41-H41, 3 - (1+INT(LOG10(ABS(F41)))))),""),IF(AND(F41=0,NOT(F41="")),ABS(ROUNDDOWN(F41-H41,0)),""))</f>
        <v/>
      </c>
      <c r="J41" s="4">
        <f>IF(NOT(I41=""),IF(I41&lt;=G41,"match",IF(I41&lt;3*G41,"partial match","no match")),"")</f>
        <v/>
      </c>
      <c r="K41" t="inlineStr">
        <is>
          <t>morph_mask_bb_dim_y_interp_roi</t>
        </is>
      </c>
    </row>
    <row r="42" ht="15" customHeight="1" s="10">
      <c r="A42" t="inlineStr">
        <is>
          <t>configuration E</t>
        </is>
      </c>
      <c r="B42" t="inlineStr">
        <is>
          <t>Diagnostics-interpolated ROI</t>
        </is>
      </c>
      <c r="C42" t="inlineStr">
        <is>
          <t>Morph. mask bounding box dimension z</t>
        </is>
      </c>
      <c r="E42" t="inlineStr">
        <is>
          <t>6-9</t>
        </is>
      </c>
      <c r="F42" t="n">
        <v>40</v>
      </c>
      <c r="G42" t="n">
        <v>0</v>
      </c>
      <c r="I42" s="4">
        <f>IFERROR(IF(NOT(H42=""),ABS(ROUNDDOWN(F42-H42, 3 - (1+INT(LOG10(ABS(F42)))))),""),IF(AND(F42=0,NOT(F42="")),ABS(ROUNDDOWN(F42-H42,0)),""))</f>
        <v/>
      </c>
      <c r="J42" s="4">
        <f>IF(NOT(I42=""),IF(I42&lt;=G42,"match",IF(I42&lt;3*G42,"partial match","no match")),"")</f>
        <v/>
      </c>
      <c r="K42" t="inlineStr">
        <is>
          <t>morph_mask_bb_dim_z_interp_roi</t>
        </is>
      </c>
    </row>
    <row r="43" ht="15" customHeight="1" s="10">
      <c r="A43" t="inlineStr">
        <is>
          <t>configuration E</t>
        </is>
      </c>
      <c r="B43" t="inlineStr">
        <is>
          <t>Diagnostics-interpolated ROI</t>
        </is>
      </c>
      <c r="C43" t="inlineStr">
        <is>
          <t>Int. mask voxel count</t>
        </is>
      </c>
      <c r="E43" t="inlineStr">
        <is>
          <t>6-9</t>
        </is>
      </c>
      <c r="F43" t="n">
        <v>45985</v>
      </c>
      <c r="G43" t="n">
        <v>100</v>
      </c>
      <c r="I43" s="4">
        <f>IFERROR(IF(NOT(H43=""),ABS(ROUNDDOWN(F43-H43, 3 - (1+INT(LOG10(ABS(F43)))))),""),IF(AND(F43=0,NOT(F43="")),ABS(ROUNDDOWN(F43-H43,0)),""))</f>
        <v/>
      </c>
      <c r="J43" s="4">
        <f>IF(NOT(I43=""),IF(I43&lt;=G43,"match",IF(I43&lt;3*G43,"partial match","no match")),"")</f>
        <v/>
      </c>
      <c r="K43" t="inlineStr">
        <is>
          <t>int_mask_vox_count_interp_roi</t>
        </is>
      </c>
    </row>
    <row r="44" ht="15" customHeight="1" s="10">
      <c r="A44" t="inlineStr">
        <is>
          <t>configuration E</t>
        </is>
      </c>
      <c r="B44" t="inlineStr">
        <is>
          <t>Diagnostics-interpolated ROI</t>
        </is>
      </c>
      <c r="C44" t="inlineStr">
        <is>
          <t>Morph. mask voxel count</t>
        </is>
      </c>
      <c r="E44" t="inlineStr">
        <is>
          <t>6-9</t>
        </is>
      </c>
      <c r="F44" t="n">
        <v>45985</v>
      </c>
      <c r="G44" t="n">
        <v>100</v>
      </c>
      <c r="I44" s="4">
        <f>IFERROR(IF(NOT(H44=""),ABS(ROUNDDOWN(F44-H44, 3 - (1+INT(LOG10(ABS(F44)))))),""),IF(AND(F44=0,NOT(F44="")),ABS(ROUNDDOWN(F44-H44,0)),""))</f>
        <v/>
      </c>
      <c r="J44" s="4">
        <f>IF(NOT(I44=""),IF(I44&lt;=G44,"match",IF(I44&lt;3*G44,"partial match","no match")),"")</f>
        <v/>
      </c>
      <c r="K44" t="inlineStr">
        <is>
          <t>morph_mask_vox_count_interp_roi</t>
        </is>
      </c>
    </row>
    <row r="45" ht="15" customHeight="1" s="10">
      <c r="A45" t="inlineStr">
        <is>
          <t>configuration E</t>
        </is>
      </c>
      <c r="B45" t="inlineStr">
        <is>
          <t>Diagnostics-interpolated ROI</t>
        </is>
      </c>
      <c r="C45" t="inlineStr">
        <is>
          <t>Int. mask mean intensity</t>
        </is>
      </c>
      <c r="E45" t="inlineStr">
        <is>
          <t>6-9</t>
        </is>
      </c>
      <c r="F45" t="n">
        <v>-48.3</v>
      </c>
      <c r="G45" t="n">
        <v>0.1</v>
      </c>
      <c r="I45" s="4">
        <f>IFERROR(IF(NOT(H45=""),ABS(ROUNDDOWN(F45-H45, 3 - (1+INT(LOG10(ABS(F45)))))),""),IF(AND(F45=0,NOT(F45="")),ABS(ROUNDDOWN(F45-H45,0)),""))</f>
        <v/>
      </c>
      <c r="J45" s="4">
        <f>IF(NOT(I45=""),IF(I45&lt;=G45,"match",IF(I45&lt;3*G45,"partial match","no match")),"")</f>
        <v/>
      </c>
      <c r="K45" t="inlineStr">
        <is>
          <t>int_mask_mean_int_interp_roi</t>
        </is>
      </c>
    </row>
    <row r="46" ht="15" customHeight="1" s="10">
      <c r="A46" t="inlineStr">
        <is>
          <t>configuration E</t>
        </is>
      </c>
      <c r="B46" t="inlineStr">
        <is>
          <t>Diagnostics-interpolated ROI</t>
        </is>
      </c>
      <c r="C46" t="inlineStr">
        <is>
          <t>Int. mask minimum intensity</t>
        </is>
      </c>
      <c r="E46" t="inlineStr">
        <is>
          <t>6-9</t>
        </is>
      </c>
      <c r="F46" t="n">
        <v>-966</v>
      </c>
      <c r="G46" t="n">
        <v>1</v>
      </c>
      <c r="I46" s="4">
        <f>IFERROR(IF(NOT(H46=""),ABS(ROUNDDOWN(F46-H46, 3 - (1+INT(LOG10(ABS(F46)))))),""),IF(AND(F46=0,NOT(F46="")),ABS(ROUNDDOWN(F46-H46,0)),""))</f>
        <v/>
      </c>
      <c r="J46" s="4">
        <f>IF(NOT(I46=""),IF(I46&lt;=G46,"match",IF(I46&lt;3*G46,"partial match","no match")),"")</f>
        <v/>
      </c>
      <c r="K46" t="inlineStr">
        <is>
          <t>int_mask_min_int_interp_roi</t>
        </is>
      </c>
    </row>
    <row r="47" ht="15" customHeight="1" s="10">
      <c r="A47" t="inlineStr">
        <is>
          <t>configuration E</t>
        </is>
      </c>
      <c r="B47" t="inlineStr">
        <is>
          <t>Diagnostics-interpolated ROI</t>
        </is>
      </c>
      <c r="C47" t="inlineStr">
        <is>
          <t>Int. mask maximum intensity</t>
        </is>
      </c>
      <c r="E47" t="inlineStr">
        <is>
          <t>6-9</t>
        </is>
      </c>
      <c r="F47" t="n">
        <v>627</v>
      </c>
      <c r="G47" t="n">
        <v>5</v>
      </c>
      <c r="I47" s="4">
        <f>IFERROR(IF(NOT(H47=""),ABS(ROUNDDOWN(F47-H47, 3 - (1+INT(LOG10(ABS(F47)))))),""),IF(AND(F47=0,NOT(F47="")),ABS(ROUNDDOWN(F47-H47,0)),""))</f>
        <v/>
      </c>
      <c r="J47" s="4">
        <f>IF(NOT(I47=""),IF(I47&lt;=G47,"match",IF(I47&lt;3*G47,"partial match","no match")),"")</f>
        <v/>
      </c>
      <c r="K47" t="inlineStr">
        <is>
          <t>int_mask_max_int_interp_roi</t>
        </is>
      </c>
    </row>
    <row r="48" ht="15" customHeight="1" s="10">
      <c r="A48" t="inlineStr">
        <is>
          <t>configuration E</t>
        </is>
      </c>
      <c r="B48" t="inlineStr">
        <is>
          <t>Diagnostics-resegmented ROI</t>
        </is>
      </c>
      <c r="C48" t="inlineStr">
        <is>
          <t>Int. mask dimension x</t>
        </is>
      </c>
      <c r="E48" t="inlineStr">
        <is>
          <t>&lt; 3</t>
        </is>
      </c>
      <c r="I48" s="4">
        <f>IFERROR(IF(NOT(H48=""),ABS(ROUNDDOWN(F48-H48, 3 - (1+INT(LOG10(ABS(F48)))))),""),IF(AND(F48=0,NOT(F48="")),ABS(ROUNDDOWN(F48-H48,0)),""))</f>
        <v/>
      </c>
      <c r="J48" s="4">
        <f>IF(NOT(I48=""),IF(I48&lt;=G48,"match",IF(I48&lt;3*G48,"partial match","no match")),"")</f>
        <v/>
      </c>
      <c r="K48" t="inlineStr">
        <is>
          <t>int_mask_dim_x_reseg_roi</t>
        </is>
      </c>
    </row>
    <row r="49" ht="15" customHeight="1" s="10">
      <c r="A49" t="inlineStr">
        <is>
          <t>configuration E</t>
        </is>
      </c>
      <c r="B49" t="inlineStr">
        <is>
          <t>Diagnostics-resegmented ROI</t>
        </is>
      </c>
      <c r="C49" t="inlineStr">
        <is>
          <t>Int. mask dimension y</t>
        </is>
      </c>
      <c r="E49" t="inlineStr">
        <is>
          <t>&lt; 3</t>
        </is>
      </c>
      <c r="I49" s="4">
        <f>IFERROR(IF(NOT(H49=""),ABS(ROUNDDOWN(F49-H49, 3 - (1+INT(LOG10(ABS(F49)))))),""),IF(AND(F49=0,NOT(F49="")),ABS(ROUNDDOWN(F49-H49,0)),""))</f>
        <v/>
      </c>
      <c r="J49" s="4">
        <f>IF(NOT(I49=""),IF(I49&lt;=G49,"match",IF(I49&lt;3*G49,"partial match","no match")),"")</f>
        <v/>
      </c>
      <c r="K49" t="inlineStr">
        <is>
          <t>int_mask_dim_y_reseg_roi</t>
        </is>
      </c>
    </row>
    <row r="50" ht="15" customHeight="1" s="10">
      <c r="A50" t="inlineStr">
        <is>
          <t>configuration E</t>
        </is>
      </c>
      <c r="B50" t="inlineStr">
        <is>
          <t>Diagnostics-resegmented ROI</t>
        </is>
      </c>
      <c r="C50" t="inlineStr">
        <is>
          <t>Int. mask dimension z</t>
        </is>
      </c>
      <c r="E50" t="inlineStr">
        <is>
          <t>&lt; 3</t>
        </is>
      </c>
      <c r="I50" s="4">
        <f>IFERROR(IF(NOT(H50=""),ABS(ROUNDDOWN(F50-H50, 3 - (1+INT(LOG10(ABS(F50)))))),""),IF(AND(F50=0,NOT(F50="")),ABS(ROUNDDOWN(F50-H50,0)),""))</f>
        <v/>
      </c>
      <c r="J50" s="4">
        <f>IF(NOT(I50=""),IF(I50&lt;=G50,"match",IF(I50&lt;3*G50,"partial match","no match")),"")</f>
        <v/>
      </c>
      <c r="K50" t="inlineStr">
        <is>
          <t>int_mask_dim_z_reseg_roi</t>
        </is>
      </c>
    </row>
    <row r="51" ht="15" customHeight="1" s="10">
      <c r="A51" t="inlineStr">
        <is>
          <t>configuration E</t>
        </is>
      </c>
      <c r="B51" t="inlineStr">
        <is>
          <t>Diagnostics-resegmented ROI</t>
        </is>
      </c>
      <c r="C51" t="inlineStr">
        <is>
          <t>Int. mask bounding box dimension x</t>
        </is>
      </c>
      <c r="E51" t="inlineStr">
        <is>
          <t>&lt; 3</t>
        </is>
      </c>
      <c r="I51" s="4">
        <f>IFERROR(IF(NOT(H51=""),ABS(ROUNDDOWN(F51-H51, 3 - (1+INT(LOG10(ABS(F51)))))),""),IF(AND(F51=0,NOT(F51="")),ABS(ROUNDDOWN(F51-H51,0)),""))</f>
        <v/>
      </c>
      <c r="J51" s="4">
        <f>IF(NOT(I51=""),IF(I51&lt;=G51,"match",IF(I51&lt;3*G51,"partial match","no match")),"")</f>
        <v/>
      </c>
      <c r="K51" t="inlineStr">
        <is>
          <t>int_mask_bb_dim_x_reseg_roi</t>
        </is>
      </c>
    </row>
    <row r="52" ht="15" customHeight="1" s="10">
      <c r="A52" t="inlineStr">
        <is>
          <t>configuration E</t>
        </is>
      </c>
      <c r="B52" t="inlineStr">
        <is>
          <t>Diagnostics-resegmented ROI</t>
        </is>
      </c>
      <c r="C52" t="inlineStr">
        <is>
          <t>Int. mask bounding box dimension y</t>
        </is>
      </c>
      <c r="E52" t="inlineStr">
        <is>
          <t>&lt; 3</t>
        </is>
      </c>
      <c r="I52" s="4">
        <f>IFERROR(IF(NOT(H52=""),ABS(ROUNDDOWN(F52-H52, 3 - (1+INT(LOG10(ABS(F52)))))),""),IF(AND(F52=0,NOT(F52="")),ABS(ROUNDDOWN(F52-H52,0)),""))</f>
        <v/>
      </c>
      <c r="J52" s="4">
        <f>IF(NOT(I52=""),IF(I52&lt;=G52,"match",IF(I52&lt;3*G52,"partial match","no match")),"")</f>
        <v/>
      </c>
      <c r="K52" t="inlineStr">
        <is>
          <t>int_mask_bb_dim_y_reseg_roi</t>
        </is>
      </c>
    </row>
    <row r="53" ht="15" customHeight="1" s="10">
      <c r="A53" t="inlineStr">
        <is>
          <t>configuration E</t>
        </is>
      </c>
      <c r="B53" t="inlineStr">
        <is>
          <t>Diagnostics-resegmented ROI</t>
        </is>
      </c>
      <c r="C53" t="inlineStr">
        <is>
          <t>Int. mask bounding box dimension z</t>
        </is>
      </c>
      <c r="E53" t="inlineStr">
        <is>
          <t>&lt; 3</t>
        </is>
      </c>
      <c r="I53" s="4">
        <f>IFERROR(IF(NOT(H53=""),ABS(ROUNDDOWN(F53-H53, 3 - (1+INT(LOG10(ABS(F53)))))),""),IF(AND(F53=0,NOT(F53="")),ABS(ROUNDDOWN(F53-H53,0)),""))</f>
        <v/>
      </c>
      <c r="J53" s="4">
        <f>IF(NOT(I53=""),IF(I53&lt;=G53,"match",IF(I53&lt;3*G53,"partial match","no match")),"")</f>
        <v/>
      </c>
      <c r="K53" t="inlineStr">
        <is>
          <t>int_mask_bb_dim_z_reseg_roi</t>
        </is>
      </c>
    </row>
    <row r="54" ht="15" customHeight="1" s="10">
      <c r="A54" t="inlineStr">
        <is>
          <t>configuration E</t>
        </is>
      </c>
      <c r="B54" t="inlineStr">
        <is>
          <t>Diagnostics-resegmented ROI</t>
        </is>
      </c>
      <c r="C54" t="inlineStr">
        <is>
          <t>Morph. mask bounding box dimension x</t>
        </is>
      </c>
      <c r="E54" t="inlineStr">
        <is>
          <t>&lt; 3</t>
        </is>
      </c>
      <c r="I54" s="4">
        <f>IFERROR(IF(NOT(H54=""),ABS(ROUNDDOWN(F54-H54, 3 - (1+INT(LOG10(ABS(F54)))))),""),IF(AND(F54=0,NOT(F54="")),ABS(ROUNDDOWN(F54-H54,0)),""))</f>
        <v/>
      </c>
      <c r="J54" s="4">
        <f>IF(NOT(I54=""),IF(I54&lt;=G54,"match",IF(I54&lt;3*G54,"partial match","no match")),"")</f>
        <v/>
      </c>
      <c r="K54" t="inlineStr">
        <is>
          <t>morph_mask_bb_dim_x_reseg_roi</t>
        </is>
      </c>
    </row>
    <row r="55" ht="15" customHeight="1" s="10">
      <c r="A55" t="inlineStr">
        <is>
          <t>configuration E</t>
        </is>
      </c>
      <c r="B55" t="inlineStr">
        <is>
          <t>Diagnostics-resegmented ROI</t>
        </is>
      </c>
      <c r="C55" t="inlineStr">
        <is>
          <t>Morph. mask bounding box dimension y</t>
        </is>
      </c>
      <c r="E55" t="inlineStr">
        <is>
          <t>&lt; 3</t>
        </is>
      </c>
      <c r="I55" s="4">
        <f>IFERROR(IF(NOT(H55=""),ABS(ROUNDDOWN(F55-H55, 3 - (1+INT(LOG10(ABS(F55)))))),""),IF(AND(F55=0,NOT(F55="")),ABS(ROUNDDOWN(F55-H55,0)),""))</f>
        <v/>
      </c>
      <c r="J55" s="4">
        <f>IF(NOT(I55=""),IF(I55&lt;=G55,"match",IF(I55&lt;3*G55,"partial match","no match")),"")</f>
        <v/>
      </c>
      <c r="K55" t="inlineStr">
        <is>
          <t>morph_mask_bb_dim_y_reseg_roi</t>
        </is>
      </c>
    </row>
    <row r="56" ht="15" customHeight="1" s="10">
      <c r="A56" t="inlineStr">
        <is>
          <t>configuration E</t>
        </is>
      </c>
      <c r="B56" t="inlineStr">
        <is>
          <t>Diagnostics-resegmented ROI</t>
        </is>
      </c>
      <c r="C56" t="inlineStr">
        <is>
          <t>Morph. mask bounding box dimension z</t>
        </is>
      </c>
      <c r="E56" t="inlineStr">
        <is>
          <t>&lt; 3</t>
        </is>
      </c>
      <c r="I56" s="4">
        <f>IFERROR(IF(NOT(H56=""),ABS(ROUNDDOWN(F56-H56, 3 - (1+INT(LOG10(ABS(F56)))))),""),IF(AND(F56=0,NOT(F56="")),ABS(ROUNDDOWN(F56-H56,0)),""))</f>
        <v/>
      </c>
      <c r="J56" s="4">
        <f>IF(NOT(I56=""),IF(I56&lt;=G56,"match",IF(I56&lt;3*G56,"partial match","no match")),"")</f>
        <v/>
      </c>
      <c r="K56" t="inlineStr">
        <is>
          <t>morph_mask_bb_dim_z_reseg_roi</t>
        </is>
      </c>
    </row>
    <row r="57" ht="15" customHeight="1" s="10">
      <c r="A57" t="inlineStr">
        <is>
          <t>configuration E</t>
        </is>
      </c>
      <c r="B57" t="inlineStr">
        <is>
          <t>Diagnostics-resegmented ROI</t>
        </is>
      </c>
      <c r="C57" t="inlineStr">
        <is>
          <t>Int. mask voxel count</t>
        </is>
      </c>
      <c r="E57" t="inlineStr">
        <is>
          <t>&lt; 3</t>
        </is>
      </c>
      <c r="I57" s="4">
        <f>IFERROR(IF(NOT(H57=""),ABS(ROUNDDOWN(F57-H57, 3 - (1+INT(LOG10(ABS(F57)))))),""),IF(AND(F57=0,NOT(F57="")),ABS(ROUNDDOWN(F57-H57,0)),""))</f>
        <v/>
      </c>
      <c r="J57" s="4">
        <f>IF(NOT(I57=""),IF(I57&lt;=G57,"match",IF(I57&lt;3*G57,"partial match","no match")),"")</f>
        <v/>
      </c>
      <c r="K57" t="inlineStr">
        <is>
          <t>int_mask_vox_count_reseg_roi</t>
        </is>
      </c>
    </row>
    <row r="58" ht="15" customHeight="1" s="10">
      <c r="A58" t="inlineStr">
        <is>
          <t>configuration E</t>
        </is>
      </c>
      <c r="B58" t="inlineStr">
        <is>
          <t>Diagnostics-resegmented ROI</t>
        </is>
      </c>
      <c r="C58" t="inlineStr">
        <is>
          <t>Morph. mask voxel count</t>
        </is>
      </c>
      <c r="E58" t="inlineStr">
        <is>
          <t>&lt; 3</t>
        </is>
      </c>
      <c r="I58" s="4">
        <f>IFERROR(IF(NOT(H58=""),ABS(ROUNDDOWN(F58-H58, 3 - (1+INT(LOG10(ABS(F58)))))),""),IF(AND(F58=0,NOT(F58="")),ABS(ROUNDDOWN(F58-H58,0)),""))</f>
        <v/>
      </c>
      <c r="J58" s="4">
        <f>IF(NOT(I58=""),IF(I58&lt;=G58,"match",IF(I58&lt;3*G58,"partial match","no match")),"")</f>
        <v/>
      </c>
      <c r="K58" t="inlineStr">
        <is>
          <t>morph_mask_vox_count_reseg_roi</t>
        </is>
      </c>
    </row>
    <row r="59" ht="15" customHeight="1" s="10">
      <c r="A59" t="inlineStr">
        <is>
          <t>configuration E</t>
        </is>
      </c>
      <c r="B59" t="inlineStr">
        <is>
          <t>Diagnostics-resegmented ROI</t>
        </is>
      </c>
      <c r="C59" t="inlineStr">
        <is>
          <t>Int. mask mean intensity</t>
        </is>
      </c>
      <c r="E59" t="inlineStr">
        <is>
          <t>&lt; 3</t>
        </is>
      </c>
      <c r="I59" s="4">
        <f>IFERROR(IF(NOT(H59=""),ABS(ROUNDDOWN(F59-H59, 3 - (1+INT(LOG10(ABS(F59)))))),""),IF(AND(F59=0,NOT(F59="")),ABS(ROUNDDOWN(F59-H59,0)),""))</f>
        <v/>
      </c>
      <c r="J59" s="4">
        <f>IF(NOT(I59=""),IF(I59&lt;=G59,"match",IF(I59&lt;3*G59,"partial match","no match")),"")</f>
        <v/>
      </c>
      <c r="K59" t="inlineStr">
        <is>
          <t>int_mask_mean_int_reseg_roi</t>
        </is>
      </c>
    </row>
    <row r="60" ht="15" customHeight="1" s="10">
      <c r="A60" t="inlineStr">
        <is>
          <t>configuration E</t>
        </is>
      </c>
      <c r="B60" t="inlineStr">
        <is>
          <t>Diagnostics-resegmented ROI</t>
        </is>
      </c>
      <c r="C60" t="inlineStr">
        <is>
          <t>Int. mask minimum intensity</t>
        </is>
      </c>
      <c r="E60" t="inlineStr">
        <is>
          <t>&lt; 3</t>
        </is>
      </c>
      <c r="I60" s="4">
        <f>IFERROR(IF(NOT(H60=""),ABS(ROUNDDOWN(F60-H60, 3 - (1+INT(LOG10(ABS(F60)))))),""),IF(AND(F60=0,NOT(F60="")),ABS(ROUNDDOWN(F60-H60,0)),""))</f>
        <v/>
      </c>
      <c r="J60" s="4">
        <f>IF(NOT(I60=""),IF(I60&lt;=G60,"match",IF(I60&lt;3*G60,"partial match","no match")),"")</f>
        <v/>
      </c>
      <c r="K60" t="inlineStr">
        <is>
          <t>int_mask_min_int_reseg_roi</t>
        </is>
      </c>
    </row>
    <row r="61" ht="15" customHeight="1" s="10">
      <c r="A61" t="inlineStr">
        <is>
          <t>configuration E</t>
        </is>
      </c>
      <c r="B61" t="inlineStr">
        <is>
          <t>Diagnostics-resegmented ROI</t>
        </is>
      </c>
      <c r="C61" t="inlineStr">
        <is>
          <t>Int. mask maximum intensity</t>
        </is>
      </c>
      <c r="E61" t="inlineStr">
        <is>
          <t>&lt; 3</t>
        </is>
      </c>
      <c r="I61" s="4">
        <f>IFERROR(IF(NOT(H61=""),ABS(ROUNDDOWN(F61-H61, 3 - (1+INT(LOG10(ABS(F61)))))),""),IF(AND(F61=0,NOT(F61="")),ABS(ROUNDDOWN(F61-H61,0)),""))</f>
        <v/>
      </c>
      <c r="J61" s="4">
        <f>IF(NOT(I61=""),IF(I61&lt;=G61,"match",IF(I61&lt;3*G61,"partial match","no match")),"")</f>
        <v/>
      </c>
      <c r="K61" t="inlineStr">
        <is>
          <t>int_mask_max_int_reseg_roi</t>
        </is>
      </c>
    </row>
    <row r="62" ht="15" customHeight="1" s="10">
      <c r="A62" t="inlineStr">
        <is>
          <t>configuration E</t>
        </is>
      </c>
      <c r="B62" t="inlineStr">
        <is>
          <t>Morphology</t>
        </is>
      </c>
      <c r="C62" t="inlineStr">
        <is>
          <t>Volume (mesh-based)</t>
        </is>
      </c>
      <c r="E62" t="inlineStr">
        <is>
          <t>6-9</t>
        </is>
      </c>
      <c r="F62" t="n">
        <v>367000</v>
      </c>
      <c r="G62" t="n">
        <v>6000</v>
      </c>
      <c r="H62" s="4" t="n"/>
      <c r="I62" s="4">
        <f>IFERROR(IF(NOT(H62=""),ABS(ROUNDDOWN(F62-H62, 3 - (1+INT(LOG10(ABS(F62)))))),""),IF(AND(F62=0,NOT(F62="")),ABS(ROUNDDOWN(F62-H62,0)),""))</f>
        <v/>
      </c>
      <c r="J62" s="4">
        <f>IF(NOT(I62=""),IF(I62&lt;=G62,"match",IF(I62&lt;3*G62,"partial match","no match")),"")</f>
        <v/>
      </c>
      <c r="K62" t="inlineStr">
        <is>
          <t>morph_volume</t>
        </is>
      </c>
    </row>
    <row r="63" ht="15" customHeight="1" s="10">
      <c r="A63" t="inlineStr">
        <is>
          <t>configuration E</t>
        </is>
      </c>
      <c r="B63" t="inlineStr">
        <is>
          <t>Morphology</t>
        </is>
      </c>
      <c r="C63" t="inlineStr">
        <is>
          <t>Volume (counting)</t>
        </is>
      </c>
      <c r="E63" t="inlineStr">
        <is>
          <t>6-9</t>
        </is>
      </c>
      <c r="F63" t="n">
        <v>368000</v>
      </c>
      <c r="G63" t="n">
        <v>6000</v>
      </c>
      <c r="H63" s="4" t="n"/>
      <c r="I63" s="4">
        <f>IFERROR(IF(NOT(H63=""),ABS(ROUNDDOWN(F63-H63, 3 - (1+INT(LOG10(ABS(F63)))))),""),IF(AND(F63=0,NOT(F63="")),ABS(ROUNDDOWN(F63-H63,0)),""))</f>
        <v/>
      </c>
      <c r="J63" s="4">
        <f>IF(NOT(I63=""),IF(I63&lt;=G63,"match",IF(I63&lt;3*G63,"partial match","no match")),"")</f>
        <v/>
      </c>
      <c r="K63" t="inlineStr">
        <is>
          <t>morph_vol_approx</t>
        </is>
      </c>
    </row>
    <row r="64" ht="15" customHeight="1" s="10">
      <c r="A64" t="inlineStr">
        <is>
          <t>configuration E</t>
        </is>
      </c>
      <c r="B64" t="inlineStr">
        <is>
          <t>Morphology</t>
        </is>
      </c>
      <c r="C64" t="inlineStr">
        <is>
          <t>Surface area</t>
        </is>
      </c>
      <c r="E64" t="inlineStr">
        <is>
          <t>6-9</t>
        </is>
      </c>
      <c r="F64" t="n">
        <v>34300</v>
      </c>
      <c r="G64" t="n">
        <v>300</v>
      </c>
      <c r="H64" s="4" t="n"/>
      <c r="I64" s="4">
        <f>IFERROR(IF(NOT(H64=""),ABS(ROUNDDOWN(F64-H64, 3 - (1+INT(LOG10(ABS(F64)))))),""),IF(AND(F64=0,NOT(F64="")),ABS(ROUNDDOWN(F64-H64,0)),""))</f>
        <v/>
      </c>
      <c r="J64" s="4">
        <f>IF(NOT(I64=""),IF(I64&lt;=G64,"match",IF(I64&lt;3*G64,"partial match","no match")),"")</f>
        <v/>
      </c>
      <c r="K64" t="inlineStr">
        <is>
          <t>morph_area_mesh</t>
        </is>
      </c>
    </row>
    <row r="65" ht="15" customHeight="1" s="10">
      <c r="A65" t="inlineStr">
        <is>
          <t>configuration E</t>
        </is>
      </c>
      <c r="B65" t="inlineStr">
        <is>
          <t>Morphology</t>
        </is>
      </c>
      <c r="C65" t="inlineStr">
        <is>
          <t>Surface to volume ratio</t>
        </is>
      </c>
      <c r="E65" t="inlineStr">
        <is>
          <t>6-9</t>
        </is>
      </c>
      <c r="F65" t="n">
        <v>0.0934</v>
      </c>
      <c r="G65" t="n">
        <v>0.0007</v>
      </c>
      <c r="H65" s="4" t="n"/>
      <c r="I65" s="4">
        <f>IFERROR(IF(NOT(H65=""),ABS(ROUNDDOWN(F65-H65, 3 - (1+INT(LOG10(ABS(F65)))))),""),IF(AND(F65=0,NOT(F65="")),ABS(ROUNDDOWN(F65-H65,0)),""))</f>
        <v/>
      </c>
      <c r="J65" s="4">
        <f>IF(NOT(I65=""),IF(I65&lt;=G65,"match",IF(I65&lt;3*G65,"partial match","no match")),"")</f>
        <v/>
      </c>
      <c r="K65" t="inlineStr">
        <is>
          <t>morph_av</t>
        </is>
      </c>
    </row>
    <row r="66" ht="15" customHeight="1" s="10">
      <c r="A66" t="inlineStr">
        <is>
          <t>configuration E</t>
        </is>
      </c>
      <c r="B66" t="inlineStr">
        <is>
          <t>Morphology</t>
        </is>
      </c>
      <c r="C66" t="inlineStr">
        <is>
          <t>Compactness 1</t>
        </is>
      </c>
      <c r="E66" t="inlineStr">
        <is>
          <t>6-9</t>
        </is>
      </c>
      <c r="F66" t="n">
        <v>0.0326</v>
      </c>
      <c r="G66" t="n">
        <v>0.0002</v>
      </c>
      <c r="H66" s="4" t="n"/>
      <c r="I66" s="4">
        <f>IFERROR(IF(NOT(H66=""),ABS(ROUNDDOWN(F66-H66, 3 - (1+INT(LOG10(ABS(F66)))))),""),IF(AND(F66=0,NOT(F66="")),ABS(ROUNDDOWN(F66-H66,0)),""))</f>
        <v/>
      </c>
      <c r="J66" s="4">
        <f>IF(NOT(I66=""),IF(I66&lt;=G66,"match",IF(I66&lt;3*G66,"partial match","no match")),"")</f>
        <v/>
      </c>
      <c r="K66" t="inlineStr">
        <is>
          <t>morph_comp_1</t>
        </is>
      </c>
    </row>
    <row r="67" ht="15" customHeight="1" s="10">
      <c r="A67" t="inlineStr">
        <is>
          <t>configuration E</t>
        </is>
      </c>
      <c r="B67" t="inlineStr">
        <is>
          <t>Morphology</t>
        </is>
      </c>
      <c r="C67" t="inlineStr">
        <is>
          <t>Compactness 2</t>
        </is>
      </c>
      <c r="E67" t="inlineStr">
        <is>
          <t>6-9</t>
        </is>
      </c>
      <c r="F67" t="n">
        <v>0.378</v>
      </c>
      <c r="G67" t="n">
        <v>0.004</v>
      </c>
      <c r="H67" s="4" t="n"/>
      <c r="I67" s="4">
        <f>IFERROR(IF(NOT(H67=""),ABS(ROUNDDOWN(F67-H67, 3 - (1+INT(LOG10(ABS(F67)))))),""),IF(AND(F67=0,NOT(F67="")),ABS(ROUNDDOWN(F67-H67,0)),""))</f>
        <v/>
      </c>
      <c r="J67" s="4">
        <f>IF(NOT(I67=""),IF(I67&lt;=G67,"match",IF(I67&lt;3*G67,"partial match","no match")),"")</f>
        <v/>
      </c>
      <c r="K67" t="inlineStr">
        <is>
          <t>morph_comp_2</t>
        </is>
      </c>
    </row>
    <row r="68" ht="15" customHeight="1" s="10">
      <c r="A68" t="inlineStr">
        <is>
          <t>configuration E</t>
        </is>
      </c>
      <c r="B68" t="inlineStr">
        <is>
          <t>Morphology</t>
        </is>
      </c>
      <c r="C68" t="inlineStr">
        <is>
          <t>Spherical disproportion</t>
        </is>
      </c>
      <c r="E68" t="inlineStr">
        <is>
          <t>6-9</t>
        </is>
      </c>
      <c r="F68" t="n">
        <v>1.38</v>
      </c>
      <c r="G68" t="n">
        <v>0.01</v>
      </c>
      <c r="H68" s="4" t="n"/>
      <c r="I68" s="4">
        <f>IFERROR(IF(NOT(H68=""),ABS(ROUNDDOWN(F68-H68, 3 - (1+INT(LOG10(ABS(F68)))))),""),IF(AND(F68=0,NOT(F68="")),ABS(ROUNDDOWN(F68-H68,0)),""))</f>
        <v/>
      </c>
      <c r="J68" s="4">
        <f>IF(NOT(I68=""),IF(I68&lt;=G68,"match",IF(I68&lt;3*G68,"partial match","no match")),"")</f>
        <v/>
      </c>
      <c r="K68" t="inlineStr">
        <is>
          <t>morph_sph_dispr</t>
        </is>
      </c>
    </row>
    <row r="69" ht="15" customHeight="1" s="10">
      <c r="A69" t="inlineStr">
        <is>
          <t>configuration E</t>
        </is>
      </c>
      <c r="B69" t="inlineStr">
        <is>
          <t>Morphology</t>
        </is>
      </c>
      <c r="C69" t="inlineStr">
        <is>
          <t>Sphericity</t>
        </is>
      </c>
      <c r="E69" t="inlineStr">
        <is>
          <t>6-9</t>
        </is>
      </c>
      <c r="F69" t="n">
        <v>0.723</v>
      </c>
      <c r="G69" t="n">
        <v>0.003</v>
      </c>
      <c r="H69" s="4" t="n"/>
      <c r="I69" s="4">
        <f>IFERROR(IF(NOT(H69=""),ABS(ROUNDDOWN(F69-H69, 3 - (1+INT(LOG10(ABS(F69)))))),""),IF(AND(F69=0,NOT(F69="")),ABS(ROUNDDOWN(F69-H69,0)),""))</f>
        <v/>
      </c>
      <c r="J69" s="4">
        <f>IF(NOT(I69=""),IF(I69&lt;=G69,"match",IF(I69&lt;3*G69,"partial match","no match")),"")</f>
        <v/>
      </c>
      <c r="K69" t="inlineStr">
        <is>
          <t>morph_sphericity</t>
        </is>
      </c>
    </row>
    <row r="70" ht="15" customHeight="1" s="10">
      <c r="A70" t="inlineStr">
        <is>
          <t>configuration E</t>
        </is>
      </c>
      <c r="B70" t="inlineStr">
        <is>
          <t>Morphology</t>
        </is>
      </c>
      <c r="C70" t="inlineStr">
        <is>
          <t>Asphericity</t>
        </is>
      </c>
      <c r="E70" t="inlineStr">
        <is>
          <t>6-9</t>
        </is>
      </c>
      <c r="F70" t="n">
        <v>0.383</v>
      </c>
      <c r="G70" t="n">
        <v>0.005</v>
      </c>
      <c r="H70" s="4" t="n"/>
      <c r="I70" s="4">
        <f>IFERROR(IF(NOT(H70=""),ABS(ROUNDDOWN(F70-H70, 3 - (1+INT(LOG10(ABS(F70)))))),""),IF(AND(F70=0,NOT(F70="")),ABS(ROUNDDOWN(F70-H70,0)),""))</f>
        <v/>
      </c>
      <c r="J70" s="4">
        <f>IF(NOT(I70=""),IF(I70&lt;=G70,"match",IF(I70&lt;3*G70,"partial match","no match")),"")</f>
        <v/>
      </c>
      <c r="K70" t="inlineStr">
        <is>
          <t>morph_asphericity</t>
        </is>
      </c>
    </row>
    <row r="71" ht="15" customHeight="1" s="10">
      <c r="A71" t="inlineStr">
        <is>
          <t>configuration E</t>
        </is>
      </c>
      <c r="B71" t="inlineStr">
        <is>
          <t>Morphology</t>
        </is>
      </c>
      <c r="C71" t="inlineStr">
        <is>
          <t>Centre of mass shift</t>
        </is>
      </c>
      <c r="E71" t="inlineStr">
        <is>
          <t>3-5</t>
        </is>
      </c>
      <c r="F71" t="n">
        <v>15.2</v>
      </c>
      <c r="G71" t="n">
        <v>1.2</v>
      </c>
      <c r="H71" s="4" t="n"/>
      <c r="I71" s="4">
        <f>IFERROR(IF(NOT(H71=""),ABS(ROUNDDOWN(F71-H71, 3 - (1+INT(LOG10(ABS(F71)))))),""),IF(AND(F71=0,NOT(F71="")),ABS(ROUNDDOWN(F71-H71,0)),""))</f>
        <v/>
      </c>
      <c r="J71" s="4">
        <f>IF(NOT(I71=""),IF(I71&lt;=G71,"match",IF(I71&lt;3*G71,"partial match","no match")),"")</f>
        <v/>
      </c>
      <c r="K71" t="inlineStr">
        <is>
          <t>morph_com</t>
        </is>
      </c>
    </row>
    <row r="72" ht="15" customHeight="1" s="10">
      <c r="A72" t="inlineStr">
        <is>
          <t>configuration E</t>
        </is>
      </c>
      <c r="B72" t="inlineStr">
        <is>
          <t>Morphology</t>
        </is>
      </c>
      <c r="C72" t="inlineStr">
        <is>
          <t>Maximum 3D diameter</t>
        </is>
      </c>
      <c r="E72" t="inlineStr">
        <is>
          <t>6-9</t>
        </is>
      </c>
      <c r="F72" t="n">
        <v>125</v>
      </c>
      <c r="G72" t="n">
        <v>1</v>
      </c>
      <c r="H72" s="4" t="n"/>
      <c r="I72" s="4">
        <f>IFERROR(IF(NOT(H72=""),ABS(ROUNDDOWN(F72-H72, 3 - (1+INT(LOG10(ABS(F72)))))),""),IF(AND(F72=0,NOT(F72="")),ABS(ROUNDDOWN(F72-H72,0)),""))</f>
        <v/>
      </c>
      <c r="J72" s="4">
        <f>IF(NOT(I72=""),IF(I72&lt;=G72,"match",IF(I72&lt;3*G72,"partial match","no match")),"")</f>
        <v/>
      </c>
      <c r="K72" t="inlineStr">
        <is>
          <t>morph_diam</t>
        </is>
      </c>
    </row>
    <row r="73" ht="15" customHeight="1" s="10">
      <c r="A73" t="inlineStr">
        <is>
          <t>configuration E</t>
        </is>
      </c>
      <c r="B73" t="inlineStr">
        <is>
          <t>Morphology</t>
        </is>
      </c>
      <c r="C73" t="inlineStr">
        <is>
          <t>Major axis length</t>
        </is>
      </c>
      <c r="E73" t="inlineStr">
        <is>
          <t>6-9</t>
        </is>
      </c>
      <c r="F73" t="n">
        <v>93.3</v>
      </c>
      <c r="G73" t="n">
        <v>0.5</v>
      </c>
      <c r="H73" s="4" t="n"/>
      <c r="I73" s="4">
        <f>IFERROR(IF(NOT(H73=""),ABS(ROUNDDOWN(F73-H73, 3 - (1+INT(LOG10(ABS(F73)))))),""),IF(AND(F73=0,NOT(F73="")),ABS(ROUNDDOWN(F73-H73,0)),""))</f>
        <v/>
      </c>
      <c r="J73" s="4">
        <f>IF(NOT(I73=""),IF(I73&lt;=G73,"match",IF(I73&lt;3*G73,"partial match","no match")),"")</f>
        <v/>
      </c>
      <c r="K73" t="inlineStr">
        <is>
          <t>morph_pca_maj_axis</t>
        </is>
      </c>
    </row>
    <row r="74" ht="15" customHeight="1" s="10">
      <c r="A74" t="inlineStr">
        <is>
          <t>configuration E</t>
        </is>
      </c>
      <c r="B74" t="inlineStr">
        <is>
          <t>Morphology</t>
        </is>
      </c>
      <c r="C74" t="inlineStr">
        <is>
          <t>Minor axis length</t>
        </is>
      </c>
      <c r="E74" t="inlineStr">
        <is>
          <t>6-9</t>
        </is>
      </c>
      <c r="F74" t="n">
        <v>82</v>
      </c>
      <c r="G74" t="n">
        <v>0.5</v>
      </c>
      <c r="H74" s="4" t="n"/>
      <c r="I74" s="4">
        <f>IFERROR(IF(NOT(H74=""),ABS(ROUNDDOWN(F74-H74, 3 - (1+INT(LOG10(ABS(F74)))))),""),IF(AND(F74=0,NOT(F74="")),ABS(ROUNDDOWN(F74-H74,0)),""))</f>
        <v/>
      </c>
      <c r="J74" s="4">
        <f>IF(NOT(I74=""),IF(I74&lt;=G74,"match",IF(I74&lt;3*G74,"partial match","no match")),"")</f>
        <v/>
      </c>
      <c r="K74" t="inlineStr">
        <is>
          <t>morph_pca_min_axis</t>
        </is>
      </c>
    </row>
    <row r="75" ht="15" customHeight="1" s="10">
      <c r="A75" t="inlineStr">
        <is>
          <t>configuration E</t>
        </is>
      </c>
      <c r="B75" t="inlineStr">
        <is>
          <t>Morphology</t>
        </is>
      </c>
      <c r="C75" t="inlineStr">
        <is>
          <t>Least axis length</t>
        </is>
      </c>
      <c r="E75" t="inlineStr">
        <is>
          <t>6-9</t>
        </is>
      </c>
      <c r="F75" t="n">
        <v>70.90000000000001</v>
      </c>
      <c r="G75" t="n">
        <v>0.5</v>
      </c>
      <c r="H75" s="4" t="n"/>
      <c r="I75" s="4">
        <f>IFERROR(IF(NOT(H75=""),ABS(ROUNDDOWN(F75-H75, 3 - (1+INT(LOG10(ABS(F75)))))),""),IF(AND(F75=0,NOT(F75="")),ABS(ROUNDDOWN(F75-H75,0)),""))</f>
        <v/>
      </c>
      <c r="J75" s="4">
        <f>IF(NOT(I75=""),IF(I75&lt;=G75,"match",IF(I75&lt;3*G75,"partial match","no match")),"")</f>
        <v/>
      </c>
      <c r="K75" t="inlineStr">
        <is>
          <t>morph_pca_least_axis</t>
        </is>
      </c>
    </row>
    <row r="76" ht="15" customHeight="1" s="10">
      <c r="A76" t="inlineStr">
        <is>
          <t>configuration E</t>
        </is>
      </c>
      <c r="B76" t="inlineStr">
        <is>
          <t>Morphology</t>
        </is>
      </c>
      <c r="C76" t="inlineStr">
        <is>
          <t>Elongation</t>
        </is>
      </c>
      <c r="E76" t="inlineStr">
        <is>
          <t>6-9</t>
        </is>
      </c>
      <c r="F76" t="n">
        <v>0.879</v>
      </c>
      <c r="G76" t="n">
        <v>0.001</v>
      </c>
      <c r="H76" s="4" t="n"/>
      <c r="I76" s="4">
        <f>IFERROR(IF(NOT(H76=""),ABS(ROUNDDOWN(F76-H76, 3 - (1+INT(LOG10(ABS(F76)))))),""),IF(AND(F76=0,NOT(F76="")),ABS(ROUNDDOWN(F76-H76,0)),""))</f>
        <v/>
      </c>
      <c r="J76" s="4">
        <f>IF(NOT(I76=""),IF(I76&lt;=G76,"match",IF(I76&lt;3*G76,"partial match","no match")),"")</f>
        <v/>
      </c>
      <c r="K76" t="inlineStr">
        <is>
          <t>morph_pca_elongation</t>
        </is>
      </c>
    </row>
    <row r="77" ht="15" customHeight="1" s="10">
      <c r="A77" t="inlineStr">
        <is>
          <t>configuration E</t>
        </is>
      </c>
      <c r="B77" t="inlineStr">
        <is>
          <t>Morphology</t>
        </is>
      </c>
      <c r="C77" t="inlineStr">
        <is>
          <t>Flatness</t>
        </is>
      </c>
      <c r="E77" t="inlineStr">
        <is>
          <t>6-9</t>
        </is>
      </c>
      <c r="F77" t="n">
        <v>0.76</v>
      </c>
      <c r="G77" t="n">
        <v>0.001</v>
      </c>
      <c r="H77" s="4" t="n"/>
      <c r="I77" s="4">
        <f>IFERROR(IF(NOT(H77=""),ABS(ROUNDDOWN(F77-H77, 3 - (1+INT(LOG10(ABS(F77)))))),""),IF(AND(F77=0,NOT(F77="")),ABS(ROUNDDOWN(F77-H77,0)),""))</f>
        <v/>
      </c>
      <c r="J77" s="4">
        <f>IF(NOT(I77=""),IF(I77&lt;=G77,"match",IF(I77&lt;3*G77,"partial match","no match")),"")</f>
        <v/>
      </c>
      <c r="K77" t="inlineStr">
        <is>
          <t>morph_pca_flatness</t>
        </is>
      </c>
    </row>
    <row r="78" ht="15" customHeight="1" s="10">
      <c r="A78" t="inlineStr">
        <is>
          <t>configuration E</t>
        </is>
      </c>
      <c r="B78" t="inlineStr">
        <is>
          <t>Morphology</t>
        </is>
      </c>
      <c r="C78" t="inlineStr">
        <is>
          <t>Volume density (AABB)</t>
        </is>
      </c>
      <c r="E78" t="inlineStr">
        <is>
          <t>3-5</t>
        </is>
      </c>
      <c r="F78" t="n">
        <v>0.478</v>
      </c>
      <c r="G78" t="n">
        <v>0.003</v>
      </c>
      <c r="H78" s="4" t="n"/>
      <c r="I78" s="4">
        <f>IFERROR(IF(NOT(H78=""),ABS(ROUNDDOWN(F78-H78, 3 - (1+INT(LOG10(ABS(F78)))))),""),IF(AND(F78=0,NOT(F78="")),ABS(ROUNDDOWN(F78-H78,0)),""))</f>
        <v/>
      </c>
      <c r="J78" s="4">
        <f>IF(NOT(I78=""),IF(I78&lt;=G78,"match",IF(I78&lt;3*G78,"partial match","no match")),"")</f>
        <v/>
      </c>
      <c r="K78" t="inlineStr">
        <is>
          <t>morph_vol_dens_aabb</t>
        </is>
      </c>
    </row>
    <row r="79" ht="15" customHeight="1" s="10">
      <c r="A79" t="inlineStr">
        <is>
          <t>configuration E</t>
        </is>
      </c>
      <c r="B79" t="inlineStr">
        <is>
          <t>Morphology</t>
        </is>
      </c>
      <c r="C79" t="inlineStr">
        <is>
          <t>Area density (AABB)</t>
        </is>
      </c>
      <c r="E79" t="inlineStr">
        <is>
          <t>3-5</t>
        </is>
      </c>
      <c r="F79" t="n">
        <v>0.678</v>
      </c>
      <c r="G79" t="n">
        <v>0.003</v>
      </c>
      <c r="H79" s="4" t="n"/>
      <c r="I79" s="4">
        <f>IFERROR(IF(NOT(H79=""),ABS(ROUNDDOWN(F79-H79, 3 - (1+INT(LOG10(ABS(F79)))))),""),IF(AND(F79=0,NOT(F79="")),ABS(ROUNDDOWN(F79-H79,0)),""))</f>
        <v/>
      </c>
      <c r="J79" s="4">
        <f>IF(NOT(I79=""),IF(I79&lt;=G79,"match",IF(I79&lt;3*G79,"partial match","no match")),"")</f>
        <v/>
      </c>
      <c r="K79" t="inlineStr">
        <is>
          <t>morph_area_dens_aabb</t>
        </is>
      </c>
    </row>
    <row r="80" ht="15" customHeight="1" s="10">
      <c r="A80" t="inlineStr">
        <is>
          <t>configuration E</t>
        </is>
      </c>
      <c r="B80" t="inlineStr">
        <is>
          <t>Morphology</t>
        </is>
      </c>
      <c r="C80" t="inlineStr">
        <is>
          <t>Volume density (OMBB)</t>
        </is>
      </c>
      <c r="E80" t="inlineStr">
        <is>
          <t>&lt; 3</t>
        </is>
      </c>
      <c r="H80" s="4" t="n"/>
      <c r="I80" s="4">
        <f>IFERROR(IF(NOT(H80=""),ABS(ROUNDDOWN(F80-H80, 3 - (1+INT(LOG10(ABS(F80)))))),""),IF(AND(F80=0,NOT(F80="")),ABS(ROUNDDOWN(F80-H80,0)),""))</f>
        <v/>
      </c>
      <c r="J80" s="4">
        <f>IF(NOT(I80=""),IF(I80&lt;=G80,"match",IF(I80&lt;3*G80,"partial match","no match")),"")</f>
        <v/>
      </c>
      <c r="K80" t="inlineStr">
        <is>
          <t>morph_vol_dens_ombb</t>
        </is>
      </c>
    </row>
    <row r="81" ht="15" customHeight="1" s="10">
      <c r="A81" t="inlineStr">
        <is>
          <t>configuration E</t>
        </is>
      </c>
      <c r="B81" t="inlineStr">
        <is>
          <t>Morphology</t>
        </is>
      </c>
      <c r="C81" t="inlineStr">
        <is>
          <t>Area density (OMBB)</t>
        </is>
      </c>
      <c r="E81" t="inlineStr">
        <is>
          <t>3-5</t>
        </is>
      </c>
      <c r="F81" t="n">
        <v>0.6899999999999999</v>
      </c>
      <c r="G81" t="n">
        <v>0.002</v>
      </c>
      <c r="H81" s="4" t="n"/>
      <c r="I81" s="4">
        <f>IFERROR(IF(NOT(H81=""),ABS(ROUNDDOWN(F81-H81, 3 - (1+INT(LOG10(ABS(F81)))))),""),IF(AND(F81=0,NOT(F81="")),ABS(ROUNDDOWN(F81-H81,0)),""))</f>
        <v/>
      </c>
      <c r="J81" s="4">
        <f>IF(NOT(I81=""),IF(I81&lt;=G81,"match",IF(I81&lt;3*G81,"partial match","no match")),"")</f>
        <v/>
      </c>
      <c r="K81" t="inlineStr">
        <is>
          <t>morph_area_dens_ombb</t>
        </is>
      </c>
    </row>
    <row r="82" ht="15" customHeight="1" s="10">
      <c r="A82" t="inlineStr">
        <is>
          <t>configuration E</t>
        </is>
      </c>
      <c r="B82" t="inlineStr">
        <is>
          <t>Morphology</t>
        </is>
      </c>
      <c r="C82" t="inlineStr">
        <is>
          <t>Volume density (AEE)</t>
        </is>
      </c>
      <c r="E82" t="inlineStr">
        <is>
          <t>3-5</t>
        </is>
      </c>
      <c r="F82" t="n">
        <v>1.29</v>
      </c>
      <c r="G82" t="n">
        <v>0.01</v>
      </c>
      <c r="H82" s="4" t="n"/>
      <c r="I82" s="4">
        <f>IFERROR(IF(NOT(H82=""),ABS(ROUNDDOWN(F82-H82, 3 - (1+INT(LOG10(ABS(F82)))))),""),IF(AND(F82=0,NOT(F82="")),ABS(ROUNDDOWN(F82-H82,0)),""))</f>
        <v/>
      </c>
      <c r="J82" s="4">
        <f>IF(NOT(I82=""),IF(I82&lt;=G82,"match",IF(I82&lt;3*G82,"partial match","no match")),"")</f>
        <v/>
      </c>
      <c r="K82" t="inlineStr">
        <is>
          <t>morph_vol_dens_aee</t>
        </is>
      </c>
    </row>
    <row r="83" ht="15" customHeight="1" s="10">
      <c r="A83" t="inlineStr">
        <is>
          <t>configuration E</t>
        </is>
      </c>
      <c r="B83" t="inlineStr">
        <is>
          <t>Morphology</t>
        </is>
      </c>
      <c r="C83" t="inlineStr">
        <is>
          <t>Area density (AEE)</t>
        </is>
      </c>
      <c r="E83" t="inlineStr">
        <is>
          <t>3-5</t>
        </is>
      </c>
      <c r="F83" t="n">
        <v>1.62</v>
      </c>
      <c r="G83" t="n">
        <v>0.01</v>
      </c>
      <c r="H83" s="4" t="n"/>
      <c r="I83" s="4">
        <f>IFERROR(IF(NOT(H83=""),ABS(ROUNDDOWN(F83-H83, 3 - (1+INT(LOG10(ABS(F83)))))),""),IF(AND(F83=0,NOT(F83="")),ABS(ROUNDDOWN(F83-H83,0)),""))</f>
        <v/>
      </c>
      <c r="J83" s="4">
        <f>IF(NOT(I83=""),IF(I83&lt;=G83,"match",IF(I83&lt;3*G83,"partial match","no match")),"")</f>
        <v/>
      </c>
      <c r="K83" t="inlineStr">
        <is>
          <t>morph_area_dens_aee</t>
        </is>
      </c>
    </row>
    <row r="84" ht="15" customHeight="1" s="10">
      <c r="A84" t="inlineStr">
        <is>
          <t>configuration E</t>
        </is>
      </c>
      <c r="B84" t="inlineStr">
        <is>
          <t>Morphology</t>
        </is>
      </c>
      <c r="C84" t="inlineStr">
        <is>
          <t>Volume density (MVEE)</t>
        </is>
      </c>
      <c r="E84" t="inlineStr">
        <is>
          <t>&lt; 3</t>
        </is>
      </c>
      <c r="H84" s="4" t="n"/>
      <c r="I84" s="4">
        <f>IFERROR(IF(NOT(H84=""),ABS(ROUNDDOWN(F84-H84, 3 - (1+INT(LOG10(ABS(F84)))))),""),IF(AND(F84=0,NOT(F84="")),ABS(ROUNDDOWN(F84-H84,0)),""))</f>
        <v/>
      </c>
      <c r="J84" s="4">
        <f>IF(NOT(I84=""),IF(I84&lt;=G84,"match",IF(I84&lt;3*G84,"partial match","no match")),"")</f>
        <v/>
      </c>
      <c r="K84" t="inlineStr">
        <is>
          <t>morph_vol_dens_mvee</t>
        </is>
      </c>
    </row>
    <row r="85" ht="15" customHeight="1" s="10">
      <c r="A85" t="inlineStr">
        <is>
          <t>configuration E</t>
        </is>
      </c>
      <c r="B85" t="inlineStr">
        <is>
          <t>Morphology</t>
        </is>
      </c>
      <c r="C85" t="inlineStr">
        <is>
          <t>Area density (MVEE)</t>
        </is>
      </c>
      <c r="E85" t="inlineStr">
        <is>
          <t>&lt; 3</t>
        </is>
      </c>
      <c r="H85" s="4" t="n"/>
      <c r="I85" s="4">
        <f>IFERROR(IF(NOT(H85=""),ABS(ROUNDDOWN(F85-H85, 3 - (1+INT(LOG10(ABS(F85)))))),""),IF(AND(F85=0,NOT(F85="")),ABS(ROUNDDOWN(F85-H85,0)),""))</f>
        <v/>
      </c>
      <c r="J85" s="4">
        <f>IF(NOT(I85=""),IF(I85&lt;=G85,"match",IF(I85&lt;3*G85,"partial match","no match")),"")</f>
        <v/>
      </c>
      <c r="K85" t="inlineStr">
        <is>
          <t>morph_area_dens_mvee</t>
        </is>
      </c>
    </row>
    <row r="86" ht="15" customHeight="1" s="10">
      <c r="A86" t="inlineStr">
        <is>
          <t>configuration E</t>
        </is>
      </c>
      <c r="B86" t="inlineStr">
        <is>
          <t>Morphology</t>
        </is>
      </c>
      <c r="C86" t="inlineStr">
        <is>
          <t>Volume density (convex hull)</t>
        </is>
      </c>
      <c r="E86" t="inlineStr">
        <is>
          <t>3-5</t>
        </is>
      </c>
      <c r="F86" t="n">
        <v>0.834</v>
      </c>
      <c r="G86" t="n">
        <v>0.002</v>
      </c>
      <c r="H86" s="4" t="n"/>
      <c r="I86" s="4">
        <f>IFERROR(IF(NOT(H86=""),ABS(ROUNDDOWN(F86-H86, 3 - (1+INT(LOG10(ABS(F86)))))),""),IF(AND(F86=0,NOT(F86="")),ABS(ROUNDDOWN(F86-H86,0)),""))</f>
        <v/>
      </c>
      <c r="J86" s="4">
        <f>IF(NOT(I86=""),IF(I86&lt;=G86,"match",IF(I86&lt;3*G86,"partial match","no match")),"")</f>
        <v/>
      </c>
      <c r="K86" t="inlineStr">
        <is>
          <t>morph_vol_dens_conv_hull</t>
        </is>
      </c>
    </row>
    <row r="87" ht="15" customHeight="1" s="10">
      <c r="A87" t="inlineStr">
        <is>
          <t>configuration E</t>
        </is>
      </c>
      <c r="B87" t="inlineStr">
        <is>
          <t>Morphology</t>
        </is>
      </c>
      <c r="C87" t="inlineStr">
        <is>
          <t>Area density (convex hull)</t>
        </is>
      </c>
      <c r="E87" t="inlineStr">
        <is>
          <t>3-5</t>
        </is>
      </c>
      <c r="F87" t="n">
        <v>1.13</v>
      </c>
      <c r="G87" t="n">
        <v>0.01</v>
      </c>
      <c r="H87" s="4" t="n"/>
      <c r="I87" s="4">
        <f>IFERROR(IF(NOT(H87=""),ABS(ROUNDDOWN(F87-H87, 3 - (1+INT(LOG10(ABS(F87)))))),""),IF(AND(F87=0,NOT(F87="")),ABS(ROUNDDOWN(F87-H87,0)),""))</f>
        <v/>
      </c>
      <c r="J87" s="4">
        <f>IF(NOT(I87=""),IF(I87&lt;=G87,"match",IF(I87&lt;3*G87,"partial match","no match")),"")</f>
        <v/>
      </c>
      <c r="K87" t="inlineStr">
        <is>
          <t>morph_area_dens_conv_hull</t>
        </is>
      </c>
    </row>
    <row r="88" ht="15" customHeight="1" s="10">
      <c r="A88" t="inlineStr">
        <is>
          <t>configuration E</t>
        </is>
      </c>
      <c r="B88" t="inlineStr">
        <is>
          <t>Morphology</t>
        </is>
      </c>
      <c r="C88" t="inlineStr">
        <is>
          <t>Integrated intensity</t>
        </is>
      </c>
      <c r="E88" t="inlineStr">
        <is>
          <t>&lt; 3</t>
        </is>
      </c>
      <c r="H88" s="4" t="n"/>
      <c r="I88" s="4">
        <f>IFERROR(IF(NOT(H88=""),ABS(ROUNDDOWN(F88-H88, 3 - (1+INT(LOG10(ABS(F88)))))),""),IF(AND(F88=0,NOT(F88="")),ABS(ROUNDDOWN(F88-H88,0)),""))</f>
        <v/>
      </c>
      <c r="J88" s="4">
        <f>IF(NOT(I88=""),IF(I88&lt;=G88,"match",IF(I88&lt;3*G88,"partial match","no match")),"")</f>
        <v/>
      </c>
      <c r="K88" t="inlineStr">
        <is>
          <t>morph_integ_int</t>
        </is>
      </c>
    </row>
    <row r="89" ht="15" customHeight="1" s="10">
      <c r="A89" t="inlineStr">
        <is>
          <t>configuration E</t>
        </is>
      </c>
      <c r="B89" t="inlineStr">
        <is>
          <t>Morphology</t>
        </is>
      </c>
      <c r="C89" t="inlineStr">
        <is>
          <t>Moran's I index</t>
        </is>
      </c>
      <c r="E89" t="inlineStr">
        <is>
          <t>3-5</t>
        </is>
      </c>
      <c r="F89" t="n">
        <v>0.0216</v>
      </c>
      <c r="G89" t="n">
        <v>0.0003</v>
      </c>
      <c r="H89" s="4" t="n"/>
      <c r="I89" s="4">
        <f>IFERROR(IF(NOT(H89=""),ABS(ROUNDDOWN(F89-H89, 3 - (1+INT(LOG10(ABS(F89)))))),""),IF(AND(F89=0,NOT(F89="")),ABS(ROUNDDOWN(F89-H89,0)),""))</f>
        <v/>
      </c>
      <c r="J89" s="4">
        <f>IF(NOT(I89=""),IF(I89&lt;=G89,"match",IF(I89&lt;3*G89,"partial match","no match")),"")</f>
        <v/>
      </c>
      <c r="K89" t="inlineStr">
        <is>
          <t>morph_moran_i</t>
        </is>
      </c>
    </row>
    <row r="90" ht="15" customHeight="1" s="10">
      <c r="A90" t="inlineStr">
        <is>
          <t>configuration E</t>
        </is>
      </c>
      <c r="B90" t="inlineStr">
        <is>
          <t>Morphology</t>
        </is>
      </c>
      <c r="C90" t="inlineStr">
        <is>
          <t>Geary's C measure</t>
        </is>
      </c>
      <c r="E90" t="inlineStr">
        <is>
          <t>3-5</t>
        </is>
      </c>
      <c r="F90" t="n">
        <v>0.871</v>
      </c>
      <c r="G90" t="n">
        <v>0.001</v>
      </c>
      <c r="H90" s="4" t="n"/>
      <c r="I90" s="4">
        <f>IFERROR(IF(NOT(H90=""),ABS(ROUNDDOWN(F90-H90, 3 - (1+INT(LOG10(ABS(F90)))))),""),IF(AND(F90=0,NOT(F90="")),ABS(ROUNDDOWN(F90-H90,0)),""))</f>
        <v/>
      </c>
      <c r="J90" s="4">
        <f>IF(NOT(I90=""),IF(I90&lt;=G90,"match",IF(I90&lt;3*G90,"partial match","no match")),"")</f>
        <v/>
      </c>
      <c r="K90" t="inlineStr">
        <is>
          <t>morph_geary_c</t>
        </is>
      </c>
    </row>
    <row r="91" ht="15" customHeight="1" s="10">
      <c r="A91" t="inlineStr">
        <is>
          <t>configuration E</t>
        </is>
      </c>
      <c r="B91" t="inlineStr">
        <is>
          <t>Local intensity</t>
        </is>
      </c>
      <c r="C91" t="inlineStr">
        <is>
          <t>Local intensity peak</t>
        </is>
      </c>
      <c r="E91" t="inlineStr">
        <is>
          <t>&lt; 3</t>
        </is>
      </c>
      <c r="H91" s="4" t="n"/>
      <c r="I91" s="4">
        <f>IFERROR(IF(NOT(H91=""),ABS(ROUNDDOWN(F91-H91, 3 - (1+INT(LOG10(ABS(F91)))))),""),IF(AND(F91=0,NOT(F91="")),ABS(ROUNDDOWN(F91-H91,0)),""))</f>
        <v/>
      </c>
      <c r="J91" s="4">
        <f>IF(NOT(I91=""),IF(I91&lt;=G91,"match",IF(I91&lt;3*G91,"partial match","no match")),"")</f>
        <v/>
      </c>
      <c r="K91" t="inlineStr">
        <is>
          <t>loc_peak_loc</t>
        </is>
      </c>
    </row>
    <row r="92" ht="15" customHeight="1" s="10">
      <c r="A92" t="inlineStr">
        <is>
          <t>configuration E</t>
        </is>
      </c>
      <c r="B92" t="inlineStr">
        <is>
          <t>Local intensity</t>
        </is>
      </c>
      <c r="C92" t="inlineStr">
        <is>
          <t>Global intensity peak</t>
        </is>
      </c>
      <c r="E92" t="inlineStr">
        <is>
          <t>&lt; 3</t>
        </is>
      </c>
      <c r="H92" s="4" t="n"/>
      <c r="I92" s="4">
        <f>IFERROR(IF(NOT(H92=""),ABS(ROUNDDOWN(F92-H92, 3 - (1+INT(LOG10(ABS(F92)))))),""),IF(AND(F92=0,NOT(F92="")),ABS(ROUNDDOWN(F92-H92,0)),""))</f>
        <v/>
      </c>
      <c r="J92" s="4">
        <f>IF(NOT(I92=""),IF(I92&lt;=G92,"match",IF(I92&lt;3*G92,"partial match","no match")),"")</f>
        <v/>
      </c>
      <c r="K92" t="inlineStr">
        <is>
          <t>loc_peak_glob</t>
        </is>
      </c>
    </row>
    <row r="93" ht="15" customHeight="1" s="10">
      <c r="A93" t="inlineStr">
        <is>
          <t>configuration E</t>
        </is>
      </c>
      <c r="B93" t="inlineStr">
        <is>
          <t>Statistics</t>
        </is>
      </c>
      <c r="C93" t="inlineStr">
        <is>
          <t>Mean</t>
        </is>
      </c>
      <c r="E93" t="inlineStr">
        <is>
          <t>&lt; 3</t>
        </is>
      </c>
      <c r="H93" s="4" t="n"/>
      <c r="I93" s="4">
        <f>IFERROR(IF(NOT(H93=""),ABS(ROUNDDOWN(F93-H93, 3 - (1+INT(LOG10(ABS(F93)))))),""),IF(AND(F93=0,NOT(F93="")),ABS(ROUNDDOWN(F93-H93,0)),""))</f>
        <v/>
      </c>
      <c r="J93" s="4">
        <f>IF(NOT(I93=""),IF(I93&lt;=G93,"match",IF(I93&lt;3*G93,"partial match","no match")),"")</f>
        <v/>
      </c>
      <c r="K93" t="inlineStr">
        <is>
          <t>stat_mean</t>
        </is>
      </c>
    </row>
    <row r="94" ht="15" customHeight="1" s="10">
      <c r="A94" t="inlineStr">
        <is>
          <t>configuration E</t>
        </is>
      </c>
      <c r="B94" t="inlineStr">
        <is>
          <t>Statistics</t>
        </is>
      </c>
      <c r="C94" t="inlineStr">
        <is>
          <t>Variance</t>
        </is>
      </c>
      <c r="E94" t="inlineStr">
        <is>
          <t>&lt; 3</t>
        </is>
      </c>
      <c r="H94" s="4" t="n"/>
      <c r="I94" s="4">
        <f>IFERROR(IF(NOT(H94=""),ABS(ROUNDDOWN(F94-H94, 3 - (1+INT(LOG10(ABS(F94)))))),""),IF(AND(F94=0,NOT(F94="")),ABS(ROUNDDOWN(F94-H94,0)),""))</f>
        <v/>
      </c>
      <c r="J94" s="4">
        <f>IF(NOT(I94=""),IF(I94&lt;=G94,"match",IF(I94&lt;3*G94,"partial match","no match")),"")</f>
        <v/>
      </c>
      <c r="K94" t="inlineStr">
        <is>
          <t>stat_var</t>
        </is>
      </c>
    </row>
    <row r="95" ht="15" customHeight="1" s="10">
      <c r="A95" t="inlineStr">
        <is>
          <t>configuration E</t>
        </is>
      </c>
      <c r="B95" t="inlineStr">
        <is>
          <t>Statistics</t>
        </is>
      </c>
      <c r="C95" t="inlineStr">
        <is>
          <t>Skewness</t>
        </is>
      </c>
      <c r="E95" t="inlineStr">
        <is>
          <t>&lt; 3</t>
        </is>
      </c>
      <c r="H95" s="4" t="n"/>
      <c r="I95" s="4">
        <f>IFERROR(IF(NOT(H95=""),ABS(ROUNDDOWN(F95-H95, 3 - (1+INT(LOG10(ABS(F95)))))),""),IF(AND(F95=0,NOT(F95="")),ABS(ROUNDDOWN(F95-H95,0)),""))</f>
        <v/>
      </c>
      <c r="J95" s="4">
        <f>IF(NOT(I95=""),IF(I95&lt;=G95,"match",IF(I95&lt;3*G95,"partial match","no match")),"")</f>
        <v/>
      </c>
      <c r="K95" t="inlineStr">
        <is>
          <t>stat_skew</t>
        </is>
      </c>
    </row>
    <row r="96" ht="15" customHeight="1" s="10">
      <c r="A96" t="inlineStr">
        <is>
          <t>configuration E</t>
        </is>
      </c>
      <c r="B96" t="inlineStr">
        <is>
          <t>Statistics</t>
        </is>
      </c>
      <c r="C96" t="inlineStr">
        <is>
          <t>(Excess) kurtosis</t>
        </is>
      </c>
      <c r="E96" t="inlineStr">
        <is>
          <t>&lt; 3</t>
        </is>
      </c>
      <c r="H96" s="4" t="n"/>
      <c r="I96" s="4">
        <f>IFERROR(IF(NOT(H96=""),ABS(ROUNDDOWN(F96-H96, 3 - (1+INT(LOG10(ABS(F96)))))),""),IF(AND(F96=0,NOT(F96="")),ABS(ROUNDDOWN(F96-H96,0)),""))</f>
        <v/>
      </c>
      <c r="J96" s="4">
        <f>IF(NOT(I96=""),IF(I96&lt;=G96,"match",IF(I96&lt;3*G96,"partial match","no match")),"")</f>
        <v/>
      </c>
      <c r="K96" t="inlineStr">
        <is>
          <t>stat_kurt</t>
        </is>
      </c>
    </row>
    <row r="97" ht="15" customHeight="1" s="10">
      <c r="A97" t="inlineStr">
        <is>
          <t>configuration E</t>
        </is>
      </c>
      <c r="B97" t="inlineStr">
        <is>
          <t>Statistics</t>
        </is>
      </c>
      <c r="C97" t="inlineStr">
        <is>
          <t>Median</t>
        </is>
      </c>
      <c r="E97" t="inlineStr">
        <is>
          <t>&lt; 3</t>
        </is>
      </c>
      <c r="H97" s="4" t="n"/>
      <c r="I97" s="4">
        <f>IFERROR(IF(NOT(H97=""),ABS(ROUNDDOWN(F97-H97, 3 - (1+INT(LOG10(ABS(F97)))))),""),IF(AND(F97=0,NOT(F97="")),ABS(ROUNDDOWN(F97-H97,0)),""))</f>
        <v/>
      </c>
      <c r="J97" s="4">
        <f>IF(NOT(I97=""),IF(I97&lt;=G97,"match",IF(I97&lt;3*G97,"partial match","no match")),"")</f>
        <v/>
      </c>
      <c r="K97" t="inlineStr">
        <is>
          <t>stat_median</t>
        </is>
      </c>
    </row>
    <row r="98" ht="15" customHeight="1" s="10">
      <c r="A98" t="inlineStr">
        <is>
          <t>configuration E</t>
        </is>
      </c>
      <c r="B98" t="inlineStr">
        <is>
          <t>Statistics</t>
        </is>
      </c>
      <c r="C98" t="inlineStr">
        <is>
          <t>Minimum</t>
        </is>
      </c>
      <c r="E98" t="inlineStr">
        <is>
          <t>&lt; 3</t>
        </is>
      </c>
      <c r="H98" s="4" t="n"/>
      <c r="I98" s="4">
        <f>IFERROR(IF(NOT(H98=""),ABS(ROUNDDOWN(F98-H98, 3 - (1+INT(LOG10(ABS(F98)))))),""),IF(AND(F98=0,NOT(F98="")),ABS(ROUNDDOWN(F98-H98,0)),""))</f>
        <v/>
      </c>
      <c r="J98" s="4">
        <f>IF(NOT(I98=""),IF(I98&lt;=G98,"match",IF(I98&lt;3*G98,"partial match","no match")),"")</f>
        <v/>
      </c>
      <c r="K98" t="inlineStr">
        <is>
          <t>stat_min</t>
        </is>
      </c>
    </row>
    <row r="99" ht="15" customHeight="1" s="10">
      <c r="A99" t="inlineStr">
        <is>
          <t>configuration E</t>
        </is>
      </c>
      <c r="B99" t="inlineStr">
        <is>
          <t>Statistics</t>
        </is>
      </c>
      <c r="C99" t="inlineStr">
        <is>
          <t>10th percentile</t>
        </is>
      </c>
      <c r="E99" t="inlineStr">
        <is>
          <t>&lt; 3</t>
        </is>
      </c>
      <c r="H99" s="4" t="n"/>
      <c r="I99" s="4">
        <f>IFERROR(IF(NOT(H99=""),ABS(ROUNDDOWN(F99-H99, 3 - (1+INT(LOG10(ABS(F99)))))),""),IF(AND(F99=0,NOT(F99="")),ABS(ROUNDDOWN(F99-H99,0)),""))</f>
        <v/>
      </c>
      <c r="J99" s="4">
        <f>IF(NOT(I99=""),IF(I99&lt;=G99,"match",IF(I99&lt;3*G99,"partial match","no match")),"")</f>
        <v/>
      </c>
      <c r="K99" t="inlineStr">
        <is>
          <t>stat_p10</t>
        </is>
      </c>
    </row>
    <row r="100" ht="15" customHeight="1" s="10">
      <c r="A100" t="inlineStr">
        <is>
          <t>configuration E</t>
        </is>
      </c>
      <c r="B100" t="inlineStr">
        <is>
          <t>Statistics</t>
        </is>
      </c>
      <c r="C100" t="inlineStr">
        <is>
          <t>90th percentile</t>
        </is>
      </c>
      <c r="E100" t="inlineStr">
        <is>
          <t>&lt; 3</t>
        </is>
      </c>
      <c r="H100" s="4" t="n"/>
      <c r="I100" s="4">
        <f>IFERROR(IF(NOT(H100=""),ABS(ROUNDDOWN(F100-H100, 3 - (1+INT(LOG10(ABS(F100)))))),""),IF(AND(F100=0,NOT(F100="")),ABS(ROUNDDOWN(F100-H100,0)),""))</f>
        <v/>
      </c>
      <c r="J100" s="4">
        <f>IF(NOT(I100=""),IF(I100&lt;=G100,"match",IF(I100&lt;3*G100,"partial match","no match")),"")</f>
        <v/>
      </c>
      <c r="K100" t="inlineStr">
        <is>
          <t>stat_p90</t>
        </is>
      </c>
    </row>
    <row r="101" ht="15" customHeight="1" s="10">
      <c r="A101" t="inlineStr">
        <is>
          <t>configuration E</t>
        </is>
      </c>
      <c r="B101" t="inlineStr">
        <is>
          <t>Statistics</t>
        </is>
      </c>
      <c r="C101" t="inlineStr">
        <is>
          <t>Maximum</t>
        </is>
      </c>
      <c r="E101" t="inlineStr">
        <is>
          <t>&lt; 3</t>
        </is>
      </c>
      <c r="H101" s="4" t="n"/>
      <c r="I101" s="4">
        <f>IFERROR(IF(NOT(H101=""),ABS(ROUNDDOWN(F101-H101, 3 - (1+INT(LOG10(ABS(F101)))))),""),IF(AND(F101=0,NOT(F101="")),ABS(ROUNDDOWN(F101-H101,0)),""))</f>
        <v/>
      </c>
      <c r="J101" s="4">
        <f>IF(NOT(I101=""),IF(I101&lt;=G101,"match",IF(I101&lt;3*G101,"partial match","no match")),"")</f>
        <v/>
      </c>
      <c r="K101" t="inlineStr">
        <is>
          <t>stat_max</t>
        </is>
      </c>
    </row>
    <row r="102" ht="15" customHeight="1" s="10">
      <c r="A102" t="inlineStr">
        <is>
          <t>configuration E</t>
        </is>
      </c>
      <c r="B102" t="inlineStr">
        <is>
          <t>Statistics</t>
        </is>
      </c>
      <c r="C102" t="inlineStr">
        <is>
          <t>Interquartile range</t>
        </is>
      </c>
      <c r="E102" t="inlineStr">
        <is>
          <t>&lt; 3</t>
        </is>
      </c>
      <c r="H102" s="4" t="n"/>
      <c r="I102" s="4">
        <f>IFERROR(IF(NOT(H102=""),ABS(ROUNDDOWN(F102-H102, 3 - (1+INT(LOG10(ABS(F102)))))),""),IF(AND(F102=0,NOT(F102="")),ABS(ROUNDDOWN(F102-H102,0)),""))</f>
        <v/>
      </c>
      <c r="J102" s="4">
        <f>IF(NOT(I102=""),IF(I102&lt;=G102,"match",IF(I102&lt;3*G102,"partial match","no match")),"")</f>
        <v/>
      </c>
      <c r="K102" t="inlineStr">
        <is>
          <t>stat_iqr</t>
        </is>
      </c>
    </row>
    <row r="103" ht="15" customHeight="1" s="10">
      <c r="A103" t="inlineStr">
        <is>
          <t>configuration E</t>
        </is>
      </c>
      <c r="B103" t="inlineStr">
        <is>
          <t>Statistics</t>
        </is>
      </c>
      <c r="C103" t="inlineStr">
        <is>
          <t>Range</t>
        </is>
      </c>
      <c r="E103" t="inlineStr">
        <is>
          <t>&lt; 3</t>
        </is>
      </c>
      <c r="H103" s="4" t="n"/>
      <c r="I103" s="4">
        <f>IFERROR(IF(NOT(H103=""),ABS(ROUNDDOWN(F103-H103, 3 - (1+INT(LOG10(ABS(F103)))))),""),IF(AND(F103=0,NOT(F103="")),ABS(ROUNDDOWN(F103-H103,0)),""))</f>
        <v/>
      </c>
      <c r="J103" s="4">
        <f>IF(NOT(I103=""),IF(I103&lt;=G103,"match",IF(I103&lt;3*G103,"partial match","no match")),"")</f>
        <v/>
      </c>
      <c r="K103" t="inlineStr">
        <is>
          <t>stat_range</t>
        </is>
      </c>
    </row>
    <row r="104" ht="15" customHeight="1" s="10">
      <c r="A104" t="inlineStr">
        <is>
          <t>configuration E</t>
        </is>
      </c>
      <c r="B104" t="inlineStr">
        <is>
          <t>Statistics</t>
        </is>
      </c>
      <c r="C104" t="inlineStr">
        <is>
          <t>Mean absolute deviation</t>
        </is>
      </c>
      <c r="E104" t="inlineStr">
        <is>
          <t>&lt; 3</t>
        </is>
      </c>
      <c r="H104" s="4" t="n"/>
      <c r="I104" s="4">
        <f>IFERROR(IF(NOT(H104=""),ABS(ROUNDDOWN(F104-H104, 3 - (1+INT(LOG10(ABS(F104)))))),""),IF(AND(F104=0,NOT(F104="")),ABS(ROUNDDOWN(F104-H104,0)),""))</f>
        <v/>
      </c>
      <c r="J104" s="4">
        <f>IF(NOT(I104=""),IF(I104&lt;=G104,"match",IF(I104&lt;3*G104,"partial match","no match")),"")</f>
        <v/>
      </c>
      <c r="K104" t="inlineStr">
        <is>
          <t>stat_mad</t>
        </is>
      </c>
    </row>
    <row r="105" ht="15" customHeight="1" s="10">
      <c r="A105" t="inlineStr">
        <is>
          <t>configuration E</t>
        </is>
      </c>
      <c r="B105" t="inlineStr">
        <is>
          <t>Statistics</t>
        </is>
      </c>
      <c r="C105" t="inlineStr">
        <is>
          <t>Robust mean absolute deviation</t>
        </is>
      </c>
      <c r="E105" t="inlineStr">
        <is>
          <t>&lt; 3</t>
        </is>
      </c>
      <c r="H105" s="4" t="n"/>
      <c r="I105" s="4">
        <f>IFERROR(IF(NOT(H105=""),ABS(ROUNDDOWN(F105-H105, 3 - (1+INT(LOG10(ABS(F105)))))),""),IF(AND(F105=0,NOT(F105="")),ABS(ROUNDDOWN(F105-H105,0)),""))</f>
        <v/>
      </c>
      <c r="J105" s="4">
        <f>IF(NOT(I105=""),IF(I105&lt;=G105,"match",IF(I105&lt;3*G105,"partial match","no match")),"")</f>
        <v/>
      </c>
      <c r="K105" t="inlineStr">
        <is>
          <t>stat_rmad</t>
        </is>
      </c>
    </row>
    <row r="106" ht="15" customHeight="1" s="10">
      <c r="A106" t="inlineStr">
        <is>
          <t>configuration E</t>
        </is>
      </c>
      <c r="B106" t="inlineStr">
        <is>
          <t>Statistics</t>
        </is>
      </c>
      <c r="C106" t="inlineStr">
        <is>
          <t>Median absolute deviation</t>
        </is>
      </c>
      <c r="E106" t="inlineStr">
        <is>
          <t>&lt; 3</t>
        </is>
      </c>
      <c r="H106" s="4" t="n"/>
      <c r="I106" s="4">
        <f>IFERROR(IF(NOT(H106=""),ABS(ROUNDDOWN(F106-H106, 3 - (1+INT(LOG10(ABS(F106)))))),""),IF(AND(F106=0,NOT(F106="")),ABS(ROUNDDOWN(F106-H106,0)),""))</f>
        <v/>
      </c>
      <c r="J106" s="4">
        <f>IF(NOT(I106=""),IF(I106&lt;=G106,"match",IF(I106&lt;3*G106,"partial match","no match")),"")</f>
        <v/>
      </c>
      <c r="K106" t="inlineStr">
        <is>
          <t>stat_medad</t>
        </is>
      </c>
    </row>
    <row r="107" ht="15" customHeight="1" s="10">
      <c r="A107" t="inlineStr">
        <is>
          <t>configuration E</t>
        </is>
      </c>
      <c r="B107" t="inlineStr">
        <is>
          <t>Statistics</t>
        </is>
      </c>
      <c r="C107" t="inlineStr">
        <is>
          <t>Coefficient of variation</t>
        </is>
      </c>
      <c r="E107" t="inlineStr">
        <is>
          <t>&lt; 3</t>
        </is>
      </c>
      <c r="H107" s="4" t="n"/>
      <c r="I107" s="4">
        <f>IFERROR(IF(NOT(H107=""),ABS(ROUNDDOWN(F107-H107, 3 - (1+INT(LOG10(ABS(F107)))))),""),IF(AND(F107=0,NOT(F107="")),ABS(ROUNDDOWN(F107-H107,0)),""))</f>
        <v/>
      </c>
      <c r="J107" s="4">
        <f>IF(NOT(I107=""),IF(I107&lt;=G107,"match",IF(I107&lt;3*G107,"partial match","no match")),"")</f>
        <v/>
      </c>
      <c r="K107" t="inlineStr">
        <is>
          <t>stat_cov</t>
        </is>
      </c>
    </row>
    <row r="108" ht="15" customHeight="1" s="10">
      <c r="A108" t="inlineStr">
        <is>
          <t>configuration E</t>
        </is>
      </c>
      <c r="B108" t="inlineStr">
        <is>
          <t>Statistics</t>
        </is>
      </c>
      <c r="C108" t="inlineStr">
        <is>
          <t>Quartile coefficient of dispersion</t>
        </is>
      </c>
      <c r="E108" t="inlineStr">
        <is>
          <t>&lt; 3</t>
        </is>
      </c>
      <c r="H108" s="4" t="n"/>
      <c r="I108" s="4">
        <f>IFERROR(IF(NOT(H108=""),ABS(ROUNDDOWN(F108-H108, 3 - (1+INT(LOG10(ABS(F108)))))),""),IF(AND(F108=0,NOT(F108="")),ABS(ROUNDDOWN(F108-H108,0)),""))</f>
        <v/>
      </c>
      <c r="J108" s="4">
        <f>IF(NOT(I108=""),IF(I108&lt;=G108,"match",IF(I108&lt;3*G108,"partial match","no match")),"")</f>
        <v/>
      </c>
      <c r="K108" t="inlineStr">
        <is>
          <t>stat_qcod</t>
        </is>
      </c>
    </row>
    <row r="109" ht="15" customHeight="1" s="10">
      <c r="A109" t="inlineStr">
        <is>
          <t>configuration E</t>
        </is>
      </c>
      <c r="B109" t="inlineStr">
        <is>
          <t>Statistics</t>
        </is>
      </c>
      <c r="C109" t="inlineStr">
        <is>
          <t>Energy</t>
        </is>
      </c>
      <c r="E109" t="inlineStr">
        <is>
          <t>&lt; 3</t>
        </is>
      </c>
      <c r="H109" s="4" t="n"/>
      <c r="I109" s="4">
        <f>IFERROR(IF(NOT(H109=""),ABS(ROUNDDOWN(F109-H109, 3 - (1+INT(LOG10(ABS(F109)))))),""),IF(AND(F109=0,NOT(F109="")),ABS(ROUNDDOWN(F109-H109,0)),""))</f>
        <v/>
      </c>
      <c r="J109" s="4">
        <f>IF(NOT(I109=""),IF(I109&lt;=G109,"match",IF(I109&lt;3*G109,"partial match","no match")),"")</f>
        <v/>
      </c>
      <c r="K109" t="inlineStr">
        <is>
          <t>stat_energy</t>
        </is>
      </c>
    </row>
    <row r="110" ht="15" customHeight="1" s="10">
      <c r="A110" t="inlineStr">
        <is>
          <t>configuration E</t>
        </is>
      </c>
      <c r="B110" t="inlineStr">
        <is>
          <t>Statistics</t>
        </is>
      </c>
      <c r="C110" t="inlineStr">
        <is>
          <t>Root mean square</t>
        </is>
      </c>
      <c r="E110" t="inlineStr">
        <is>
          <t>&lt; 3</t>
        </is>
      </c>
      <c r="H110" s="4" t="n"/>
      <c r="I110" s="4">
        <f>IFERROR(IF(NOT(H110=""),ABS(ROUNDDOWN(F110-H110, 3 - (1+INT(LOG10(ABS(F110)))))),""),IF(AND(F110=0,NOT(F110="")),ABS(ROUNDDOWN(F110-H110,0)),""))</f>
        <v/>
      </c>
      <c r="J110" s="4">
        <f>IF(NOT(I110=""),IF(I110&lt;=G110,"match",IF(I110&lt;3*G110,"partial match","no match")),"")</f>
        <v/>
      </c>
      <c r="K110" t="inlineStr">
        <is>
          <t>stat_rms</t>
        </is>
      </c>
    </row>
    <row r="111" ht="15" customHeight="1" s="10">
      <c r="A111" t="inlineStr">
        <is>
          <t>configuration E</t>
        </is>
      </c>
      <c r="B111" t="inlineStr">
        <is>
          <t>Intensity histogram</t>
        </is>
      </c>
      <c r="C111" t="inlineStr">
        <is>
          <t>Mean</t>
        </is>
      </c>
      <c r="E111" t="inlineStr">
        <is>
          <t>&lt; 3</t>
        </is>
      </c>
      <c r="H111" s="4" t="n"/>
      <c r="I111" s="4">
        <f>IFERROR(IF(NOT(H111=""),ABS(ROUNDDOWN(F111-H111, 3 - (1+INT(LOG10(ABS(F111)))))),""),IF(AND(F111=0,NOT(F111="")),ABS(ROUNDDOWN(F111-H111,0)),""))</f>
        <v/>
      </c>
      <c r="J111" s="4">
        <f>IF(NOT(I111=""),IF(I111&lt;=G111,"match",IF(I111&lt;3*G111,"partial match","no match")),"")</f>
        <v/>
      </c>
      <c r="K111" t="inlineStr">
        <is>
          <t>ih_mean</t>
        </is>
      </c>
    </row>
    <row r="112" ht="15" customHeight="1" s="10">
      <c r="A112" t="inlineStr">
        <is>
          <t>configuration E</t>
        </is>
      </c>
      <c r="B112" t="inlineStr">
        <is>
          <t>Intensity histogram</t>
        </is>
      </c>
      <c r="C112" t="inlineStr">
        <is>
          <t>Variance</t>
        </is>
      </c>
      <c r="E112" t="inlineStr">
        <is>
          <t>&lt; 3</t>
        </is>
      </c>
      <c r="H112" s="4" t="n"/>
      <c r="I112" s="4">
        <f>IFERROR(IF(NOT(H112=""),ABS(ROUNDDOWN(F112-H112, 3 - (1+INT(LOG10(ABS(F112)))))),""),IF(AND(F112=0,NOT(F112="")),ABS(ROUNDDOWN(F112-H112,0)),""))</f>
        <v/>
      </c>
      <c r="J112" s="4">
        <f>IF(NOT(I112=""),IF(I112&lt;=G112,"match",IF(I112&lt;3*G112,"partial match","no match")),"")</f>
        <v/>
      </c>
      <c r="K112" t="inlineStr">
        <is>
          <t>ih_var</t>
        </is>
      </c>
    </row>
    <row r="113" ht="15" customHeight="1" s="10">
      <c r="A113" t="inlineStr">
        <is>
          <t>configuration E</t>
        </is>
      </c>
      <c r="B113" t="inlineStr">
        <is>
          <t>Intensity histogram</t>
        </is>
      </c>
      <c r="C113" t="inlineStr">
        <is>
          <t>Skewness</t>
        </is>
      </c>
      <c r="E113" t="inlineStr">
        <is>
          <t>&lt; 3</t>
        </is>
      </c>
      <c r="H113" s="4" t="n"/>
      <c r="I113" s="4">
        <f>IFERROR(IF(NOT(H113=""),ABS(ROUNDDOWN(F113-H113, 3 - (1+INT(LOG10(ABS(F113)))))),""),IF(AND(F113=0,NOT(F113="")),ABS(ROUNDDOWN(F113-H113,0)),""))</f>
        <v/>
      </c>
      <c r="J113" s="4">
        <f>IF(NOT(I113=""),IF(I113&lt;=G113,"match",IF(I113&lt;3*G113,"partial match","no match")),"")</f>
        <v/>
      </c>
      <c r="K113" t="inlineStr">
        <is>
          <t>ih_skew</t>
        </is>
      </c>
    </row>
    <row r="114" ht="15" customHeight="1" s="10">
      <c r="A114" t="inlineStr">
        <is>
          <t>configuration E</t>
        </is>
      </c>
      <c r="B114" t="inlineStr">
        <is>
          <t>Intensity histogram</t>
        </is>
      </c>
      <c r="C114" t="inlineStr">
        <is>
          <t>Kurtosis</t>
        </is>
      </c>
      <c r="E114" t="inlineStr">
        <is>
          <t>&lt; 3</t>
        </is>
      </c>
      <c r="H114" s="4" t="n"/>
      <c r="I114" s="4">
        <f>IFERROR(IF(NOT(H114=""),ABS(ROUNDDOWN(F114-H114, 3 - (1+INT(LOG10(ABS(F114)))))),""),IF(AND(F114=0,NOT(F114="")),ABS(ROUNDDOWN(F114-H114,0)),""))</f>
        <v/>
      </c>
      <c r="J114" s="4">
        <f>IF(NOT(I114=""),IF(I114&lt;=G114,"match",IF(I114&lt;3*G114,"partial match","no match")),"")</f>
        <v/>
      </c>
      <c r="K114" t="inlineStr">
        <is>
          <t>ih_kurt</t>
        </is>
      </c>
    </row>
    <row r="115" ht="15" customHeight="1" s="10">
      <c r="A115" t="inlineStr">
        <is>
          <t>configuration E</t>
        </is>
      </c>
      <c r="B115" t="inlineStr">
        <is>
          <t>Intensity histogram</t>
        </is>
      </c>
      <c r="C115" t="inlineStr">
        <is>
          <t>Median</t>
        </is>
      </c>
      <c r="E115" t="inlineStr">
        <is>
          <t>&lt; 3</t>
        </is>
      </c>
      <c r="H115" s="4" t="n"/>
      <c r="I115" s="4">
        <f>IFERROR(IF(NOT(H115=""),ABS(ROUNDDOWN(F115-H115, 3 - (1+INT(LOG10(ABS(F115)))))),""),IF(AND(F115=0,NOT(F115="")),ABS(ROUNDDOWN(F115-H115,0)),""))</f>
        <v/>
      </c>
      <c r="J115" s="4">
        <f>IF(NOT(I115=""),IF(I115&lt;=G115,"match",IF(I115&lt;3*G115,"partial match","no match")),"")</f>
        <v/>
      </c>
      <c r="K115" t="inlineStr">
        <is>
          <t>ih_median</t>
        </is>
      </c>
    </row>
    <row r="116" ht="15" customHeight="1" s="10">
      <c r="A116" t="inlineStr">
        <is>
          <t>configuration E</t>
        </is>
      </c>
      <c r="B116" t="inlineStr">
        <is>
          <t>Intensity histogram</t>
        </is>
      </c>
      <c r="C116" t="inlineStr">
        <is>
          <t>Minimum</t>
        </is>
      </c>
      <c r="E116" t="inlineStr">
        <is>
          <t>&lt; 3</t>
        </is>
      </c>
      <c r="H116" s="4" t="n"/>
      <c r="I116" s="4">
        <f>IFERROR(IF(NOT(H116=""),ABS(ROUNDDOWN(F116-H116, 3 - (1+INT(LOG10(ABS(F116)))))),""),IF(AND(F116=0,NOT(F116="")),ABS(ROUNDDOWN(F116-H116,0)),""))</f>
        <v/>
      </c>
      <c r="J116" s="4">
        <f>IF(NOT(I116=""),IF(I116&lt;=G116,"match",IF(I116&lt;3*G116,"partial match","no match")),"")</f>
        <v/>
      </c>
      <c r="K116" t="inlineStr">
        <is>
          <t>ih_min</t>
        </is>
      </c>
    </row>
    <row r="117" ht="15" customHeight="1" s="10">
      <c r="A117" t="inlineStr">
        <is>
          <t>configuration E</t>
        </is>
      </c>
      <c r="B117" t="inlineStr">
        <is>
          <t>Intensity histogram</t>
        </is>
      </c>
      <c r="C117" t="inlineStr">
        <is>
          <t>10th percentile</t>
        </is>
      </c>
      <c r="E117" t="inlineStr">
        <is>
          <t>&lt; 3</t>
        </is>
      </c>
      <c r="H117" s="4" t="n"/>
      <c r="I117" s="4">
        <f>IFERROR(IF(NOT(H117=""),ABS(ROUNDDOWN(F117-H117, 3 - (1+INT(LOG10(ABS(F117)))))),""),IF(AND(F117=0,NOT(F117="")),ABS(ROUNDDOWN(F117-H117,0)),""))</f>
        <v/>
      </c>
      <c r="J117" s="4">
        <f>IF(NOT(I117=""),IF(I117&lt;=G117,"match",IF(I117&lt;3*G117,"partial match","no match")),"")</f>
        <v/>
      </c>
      <c r="K117" t="inlineStr">
        <is>
          <t>ih_p10</t>
        </is>
      </c>
    </row>
    <row r="118" ht="15" customHeight="1" s="10">
      <c r="A118" t="inlineStr">
        <is>
          <t>configuration E</t>
        </is>
      </c>
      <c r="B118" t="inlineStr">
        <is>
          <t>Intensity histogram</t>
        </is>
      </c>
      <c r="C118" t="inlineStr">
        <is>
          <t>90th percentile</t>
        </is>
      </c>
      <c r="E118" t="inlineStr">
        <is>
          <t>&lt; 3</t>
        </is>
      </c>
      <c r="H118" s="4" t="n"/>
      <c r="I118" s="4">
        <f>IFERROR(IF(NOT(H118=""),ABS(ROUNDDOWN(F118-H118, 3 - (1+INT(LOG10(ABS(F118)))))),""),IF(AND(F118=0,NOT(F118="")),ABS(ROUNDDOWN(F118-H118,0)),""))</f>
        <v/>
      </c>
      <c r="J118" s="4">
        <f>IF(NOT(I118=""),IF(I118&lt;=G118,"match",IF(I118&lt;3*G118,"partial match","no match")),"")</f>
        <v/>
      </c>
      <c r="K118" t="inlineStr">
        <is>
          <t>ih_p90</t>
        </is>
      </c>
    </row>
    <row r="119" ht="15" customHeight="1" s="10">
      <c r="A119" t="inlineStr">
        <is>
          <t>configuration E</t>
        </is>
      </c>
      <c r="B119" t="inlineStr">
        <is>
          <t>Intensity histogram</t>
        </is>
      </c>
      <c r="C119" t="inlineStr">
        <is>
          <t>Maximum</t>
        </is>
      </c>
      <c r="E119" t="inlineStr">
        <is>
          <t>&lt; 3</t>
        </is>
      </c>
      <c r="H119" s="4" t="n"/>
      <c r="I119" s="4">
        <f>IFERROR(IF(NOT(H119=""),ABS(ROUNDDOWN(F119-H119, 3 - (1+INT(LOG10(ABS(F119)))))),""),IF(AND(F119=0,NOT(F119="")),ABS(ROUNDDOWN(F119-H119,0)),""))</f>
        <v/>
      </c>
      <c r="J119" s="4">
        <f>IF(NOT(I119=""),IF(I119&lt;=G119,"match",IF(I119&lt;3*G119,"partial match","no match")),"")</f>
        <v/>
      </c>
      <c r="K119" t="inlineStr">
        <is>
          <t>ih_max</t>
        </is>
      </c>
    </row>
    <row r="120" ht="15" customHeight="1" s="10">
      <c r="A120" t="inlineStr">
        <is>
          <t>configuration E</t>
        </is>
      </c>
      <c r="B120" t="inlineStr">
        <is>
          <t>Intensity histogram</t>
        </is>
      </c>
      <c r="C120" t="inlineStr">
        <is>
          <t>Mode</t>
        </is>
      </c>
      <c r="E120" t="inlineStr">
        <is>
          <t>&lt; 3</t>
        </is>
      </c>
      <c r="H120" s="4" t="n"/>
      <c r="I120" s="4">
        <f>IFERROR(IF(NOT(H120=""),ABS(ROUNDDOWN(F120-H120, 3 - (1+INT(LOG10(ABS(F120)))))),""),IF(AND(F120=0,NOT(F120="")),ABS(ROUNDDOWN(F120-H120,0)),""))</f>
        <v/>
      </c>
      <c r="J120" s="4">
        <f>IF(NOT(I120=""),IF(I120&lt;=G120,"match",IF(I120&lt;3*G120,"partial match","no match")),"")</f>
        <v/>
      </c>
      <c r="K120" t="inlineStr">
        <is>
          <t>ih_mode</t>
        </is>
      </c>
    </row>
    <row r="121" ht="15" customHeight="1" s="10">
      <c r="A121" t="inlineStr">
        <is>
          <t>configuration E</t>
        </is>
      </c>
      <c r="B121" t="inlineStr">
        <is>
          <t>Intensity histogram</t>
        </is>
      </c>
      <c r="C121" t="inlineStr">
        <is>
          <t>Interquartile range</t>
        </is>
      </c>
      <c r="E121" t="inlineStr">
        <is>
          <t>&lt; 3</t>
        </is>
      </c>
      <c r="H121" s="4" t="n"/>
      <c r="I121" s="4">
        <f>IFERROR(IF(NOT(H121=""),ABS(ROUNDDOWN(F121-H121, 3 - (1+INT(LOG10(ABS(F121)))))),""),IF(AND(F121=0,NOT(F121="")),ABS(ROUNDDOWN(F121-H121,0)),""))</f>
        <v/>
      </c>
      <c r="J121" s="4">
        <f>IF(NOT(I121=""),IF(I121&lt;=G121,"match",IF(I121&lt;3*G121,"partial match","no match")),"")</f>
        <v/>
      </c>
      <c r="K121" t="inlineStr">
        <is>
          <t>ih_iqr</t>
        </is>
      </c>
    </row>
    <row r="122" ht="15" customHeight="1" s="10">
      <c r="A122" t="inlineStr">
        <is>
          <t>configuration E</t>
        </is>
      </c>
      <c r="B122" t="inlineStr">
        <is>
          <t>Intensity histogram</t>
        </is>
      </c>
      <c r="C122" t="inlineStr">
        <is>
          <t>Range</t>
        </is>
      </c>
      <c r="E122" t="inlineStr">
        <is>
          <t>&lt; 3</t>
        </is>
      </c>
      <c r="H122" s="4" t="n"/>
      <c r="I122" s="4">
        <f>IFERROR(IF(NOT(H122=""),ABS(ROUNDDOWN(F122-H122, 3 - (1+INT(LOG10(ABS(F122)))))),""),IF(AND(F122=0,NOT(F122="")),ABS(ROUNDDOWN(F122-H122,0)),""))</f>
        <v/>
      </c>
      <c r="J122" s="4">
        <f>IF(NOT(I122=""),IF(I122&lt;=G122,"match",IF(I122&lt;3*G122,"partial match","no match")),"")</f>
        <v/>
      </c>
      <c r="K122" t="inlineStr">
        <is>
          <t>ih_range</t>
        </is>
      </c>
    </row>
    <row r="123" ht="15" customHeight="1" s="10">
      <c r="A123" t="inlineStr">
        <is>
          <t>configuration E</t>
        </is>
      </c>
      <c r="B123" t="inlineStr">
        <is>
          <t>Intensity histogram</t>
        </is>
      </c>
      <c r="C123" t="inlineStr">
        <is>
          <t>Mean absolute deviation</t>
        </is>
      </c>
      <c r="E123" t="inlineStr">
        <is>
          <t>&lt; 3</t>
        </is>
      </c>
      <c r="H123" s="4" t="n"/>
      <c r="I123" s="4">
        <f>IFERROR(IF(NOT(H123=""),ABS(ROUNDDOWN(F123-H123, 3 - (1+INT(LOG10(ABS(F123)))))),""),IF(AND(F123=0,NOT(F123="")),ABS(ROUNDDOWN(F123-H123,0)),""))</f>
        <v/>
      </c>
      <c r="J123" s="4">
        <f>IF(NOT(I123=""),IF(I123&lt;=G123,"match",IF(I123&lt;3*G123,"partial match","no match")),"")</f>
        <v/>
      </c>
      <c r="K123" t="inlineStr">
        <is>
          <t>ih_mad</t>
        </is>
      </c>
    </row>
    <row r="124" ht="15" customHeight="1" s="10">
      <c r="A124" t="inlineStr">
        <is>
          <t>configuration E</t>
        </is>
      </c>
      <c r="B124" t="inlineStr">
        <is>
          <t>Intensity histogram</t>
        </is>
      </c>
      <c r="C124" t="inlineStr">
        <is>
          <t>Robust mean absolute deviation</t>
        </is>
      </c>
      <c r="E124" t="inlineStr">
        <is>
          <t>&lt; 3</t>
        </is>
      </c>
      <c r="H124" s="4" t="n"/>
      <c r="I124" s="4">
        <f>IFERROR(IF(NOT(H124=""),ABS(ROUNDDOWN(F124-H124, 3 - (1+INT(LOG10(ABS(F124)))))),""),IF(AND(F124=0,NOT(F124="")),ABS(ROUNDDOWN(F124-H124,0)),""))</f>
        <v/>
      </c>
      <c r="J124" s="4">
        <f>IF(NOT(I124=""),IF(I124&lt;=G124,"match",IF(I124&lt;3*G124,"partial match","no match")),"")</f>
        <v/>
      </c>
      <c r="K124" t="inlineStr">
        <is>
          <t>ih_rmad</t>
        </is>
      </c>
    </row>
    <row r="125" ht="15" customHeight="1" s="10">
      <c r="A125" t="inlineStr">
        <is>
          <t>configuration E</t>
        </is>
      </c>
      <c r="B125" t="inlineStr">
        <is>
          <t>Intensity histogram</t>
        </is>
      </c>
      <c r="C125" t="inlineStr">
        <is>
          <t>Median absolute deviation</t>
        </is>
      </c>
      <c r="E125" t="inlineStr">
        <is>
          <t>&lt; 3</t>
        </is>
      </c>
      <c r="H125" s="4" t="n"/>
      <c r="I125" s="4">
        <f>IFERROR(IF(NOT(H125=""),ABS(ROUNDDOWN(F125-H125, 3 - (1+INT(LOG10(ABS(F125)))))),""),IF(AND(F125=0,NOT(F125="")),ABS(ROUNDDOWN(F125-H125,0)),""))</f>
        <v/>
      </c>
      <c r="J125" s="4">
        <f>IF(NOT(I125=""),IF(I125&lt;=G125,"match",IF(I125&lt;3*G125,"partial match","no match")),"")</f>
        <v/>
      </c>
      <c r="K125" t="inlineStr">
        <is>
          <t>ih_medad</t>
        </is>
      </c>
    </row>
    <row r="126" ht="15" customHeight="1" s="10">
      <c r="A126" t="inlineStr">
        <is>
          <t>configuration E</t>
        </is>
      </c>
      <c r="B126" t="inlineStr">
        <is>
          <t>Intensity histogram</t>
        </is>
      </c>
      <c r="C126" t="inlineStr">
        <is>
          <t>Coefficient of variation</t>
        </is>
      </c>
      <c r="E126" t="inlineStr">
        <is>
          <t>&lt; 3</t>
        </is>
      </c>
      <c r="H126" s="4" t="n"/>
      <c r="I126" s="4">
        <f>IFERROR(IF(NOT(H126=""),ABS(ROUNDDOWN(F126-H126, 3 - (1+INT(LOG10(ABS(F126)))))),""),IF(AND(F126=0,NOT(F126="")),ABS(ROUNDDOWN(F126-H126,0)),""))</f>
        <v/>
      </c>
      <c r="J126" s="4">
        <f>IF(NOT(I126=""),IF(I126&lt;=G126,"match",IF(I126&lt;3*G126,"partial match","no match")),"")</f>
        <v/>
      </c>
      <c r="K126" t="inlineStr">
        <is>
          <t>ih_cov</t>
        </is>
      </c>
    </row>
    <row r="127" ht="15" customHeight="1" s="10">
      <c r="A127" t="inlineStr">
        <is>
          <t>configuration E</t>
        </is>
      </c>
      <c r="B127" t="inlineStr">
        <is>
          <t>Intensity histogram</t>
        </is>
      </c>
      <c r="C127" t="inlineStr">
        <is>
          <t>Quartile coefficient of dispersion</t>
        </is>
      </c>
      <c r="E127" t="inlineStr">
        <is>
          <t>&lt; 3</t>
        </is>
      </c>
      <c r="H127" s="4" t="n"/>
      <c r="I127" s="4">
        <f>IFERROR(IF(NOT(H127=""),ABS(ROUNDDOWN(F127-H127, 3 - (1+INT(LOG10(ABS(F127)))))),""),IF(AND(F127=0,NOT(F127="")),ABS(ROUNDDOWN(F127-H127,0)),""))</f>
        <v/>
      </c>
      <c r="J127" s="4">
        <f>IF(NOT(I127=""),IF(I127&lt;=G127,"match",IF(I127&lt;3*G127,"partial match","no match")),"")</f>
        <v/>
      </c>
      <c r="K127" t="inlineStr">
        <is>
          <t>ih_qcod</t>
        </is>
      </c>
    </row>
    <row r="128" ht="15" customHeight="1" s="10">
      <c r="A128" t="inlineStr">
        <is>
          <t>configuration E</t>
        </is>
      </c>
      <c r="B128" t="inlineStr">
        <is>
          <t>Intensity histogram</t>
        </is>
      </c>
      <c r="C128" t="inlineStr">
        <is>
          <t>Entropy</t>
        </is>
      </c>
      <c r="E128" t="inlineStr">
        <is>
          <t>&lt; 3</t>
        </is>
      </c>
      <c r="H128" s="4" t="n"/>
      <c r="I128" s="4">
        <f>IFERROR(IF(NOT(H128=""),ABS(ROUNDDOWN(F128-H128, 3 - (1+INT(LOG10(ABS(F128)))))),""),IF(AND(F128=0,NOT(F128="")),ABS(ROUNDDOWN(F128-H128,0)),""))</f>
        <v/>
      </c>
      <c r="J128" s="4">
        <f>IF(NOT(I128=""),IF(I128&lt;=G128,"match",IF(I128&lt;3*G128,"partial match","no match")),"")</f>
        <v/>
      </c>
      <c r="K128" t="inlineStr">
        <is>
          <t>ih_entropy</t>
        </is>
      </c>
    </row>
    <row r="129" ht="15" customHeight="1" s="10">
      <c r="A129" t="inlineStr">
        <is>
          <t>configuration E</t>
        </is>
      </c>
      <c r="B129" t="inlineStr">
        <is>
          <t>Intensity histogram</t>
        </is>
      </c>
      <c r="C129" t="inlineStr">
        <is>
          <t>Uniformity</t>
        </is>
      </c>
      <c r="E129" t="inlineStr">
        <is>
          <t>&lt; 3</t>
        </is>
      </c>
      <c r="H129" s="4" t="n"/>
      <c r="I129" s="4">
        <f>IFERROR(IF(NOT(H129=""),ABS(ROUNDDOWN(F129-H129, 3 - (1+INT(LOG10(ABS(F129)))))),""),IF(AND(F129=0,NOT(F129="")),ABS(ROUNDDOWN(F129-H129,0)),""))</f>
        <v/>
      </c>
      <c r="J129" s="4">
        <f>IF(NOT(I129=""),IF(I129&lt;=G129,"match",IF(I129&lt;3*G129,"partial match","no match")),"")</f>
        <v/>
      </c>
      <c r="K129" t="inlineStr">
        <is>
          <t>ih_uniformity</t>
        </is>
      </c>
    </row>
    <row r="130" ht="15" customHeight="1" s="10">
      <c r="A130" t="inlineStr">
        <is>
          <t>configuration E</t>
        </is>
      </c>
      <c r="B130" t="inlineStr">
        <is>
          <t>Intensity histogram</t>
        </is>
      </c>
      <c r="C130" t="inlineStr">
        <is>
          <t>Maximum histogram gradient</t>
        </is>
      </c>
      <c r="E130" t="inlineStr">
        <is>
          <t>&lt; 3</t>
        </is>
      </c>
      <c r="H130" s="4" t="n"/>
      <c r="I130" s="4">
        <f>IFERROR(IF(NOT(H130=""),ABS(ROUNDDOWN(F130-H130, 3 - (1+INT(LOG10(ABS(F130)))))),""),IF(AND(F130=0,NOT(F130="")),ABS(ROUNDDOWN(F130-H130,0)),""))</f>
        <v/>
      </c>
      <c r="J130" s="4">
        <f>IF(NOT(I130=""),IF(I130&lt;=G130,"match",IF(I130&lt;3*G130,"partial match","no match")),"")</f>
        <v/>
      </c>
      <c r="K130" t="inlineStr">
        <is>
          <t>ih_max_grad</t>
        </is>
      </c>
    </row>
    <row r="131" ht="15" customHeight="1" s="10">
      <c r="A131" t="inlineStr">
        <is>
          <t>configuration E</t>
        </is>
      </c>
      <c r="B131" t="inlineStr">
        <is>
          <t>Intensity histogram</t>
        </is>
      </c>
      <c r="C131" t="inlineStr">
        <is>
          <t>Maximum gradient grey level</t>
        </is>
      </c>
      <c r="E131" t="inlineStr">
        <is>
          <t>&lt; 3</t>
        </is>
      </c>
      <c r="H131" s="4" t="n"/>
      <c r="I131" s="4">
        <f>IFERROR(IF(NOT(H131=""),ABS(ROUNDDOWN(F131-H131, 3 - (1+INT(LOG10(ABS(F131)))))),""),IF(AND(F131=0,NOT(F131="")),ABS(ROUNDDOWN(F131-H131,0)),""))</f>
        <v/>
      </c>
      <c r="J131" s="4">
        <f>IF(NOT(I131=""),IF(I131&lt;=G131,"match",IF(I131&lt;3*G131,"partial match","no match")),"")</f>
        <v/>
      </c>
      <c r="K131" t="inlineStr">
        <is>
          <t>ih_max_grad_g</t>
        </is>
      </c>
    </row>
    <row r="132" ht="15" customHeight="1" s="10">
      <c r="A132" t="inlineStr">
        <is>
          <t>configuration E</t>
        </is>
      </c>
      <c r="B132" t="inlineStr">
        <is>
          <t>Intensity histogram</t>
        </is>
      </c>
      <c r="C132" t="inlineStr">
        <is>
          <t>Minimum histogram gradient</t>
        </is>
      </c>
      <c r="E132" t="inlineStr">
        <is>
          <t>&lt; 3</t>
        </is>
      </c>
      <c r="H132" s="4" t="n"/>
      <c r="I132" s="4">
        <f>IFERROR(IF(NOT(H132=""),ABS(ROUNDDOWN(F132-H132, 3 - (1+INT(LOG10(ABS(F132)))))),""),IF(AND(F132=0,NOT(F132="")),ABS(ROUNDDOWN(F132-H132,0)),""))</f>
        <v/>
      </c>
      <c r="J132" s="4">
        <f>IF(NOT(I132=""),IF(I132&lt;=G132,"match",IF(I132&lt;3*G132,"partial match","no match")),"")</f>
        <v/>
      </c>
      <c r="K132" t="inlineStr">
        <is>
          <t>ih_min_grad</t>
        </is>
      </c>
    </row>
    <row r="133" ht="15" customHeight="1" s="10">
      <c r="A133" t="inlineStr">
        <is>
          <t>configuration E</t>
        </is>
      </c>
      <c r="B133" t="inlineStr">
        <is>
          <t>Intensity histogram</t>
        </is>
      </c>
      <c r="C133" t="inlineStr">
        <is>
          <t>Minimum gradient grey level</t>
        </is>
      </c>
      <c r="E133" t="inlineStr">
        <is>
          <t>&lt; 3</t>
        </is>
      </c>
      <c r="H133" s="4" t="n"/>
      <c r="I133" s="4">
        <f>IFERROR(IF(NOT(H133=""),ABS(ROUNDDOWN(F133-H133, 3 - (1+INT(LOG10(ABS(F133)))))),""),IF(AND(F133=0,NOT(F133="")),ABS(ROUNDDOWN(F133-H133,0)),""))</f>
        <v/>
      </c>
      <c r="J133" s="4">
        <f>IF(NOT(I133=""),IF(I133&lt;=G133,"match",IF(I133&lt;3*G133,"partial match","no match")),"")</f>
        <v/>
      </c>
      <c r="K133" t="inlineStr">
        <is>
          <t>ih_min_grad_g</t>
        </is>
      </c>
    </row>
    <row r="134" ht="15" customHeight="1" s="10">
      <c r="A134" t="inlineStr">
        <is>
          <t>configuration E</t>
        </is>
      </c>
      <c r="B134" t="inlineStr">
        <is>
          <t>Intensity volume histogram</t>
        </is>
      </c>
      <c r="C134" t="inlineStr">
        <is>
          <t>Volume fraction at 10% intensity</t>
        </is>
      </c>
      <c r="E134" t="inlineStr">
        <is>
          <t>&lt; 3</t>
        </is>
      </c>
      <c r="H134" s="4" t="n"/>
      <c r="I134" s="4">
        <f>IFERROR(IF(NOT(H134=""),ABS(ROUNDDOWN(F134-H134, 3 - (1+INT(LOG10(ABS(F134)))))),""),IF(AND(F134=0,NOT(F134="")),ABS(ROUNDDOWN(F134-H134,0)),""))</f>
        <v/>
      </c>
      <c r="J134" s="4">
        <f>IF(NOT(I134=""),IF(I134&lt;=G134,"match",IF(I134&lt;3*G134,"partial match","no match")),"")</f>
        <v/>
      </c>
      <c r="K134" t="inlineStr">
        <is>
          <t>ivh_v10</t>
        </is>
      </c>
    </row>
    <row r="135" ht="15" customHeight="1" s="10">
      <c r="A135" t="inlineStr">
        <is>
          <t>configuration E</t>
        </is>
      </c>
      <c r="B135" t="inlineStr">
        <is>
          <t>Intensity volume histogram</t>
        </is>
      </c>
      <c r="C135" t="inlineStr">
        <is>
          <t>Volume fraction at 90% intensity</t>
        </is>
      </c>
      <c r="E135" t="inlineStr">
        <is>
          <t>&lt; 3</t>
        </is>
      </c>
      <c r="H135" s="5" t="n"/>
      <c r="I135" s="4">
        <f>IFERROR(IF(NOT(H135=""),ABS(ROUNDDOWN(F135-H135, 3 - (1+INT(LOG10(ABS(F135)))))),""),IF(AND(F135=0,NOT(F135="")),ABS(ROUNDDOWN(F135-H135,0)),""))</f>
        <v/>
      </c>
      <c r="J135" s="4">
        <f>IF(NOT(I135=""),IF(I135&lt;=G135,"match",IF(I135&lt;3*G135,"partial match","no match")),"")</f>
        <v/>
      </c>
      <c r="K135" t="inlineStr">
        <is>
          <t>ivh_v90</t>
        </is>
      </c>
    </row>
    <row r="136" ht="15" customHeight="1" s="10">
      <c r="A136" t="inlineStr">
        <is>
          <t>configuration E</t>
        </is>
      </c>
      <c r="B136" t="inlineStr">
        <is>
          <t>Intensity volume histogram</t>
        </is>
      </c>
      <c r="C136" t="inlineStr">
        <is>
          <t>Intensity at 10% volume</t>
        </is>
      </c>
      <c r="E136" t="inlineStr">
        <is>
          <t>&lt; 3</t>
        </is>
      </c>
      <c r="H136" s="4" t="n"/>
      <c r="I136" s="4">
        <f>IFERROR(IF(NOT(H136=""),ABS(ROUNDDOWN(F136-H136, 3 - (1+INT(LOG10(ABS(F136)))))),""),IF(AND(F136=0,NOT(F136="")),ABS(ROUNDDOWN(F136-H136,0)),""))</f>
        <v/>
      </c>
      <c r="J136" s="4">
        <f>IF(NOT(I136=""),IF(I136&lt;=G136,"match",IF(I136&lt;3*G136,"partial match","no match")),"")</f>
        <v/>
      </c>
      <c r="K136" t="inlineStr">
        <is>
          <t>ivh_i10</t>
        </is>
      </c>
    </row>
    <row r="137" ht="15" customHeight="1" s="10">
      <c r="A137" t="inlineStr">
        <is>
          <t>configuration E</t>
        </is>
      </c>
      <c r="B137" t="inlineStr">
        <is>
          <t>Intensity volume histogram</t>
        </is>
      </c>
      <c r="C137" t="inlineStr">
        <is>
          <t>Intensity at 90% volume</t>
        </is>
      </c>
      <c r="E137" t="inlineStr">
        <is>
          <t>&lt; 3</t>
        </is>
      </c>
      <c r="H137" s="4" t="n"/>
      <c r="I137" s="4">
        <f>IFERROR(IF(NOT(H137=""),ABS(ROUNDDOWN(F137-H137, 3 - (1+INT(LOG10(ABS(F137)))))),""),IF(AND(F137=0,NOT(F137="")),ABS(ROUNDDOWN(F137-H137,0)),""))</f>
        <v/>
      </c>
      <c r="J137" s="4">
        <f>IF(NOT(I137=""),IF(I137&lt;=G137,"match",IF(I137&lt;3*G137,"partial match","no match")),"")</f>
        <v/>
      </c>
      <c r="K137" t="inlineStr">
        <is>
          <t>ivh_i90</t>
        </is>
      </c>
    </row>
    <row r="138" ht="15" customHeight="1" s="10">
      <c r="A138" t="inlineStr">
        <is>
          <t>configuration E</t>
        </is>
      </c>
      <c r="B138" t="inlineStr">
        <is>
          <t>Intensity volume histogram</t>
        </is>
      </c>
      <c r="C138" t="inlineStr">
        <is>
          <t>Volume fraction difference between 10% and 90% intensity</t>
        </is>
      </c>
      <c r="E138" t="inlineStr">
        <is>
          <t>&lt; 3</t>
        </is>
      </c>
      <c r="H138" s="4" t="n"/>
      <c r="I138" s="4">
        <f>IFERROR(IF(NOT(H138=""),ABS(ROUNDDOWN(F138-H138, 3 - (1+INT(LOG10(ABS(F138)))))),""),IF(AND(F138=0,NOT(F138="")),ABS(ROUNDDOWN(F138-H138,0)),""))</f>
        <v/>
      </c>
      <c r="J138" s="4">
        <f>IF(NOT(I138=""),IF(I138&lt;=G138,"match",IF(I138&lt;3*G138,"partial match","no match")),"")</f>
        <v/>
      </c>
      <c r="K138" t="inlineStr">
        <is>
          <t>ivh_diff_v10_v90</t>
        </is>
      </c>
    </row>
    <row r="139" ht="15" customHeight="1" s="10">
      <c r="A139" t="inlineStr">
        <is>
          <t>configuration E</t>
        </is>
      </c>
      <c r="B139" t="inlineStr">
        <is>
          <t>Intensity volume histogram</t>
        </is>
      </c>
      <c r="C139" t="inlineStr">
        <is>
          <t>Intensity difference between 10% and 90% volume</t>
        </is>
      </c>
      <c r="E139" t="inlineStr">
        <is>
          <t>&lt; 3</t>
        </is>
      </c>
      <c r="H139" s="4" t="n"/>
      <c r="I139" s="4">
        <f>IFERROR(IF(NOT(H139=""),ABS(ROUNDDOWN(F139-H139, 3 - (1+INT(LOG10(ABS(F139)))))),""),IF(AND(F139=0,NOT(F139="")),ABS(ROUNDDOWN(F139-H139,0)),""))</f>
        <v/>
      </c>
      <c r="J139" s="4">
        <f>IF(NOT(I139=""),IF(I139&lt;=G139,"match",IF(I139&lt;3*G139,"partial match","no match")),"")</f>
        <v/>
      </c>
      <c r="K139" t="inlineStr">
        <is>
          <t>ivh_diff_i10_i90</t>
        </is>
      </c>
    </row>
    <row r="140" ht="15" customHeight="1" s="10">
      <c r="A140" t="inlineStr">
        <is>
          <t>configuration E</t>
        </is>
      </c>
      <c r="B140" t="inlineStr">
        <is>
          <t>Intensity volume histogram</t>
        </is>
      </c>
      <c r="C140" t="inlineStr">
        <is>
          <t>Area under the IVH curve</t>
        </is>
      </c>
      <c r="E140" t="inlineStr">
        <is>
          <t>&lt; 3</t>
        </is>
      </c>
      <c r="H140" s="4" t="n"/>
      <c r="I140" s="4">
        <f>IFERROR(IF(NOT(H140=""),ABS(ROUNDDOWN(F140-H140, 3 - (1+INT(LOG10(ABS(F140)))))),""),IF(AND(F140=0,NOT(F140="")),ABS(ROUNDDOWN(F140-H140,0)),""))</f>
        <v/>
      </c>
      <c r="J140" s="4">
        <f>IF(NOT(I140=""),IF(I140&lt;=G140,"match",IF(I140&lt;3*G140,"partial match","no match")),"")</f>
        <v/>
      </c>
      <c r="K140" t="inlineStr">
        <is>
          <t>ivh_auc</t>
        </is>
      </c>
    </row>
    <row r="141" ht="15" customHeight="1" s="10">
      <c r="A141" t="inlineStr">
        <is>
          <t>configuration E</t>
        </is>
      </c>
      <c r="B141" t="inlineStr">
        <is>
          <t>Co-occurrence matrix (3D, averaged)</t>
        </is>
      </c>
      <c r="C141" t="inlineStr">
        <is>
          <t>Joint maximum</t>
        </is>
      </c>
      <c r="E141" t="inlineStr">
        <is>
          <t>&lt; 3</t>
        </is>
      </c>
      <c r="H141" s="4" t="n"/>
      <c r="I141" s="4">
        <f>IFERROR(IF(NOT(H141=""),ABS(ROUNDDOWN(F141-H141, 3 - (1+INT(LOG10(ABS(F141)))))),""),IF(AND(F141=0,NOT(F141="")),ABS(ROUNDDOWN(F141-H141,0)),""))</f>
        <v/>
      </c>
      <c r="J141" s="4">
        <f>IF(NOT(I141=""),IF(I141&lt;=G141,"match",IF(I141&lt;3*G141,"partial match","no match")),"")</f>
        <v/>
      </c>
      <c r="K141" t="inlineStr">
        <is>
          <t>cm_joint_max_3D_avg</t>
        </is>
      </c>
    </row>
    <row r="142" ht="15" customHeight="1" s="10">
      <c r="A142" t="inlineStr">
        <is>
          <t>configuration E</t>
        </is>
      </c>
      <c r="B142" t="inlineStr">
        <is>
          <t>Co-occurrence matrix (3D, averaged)</t>
        </is>
      </c>
      <c r="C142" t="inlineStr">
        <is>
          <t>Joint average</t>
        </is>
      </c>
      <c r="E142" t="inlineStr">
        <is>
          <t>&lt; 3</t>
        </is>
      </c>
      <c r="H142" s="4" t="n"/>
      <c r="I142" s="4">
        <f>IFERROR(IF(NOT(H142=""),ABS(ROUNDDOWN(F142-H142, 3 - (1+INT(LOG10(ABS(F142)))))),""),IF(AND(F142=0,NOT(F142="")),ABS(ROUNDDOWN(F142-H142,0)),""))</f>
        <v/>
      </c>
      <c r="J142" s="4">
        <f>IF(NOT(I142=""),IF(I142&lt;=G142,"match",IF(I142&lt;3*G142,"partial match","no match")),"")</f>
        <v/>
      </c>
      <c r="K142" t="inlineStr">
        <is>
          <t>cm_joint_avg_3D_avg</t>
        </is>
      </c>
    </row>
    <row r="143" ht="15" customHeight="1" s="10">
      <c r="A143" t="inlineStr">
        <is>
          <t>configuration E</t>
        </is>
      </c>
      <c r="B143" t="inlineStr">
        <is>
          <t>Co-occurrence matrix (3D, averaged)</t>
        </is>
      </c>
      <c r="C143" t="inlineStr">
        <is>
          <t>Joint variance</t>
        </is>
      </c>
      <c r="E143" t="inlineStr">
        <is>
          <t>&lt; 3</t>
        </is>
      </c>
      <c r="H143" s="4" t="n"/>
      <c r="I143" s="4">
        <f>IFERROR(IF(NOT(H143=""),ABS(ROUNDDOWN(F143-H143, 3 - (1+INT(LOG10(ABS(F143)))))),""),IF(AND(F143=0,NOT(F143="")),ABS(ROUNDDOWN(F143-H143,0)),""))</f>
        <v/>
      </c>
      <c r="J143" s="4">
        <f>IF(NOT(I143=""),IF(I143&lt;=G143,"match",IF(I143&lt;3*G143,"partial match","no match")),"")</f>
        <v/>
      </c>
      <c r="K143" t="inlineStr">
        <is>
          <t>cm_joint_var_3D_avg</t>
        </is>
      </c>
    </row>
    <row r="144" ht="15" customHeight="1" s="10">
      <c r="A144" t="inlineStr">
        <is>
          <t>configuration E</t>
        </is>
      </c>
      <c r="B144" t="inlineStr">
        <is>
          <t>Co-occurrence matrix (3D, averaged)</t>
        </is>
      </c>
      <c r="C144" t="inlineStr">
        <is>
          <t>Joint entropy</t>
        </is>
      </c>
      <c r="E144" t="inlineStr">
        <is>
          <t>&lt; 3</t>
        </is>
      </c>
      <c r="H144" s="4" t="n"/>
      <c r="I144" s="4">
        <f>IFERROR(IF(NOT(H144=""),ABS(ROUNDDOWN(F144-H144, 3 - (1+INT(LOG10(ABS(F144)))))),""),IF(AND(F144=0,NOT(F144="")),ABS(ROUNDDOWN(F144-H144,0)),""))</f>
        <v/>
      </c>
      <c r="J144" s="4">
        <f>IF(NOT(I144=""),IF(I144&lt;=G144,"match",IF(I144&lt;3*G144,"partial match","no match")),"")</f>
        <v/>
      </c>
      <c r="K144" t="inlineStr">
        <is>
          <t>cm_joint_entr_3D_avg</t>
        </is>
      </c>
    </row>
    <row r="145" ht="15" customHeight="1" s="10">
      <c r="A145" t="inlineStr">
        <is>
          <t>configuration E</t>
        </is>
      </c>
      <c r="B145" t="inlineStr">
        <is>
          <t>Co-occurrence matrix (3D, averaged)</t>
        </is>
      </c>
      <c r="C145" t="inlineStr">
        <is>
          <t>Difference average</t>
        </is>
      </c>
      <c r="E145" t="inlineStr">
        <is>
          <t>&lt; 3</t>
        </is>
      </c>
      <c r="H145" s="4" t="n"/>
      <c r="I145" s="4">
        <f>IFERROR(IF(NOT(H145=""),ABS(ROUNDDOWN(F145-H145, 3 - (1+INT(LOG10(ABS(F145)))))),""),IF(AND(F145=0,NOT(F145="")),ABS(ROUNDDOWN(F145-H145,0)),""))</f>
        <v/>
      </c>
      <c r="J145" s="4">
        <f>IF(NOT(I145=""),IF(I145&lt;=G145,"match",IF(I145&lt;3*G145,"partial match","no match")),"")</f>
        <v/>
      </c>
      <c r="K145" t="inlineStr">
        <is>
          <t>cm_diff_avg_3D_avg</t>
        </is>
      </c>
    </row>
    <row r="146" ht="15" customHeight="1" s="10">
      <c r="A146" t="inlineStr">
        <is>
          <t>configuration E</t>
        </is>
      </c>
      <c r="B146" t="inlineStr">
        <is>
          <t>Co-occurrence matrix (3D, averaged)</t>
        </is>
      </c>
      <c r="C146" t="inlineStr">
        <is>
          <t>Difference variance</t>
        </is>
      </c>
      <c r="E146" t="inlineStr">
        <is>
          <t>&lt; 3</t>
        </is>
      </c>
      <c r="H146" s="4" t="n"/>
      <c r="I146" s="4">
        <f>IFERROR(IF(NOT(H146=""),ABS(ROUNDDOWN(F146-H146, 3 - (1+INT(LOG10(ABS(F146)))))),""),IF(AND(F146=0,NOT(F146="")),ABS(ROUNDDOWN(F146-H146,0)),""))</f>
        <v/>
      </c>
      <c r="J146" s="4">
        <f>IF(NOT(I146=""),IF(I146&lt;=G146,"match",IF(I146&lt;3*G146,"partial match","no match")),"")</f>
        <v/>
      </c>
      <c r="K146" t="inlineStr">
        <is>
          <t>cm_diff_var_3D_avg</t>
        </is>
      </c>
    </row>
    <row r="147" ht="15" customHeight="1" s="10">
      <c r="A147" t="inlineStr">
        <is>
          <t>configuration E</t>
        </is>
      </c>
      <c r="B147" t="inlineStr">
        <is>
          <t>Co-occurrence matrix (3D, averaged)</t>
        </is>
      </c>
      <c r="C147" t="inlineStr">
        <is>
          <t>Difference entropy</t>
        </is>
      </c>
      <c r="E147" t="inlineStr">
        <is>
          <t>&lt; 3</t>
        </is>
      </c>
      <c r="H147" s="4" t="n"/>
      <c r="I147" s="4">
        <f>IFERROR(IF(NOT(H147=""),ABS(ROUNDDOWN(F147-H147, 3 - (1+INT(LOG10(ABS(F147)))))),""),IF(AND(F147=0,NOT(F147="")),ABS(ROUNDDOWN(F147-H147,0)),""))</f>
        <v/>
      </c>
      <c r="J147" s="4">
        <f>IF(NOT(I147=""),IF(I147&lt;=G147,"match",IF(I147&lt;3*G147,"partial match","no match")),"")</f>
        <v/>
      </c>
      <c r="K147" t="inlineStr">
        <is>
          <t>cm_diff_entr_3D_avg</t>
        </is>
      </c>
    </row>
    <row r="148" ht="15" customHeight="1" s="10">
      <c r="A148" t="inlineStr">
        <is>
          <t>configuration E</t>
        </is>
      </c>
      <c r="B148" t="inlineStr">
        <is>
          <t>Co-occurrence matrix (3D, averaged)</t>
        </is>
      </c>
      <c r="C148" t="inlineStr">
        <is>
          <t>Sum average</t>
        </is>
      </c>
      <c r="E148" t="inlineStr">
        <is>
          <t>&lt; 3</t>
        </is>
      </c>
      <c r="H148" s="4" t="n"/>
      <c r="I148" s="4">
        <f>IFERROR(IF(NOT(H148=""),ABS(ROUNDDOWN(F148-H148, 3 - (1+INT(LOG10(ABS(F148)))))),""),IF(AND(F148=0,NOT(F148="")),ABS(ROUNDDOWN(F148-H148,0)),""))</f>
        <v/>
      </c>
      <c r="J148" s="4">
        <f>IF(NOT(I148=""),IF(I148&lt;=G148,"match",IF(I148&lt;3*G148,"partial match","no match")),"")</f>
        <v/>
      </c>
      <c r="K148" t="inlineStr">
        <is>
          <t>cm_sum_avg_3D_avg</t>
        </is>
      </c>
    </row>
    <row r="149" ht="15" customHeight="1" s="10">
      <c r="A149" t="inlineStr">
        <is>
          <t>configuration E</t>
        </is>
      </c>
      <c r="B149" t="inlineStr">
        <is>
          <t>Co-occurrence matrix (3D, averaged)</t>
        </is>
      </c>
      <c r="C149" t="inlineStr">
        <is>
          <t>Sum variance</t>
        </is>
      </c>
      <c r="E149" t="inlineStr">
        <is>
          <t>&lt; 3</t>
        </is>
      </c>
      <c r="H149" s="4" t="n"/>
      <c r="I149" s="4">
        <f>IFERROR(IF(NOT(H149=""),ABS(ROUNDDOWN(F149-H149, 3 - (1+INT(LOG10(ABS(F149)))))),""),IF(AND(F149=0,NOT(F149="")),ABS(ROUNDDOWN(F149-H149,0)),""))</f>
        <v/>
      </c>
      <c r="J149" s="4">
        <f>IF(NOT(I149=""),IF(I149&lt;=G149,"match",IF(I149&lt;3*G149,"partial match","no match")),"")</f>
        <v/>
      </c>
      <c r="K149" t="inlineStr">
        <is>
          <t>cm_sum_var_3D_avg</t>
        </is>
      </c>
    </row>
    <row r="150" ht="15" customHeight="1" s="10">
      <c r="A150" t="inlineStr">
        <is>
          <t>configuration E</t>
        </is>
      </c>
      <c r="B150" t="inlineStr">
        <is>
          <t>Co-occurrence matrix (3D, averaged)</t>
        </is>
      </c>
      <c r="C150" t="inlineStr">
        <is>
          <t>Sum entropy</t>
        </is>
      </c>
      <c r="E150" t="inlineStr">
        <is>
          <t>&lt; 3</t>
        </is>
      </c>
      <c r="H150" s="4" t="n"/>
      <c r="I150" s="4">
        <f>IFERROR(IF(NOT(H150=""),ABS(ROUNDDOWN(F150-H150, 3 - (1+INT(LOG10(ABS(F150)))))),""),IF(AND(F150=0,NOT(F150="")),ABS(ROUNDDOWN(F150-H150,0)),""))</f>
        <v/>
      </c>
      <c r="J150" s="4">
        <f>IF(NOT(I150=""),IF(I150&lt;=G150,"match",IF(I150&lt;3*G150,"partial match","no match")),"")</f>
        <v/>
      </c>
      <c r="K150" t="inlineStr">
        <is>
          <t>cm_sum_entr_3D_avg</t>
        </is>
      </c>
    </row>
    <row r="151" ht="15" customHeight="1" s="10">
      <c r="A151" t="inlineStr">
        <is>
          <t>configuration E</t>
        </is>
      </c>
      <c r="B151" t="inlineStr">
        <is>
          <t>Co-occurrence matrix (3D, averaged)</t>
        </is>
      </c>
      <c r="C151" t="inlineStr">
        <is>
          <t>Angular second moment</t>
        </is>
      </c>
      <c r="E151" t="inlineStr">
        <is>
          <t>&lt; 3</t>
        </is>
      </c>
      <c r="H151" s="4" t="n"/>
      <c r="I151" s="4">
        <f>IFERROR(IF(NOT(H151=""),ABS(ROUNDDOWN(F151-H151, 3 - (1+INT(LOG10(ABS(F151)))))),""),IF(AND(F151=0,NOT(F151="")),ABS(ROUNDDOWN(F151-H151,0)),""))</f>
        <v/>
      </c>
      <c r="J151" s="4">
        <f>IF(NOT(I151=""),IF(I151&lt;=G151,"match",IF(I151&lt;3*G151,"partial match","no match")),"")</f>
        <v/>
      </c>
      <c r="K151" t="inlineStr">
        <is>
          <t>cm_energy_3D_avg</t>
        </is>
      </c>
    </row>
    <row r="152" ht="15" customHeight="1" s="10">
      <c r="A152" t="inlineStr">
        <is>
          <t>configuration E</t>
        </is>
      </c>
      <c r="B152" t="inlineStr">
        <is>
          <t>Co-occurrence matrix (3D, averaged)</t>
        </is>
      </c>
      <c r="C152" t="inlineStr">
        <is>
          <t>Contrast</t>
        </is>
      </c>
      <c r="E152" t="inlineStr">
        <is>
          <t>&lt; 3</t>
        </is>
      </c>
      <c r="H152" s="4" t="n"/>
      <c r="I152" s="4">
        <f>IFERROR(IF(NOT(H152=""),ABS(ROUNDDOWN(F152-H152, 3 - (1+INT(LOG10(ABS(F152)))))),""),IF(AND(F152=0,NOT(F152="")),ABS(ROUNDDOWN(F152-H152,0)),""))</f>
        <v/>
      </c>
      <c r="J152" s="4">
        <f>IF(NOT(I152=""),IF(I152&lt;=G152,"match",IF(I152&lt;3*G152,"partial match","no match")),"")</f>
        <v/>
      </c>
      <c r="K152" t="inlineStr">
        <is>
          <t>cm_contrast_3D_avg</t>
        </is>
      </c>
    </row>
    <row r="153" ht="15" customHeight="1" s="10">
      <c r="A153" t="inlineStr">
        <is>
          <t>configuration E</t>
        </is>
      </c>
      <c r="B153" t="inlineStr">
        <is>
          <t>Co-occurrence matrix (3D, averaged)</t>
        </is>
      </c>
      <c r="C153" t="inlineStr">
        <is>
          <t>Dissimilarity</t>
        </is>
      </c>
      <c r="E153" t="inlineStr">
        <is>
          <t>&lt; 3</t>
        </is>
      </c>
      <c r="H153" s="4" t="n"/>
      <c r="I153" s="4">
        <f>IFERROR(IF(NOT(H153=""),ABS(ROUNDDOWN(F153-H153, 3 - (1+INT(LOG10(ABS(F153)))))),""),IF(AND(F153=0,NOT(F153="")),ABS(ROUNDDOWN(F153-H153,0)),""))</f>
        <v/>
      </c>
      <c r="J153" s="4">
        <f>IF(NOT(I153=""),IF(I153&lt;=G153,"match",IF(I153&lt;3*G153,"partial match","no match")),"")</f>
        <v/>
      </c>
      <c r="K153" t="inlineStr">
        <is>
          <t>cm_dissimilarity_3D_avg</t>
        </is>
      </c>
    </row>
    <row r="154" ht="15" customHeight="1" s="10">
      <c r="A154" t="inlineStr">
        <is>
          <t>configuration E</t>
        </is>
      </c>
      <c r="B154" t="inlineStr">
        <is>
          <t>Co-occurrence matrix (3D, averaged)</t>
        </is>
      </c>
      <c r="C154" t="inlineStr">
        <is>
          <t>Inverse difference</t>
        </is>
      </c>
      <c r="E154" t="inlineStr">
        <is>
          <t>&lt; 3</t>
        </is>
      </c>
      <c r="H154" s="4" t="n"/>
      <c r="I154" s="4">
        <f>IFERROR(IF(NOT(H154=""),ABS(ROUNDDOWN(F154-H154, 3 - (1+INT(LOG10(ABS(F154)))))),""),IF(AND(F154=0,NOT(F154="")),ABS(ROUNDDOWN(F154-H154,0)),""))</f>
        <v/>
      </c>
      <c r="J154" s="4">
        <f>IF(NOT(I154=""),IF(I154&lt;=G154,"match",IF(I154&lt;3*G154,"partial match","no match")),"")</f>
        <v/>
      </c>
      <c r="K154" t="inlineStr">
        <is>
          <t>cm_inv_diff_3D_avg</t>
        </is>
      </c>
    </row>
    <row r="155" ht="15" customHeight="1" s="10">
      <c r="A155" t="inlineStr">
        <is>
          <t>configuration E</t>
        </is>
      </c>
      <c r="B155" t="inlineStr">
        <is>
          <t>Co-occurrence matrix (3D, averaged)</t>
        </is>
      </c>
      <c r="C155" t="inlineStr">
        <is>
          <t>Inverse difference normalised</t>
        </is>
      </c>
      <c r="E155" t="inlineStr">
        <is>
          <t>&lt; 3</t>
        </is>
      </c>
      <c r="H155" s="4" t="n"/>
      <c r="I155" s="4">
        <f>IFERROR(IF(NOT(H155=""),ABS(ROUNDDOWN(F155-H155, 3 - (1+INT(LOG10(ABS(F155)))))),""),IF(AND(F155=0,NOT(F155="")),ABS(ROUNDDOWN(F155-H155,0)),""))</f>
        <v/>
      </c>
      <c r="J155" s="4">
        <f>IF(NOT(I155=""),IF(I155&lt;=G155,"match",IF(I155&lt;3*G155,"partial match","no match")),"")</f>
        <v/>
      </c>
      <c r="K155" t="inlineStr">
        <is>
          <t>cm_inv_diff_norm_3D_avg</t>
        </is>
      </c>
    </row>
    <row r="156" ht="15" customHeight="1" s="10">
      <c r="A156" t="inlineStr">
        <is>
          <t>configuration E</t>
        </is>
      </c>
      <c r="B156" t="inlineStr">
        <is>
          <t>Co-occurrence matrix (3D, averaged)</t>
        </is>
      </c>
      <c r="C156" t="inlineStr">
        <is>
          <t>Inverse difference moment</t>
        </is>
      </c>
      <c r="E156" t="inlineStr">
        <is>
          <t>&lt; 3</t>
        </is>
      </c>
      <c r="H156" s="4" t="n"/>
      <c r="I156" s="4">
        <f>IFERROR(IF(NOT(H156=""),ABS(ROUNDDOWN(F156-H156, 3 - (1+INT(LOG10(ABS(F156)))))),""),IF(AND(F156=0,NOT(F156="")),ABS(ROUNDDOWN(F156-H156,0)),""))</f>
        <v/>
      </c>
      <c r="J156" s="4">
        <f>IF(NOT(I156=""),IF(I156&lt;=G156,"match",IF(I156&lt;3*G156,"partial match","no match")),"")</f>
        <v/>
      </c>
      <c r="K156" t="inlineStr">
        <is>
          <t>cm_inv_diff_mom_3D_avg</t>
        </is>
      </c>
    </row>
    <row r="157" ht="15" customHeight="1" s="10">
      <c r="A157" t="inlineStr">
        <is>
          <t>configuration E</t>
        </is>
      </c>
      <c r="B157" t="inlineStr">
        <is>
          <t>Co-occurrence matrix (3D, averaged)</t>
        </is>
      </c>
      <c r="C157" t="inlineStr">
        <is>
          <t>Inverse difference moment normalised</t>
        </is>
      </c>
      <c r="E157" t="inlineStr">
        <is>
          <t>&lt; 3</t>
        </is>
      </c>
      <c r="H157" s="5" t="n"/>
      <c r="I157" s="4">
        <f>IFERROR(IF(NOT(H157=""),ABS(ROUNDDOWN(F157-H157, 3 - (1+INT(LOG10(ABS(F157)))))),""),IF(AND(F157=0,NOT(F157="")),ABS(ROUNDDOWN(F157-H157,0)),""))</f>
        <v/>
      </c>
      <c r="J157" s="4">
        <f>IF(NOT(I157=""),IF(I157&lt;=G157,"match",IF(I157&lt;3*G157,"partial match","no match")),"")</f>
        <v/>
      </c>
      <c r="K157" t="inlineStr">
        <is>
          <t>cm_inv_diff_mom_norm_3D_avg</t>
        </is>
      </c>
    </row>
    <row r="158" ht="15" customHeight="1" s="10">
      <c r="A158" t="inlineStr">
        <is>
          <t>configuration E</t>
        </is>
      </c>
      <c r="B158" t="inlineStr">
        <is>
          <t>Co-occurrence matrix (3D, averaged)</t>
        </is>
      </c>
      <c r="C158" t="inlineStr">
        <is>
          <t>Inverse variance</t>
        </is>
      </c>
      <c r="E158" t="inlineStr">
        <is>
          <t>&lt; 3</t>
        </is>
      </c>
      <c r="H158" s="4" t="n"/>
      <c r="I158" s="4">
        <f>IFERROR(IF(NOT(H158=""),ABS(ROUNDDOWN(F158-H158, 3 - (1+INT(LOG10(ABS(F158)))))),""),IF(AND(F158=0,NOT(F158="")),ABS(ROUNDDOWN(F158-H158,0)),""))</f>
        <v/>
      </c>
      <c r="J158" s="4">
        <f>IF(NOT(I158=""),IF(I158&lt;=G158,"match",IF(I158&lt;3*G158,"partial match","no match")),"")</f>
        <v/>
      </c>
      <c r="K158" t="inlineStr">
        <is>
          <t>cm_inv_var_3D_avg</t>
        </is>
      </c>
    </row>
    <row r="159" ht="15" customHeight="1" s="10">
      <c r="A159" t="inlineStr">
        <is>
          <t>configuration E</t>
        </is>
      </c>
      <c r="B159" t="inlineStr">
        <is>
          <t>Co-occurrence matrix (3D, averaged)</t>
        </is>
      </c>
      <c r="C159" t="inlineStr">
        <is>
          <t>Correlation</t>
        </is>
      </c>
      <c r="E159" t="inlineStr">
        <is>
          <t>&lt; 3</t>
        </is>
      </c>
      <c r="H159" s="4" t="n"/>
      <c r="I159" s="4">
        <f>IFERROR(IF(NOT(H159=""),ABS(ROUNDDOWN(F159-H159, 3 - (1+INT(LOG10(ABS(F159)))))),""),IF(AND(F159=0,NOT(F159="")),ABS(ROUNDDOWN(F159-H159,0)),""))</f>
        <v/>
      </c>
      <c r="J159" s="4">
        <f>IF(NOT(I159=""),IF(I159&lt;=G159,"match",IF(I159&lt;3*G159,"partial match","no match")),"")</f>
        <v/>
      </c>
      <c r="K159" t="inlineStr">
        <is>
          <t>cm_corr_3D_avg</t>
        </is>
      </c>
    </row>
    <row r="160" ht="15" customHeight="1" s="10">
      <c r="A160" t="inlineStr">
        <is>
          <t>configuration E</t>
        </is>
      </c>
      <c r="B160" t="inlineStr">
        <is>
          <t>Co-occurrence matrix (3D, averaged)</t>
        </is>
      </c>
      <c r="C160" t="inlineStr">
        <is>
          <t>Autocorrelation</t>
        </is>
      </c>
      <c r="E160" t="inlineStr">
        <is>
          <t>&lt; 3</t>
        </is>
      </c>
      <c r="H160" s="4" t="n"/>
      <c r="I160" s="4">
        <f>IFERROR(IF(NOT(H160=""),ABS(ROUNDDOWN(F160-H160, 3 - (1+INT(LOG10(ABS(F160)))))),""),IF(AND(F160=0,NOT(F160="")),ABS(ROUNDDOWN(F160-H160,0)),""))</f>
        <v/>
      </c>
      <c r="J160" s="4">
        <f>IF(NOT(I160=""),IF(I160&lt;=G160,"match",IF(I160&lt;3*G160,"partial match","no match")),"")</f>
        <v/>
      </c>
      <c r="K160" t="inlineStr">
        <is>
          <t>cm_auto_corr_3D_avg</t>
        </is>
      </c>
    </row>
    <row r="161" ht="15" customHeight="1" s="10">
      <c r="A161" t="inlineStr">
        <is>
          <t>configuration E</t>
        </is>
      </c>
      <c r="B161" t="inlineStr">
        <is>
          <t>Co-occurrence matrix (3D, averaged)</t>
        </is>
      </c>
      <c r="C161" t="inlineStr">
        <is>
          <t>Cluster tendency</t>
        </is>
      </c>
      <c r="E161" t="inlineStr">
        <is>
          <t>&lt; 3</t>
        </is>
      </c>
      <c r="H161" s="4" t="n"/>
      <c r="I161" s="4">
        <f>IFERROR(IF(NOT(H161=""),ABS(ROUNDDOWN(F161-H161, 3 - (1+INT(LOG10(ABS(F161)))))),""),IF(AND(F161=0,NOT(F161="")),ABS(ROUNDDOWN(F161-H161,0)),""))</f>
        <v/>
      </c>
      <c r="J161" s="4">
        <f>IF(NOT(I161=""),IF(I161&lt;=G161,"match",IF(I161&lt;3*G161,"partial match","no match")),"")</f>
        <v/>
      </c>
      <c r="K161" t="inlineStr">
        <is>
          <t>cm_clust_tend_3D_avg</t>
        </is>
      </c>
    </row>
    <row r="162" ht="15" customHeight="1" s="10">
      <c r="A162" t="inlineStr">
        <is>
          <t>configuration E</t>
        </is>
      </c>
      <c r="B162" t="inlineStr">
        <is>
          <t>Co-occurrence matrix (3D, averaged)</t>
        </is>
      </c>
      <c r="C162" t="inlineStr">
        <is>
          <t>Cluster shade</t>
        </is>
      </c>
      <c r="E162" t="inlineStr">
        <is>
          <t>&lt; 3</t>
        </is>
      </c>
      <c r="H162" s="4" t="n"/>
      <c r="I162" s="4">
        <f>IFERROR(IF(NOT(H162=""),ABS(ROUNDDOWN(F162-H162, 3 - (1+INT(LOG10(ABS(F162)))))),""),IF(AND(F162=0,NOT(F162="")),ABS(ROUNDDOWN(F162-H162,0)),""))</f>
        <v/>
      </c>
      <c r="J162" s="4">
        <f>IF(NOT(I162=""),IF(I162&lt;=G162,"match",IF(I162&lt;3*G162,"partial match","no match")),"")</f>
        <v/>
      </c>
      <c r="K162" t="inlineStr">
        <is>
          <t>cm_clust_shade_3D_avg</t>
        </is>
      </c>
    </row>
    <row r="163" ht="15" customHeight="1" s="10">
      <c r="A163" t="inlineStr">
        <is>
          <t>configuration E</t>
        </is>
      </c>
      <c r="B163" t="inlineStr">
        <is>
          <t>Co-occurrence matrix (3D, averaged)</t>
        </is>
      </c>
      <c r="C163" t="inlineStr">
        <is>
          <t>Cluster prominence</t>
        </is>
      </c>
      <c r="E163" t="inlineStr">
        <is>
          <t>&lt; 3</t>
        </is>
      </c>
      <c r="H163" s="4" t="n"/>
      <c r="I163" s="4">
        <f>IFERROR(IF(NOT(H163=""),ABS(ROUNDDOWN(F163-H163, 3 - (1+INT(LOG10(ABS(F163)))))),""),IF(AND(F163=0,NOT(F163="")),ABS(ROUNDDOWN(F163-H163,0)),""))</f>
        <v/>
      </c>
      <c r="J163" s="4">
        <f>IF(NOT(I163=""),IF(I163&lt;=G163,"match",IF(I163&lt;3*G163,"partial match","no match")),"")</f>
        <v/>
      </c>
      <c r="K163" t="inlineStr">
        <is>
          <t>cm_clust_prom_3D_avg</t>
        </is>
      </c>
    </row>
    <row r="164" ht="15" customHeight="1" s="10">
      <c r="A164" t="inlineStr">
        <is>
          <t>configuration E</t>
        </is>
      </c>
      <c r="B164" t="inlineStr">
        <is>
          <t>Co-occurrence matrix (3D, averaged)</t>
        </is>
      </c>
      <c r="C164" t="inlineStr">
        <is>
          <t>Information correlation 1</t>
        </is>
      </c>
      <c r="E164" t="inlineStr">
        <is>
          <t>&lt; 3</t>
        </is>
      </c>
      <c r="H164" s="4" t="n"/>
      <c r="I164" s="4">
        <f>IFERROR(IF(NOT(H164=""),ABS(ROUNDDOWN(F164-H164, 3 - (1+INT(LOG10(ABS(F164)))))),""),IF(AND(F164=0,NOT(F164="")),ABS(ROUNDDOWN(F164-H164,0)),""))</f>
        <v/>
      </c>
      <c r="J164" s="4">
        <f>IF(NOT(I164=""),IF(I164&lt;=G164,"match",IF(I164&lt;3*G164,"partial match","no match")),"")</f>
        <v/>
      </c>
      <c r="K164" t="inlineStr">
        <is>
          <t>cm_info_corr1_3D_avg</t>
        </is>
      </c>
    </row>
    <row r="165" ht="15" customHeight="1" s="10">
      <c r="A165" t="inlineStr">
        <is>
          <t>configuration E</t>
        </is>
      </c>
      <c r="B165" t="inlineStr">
        <is>
          <t>Co-occurrence matrix (3D, averaged)</t>
        </is>
      </c>
      <c r="C165" t="inlineStr">
        <is>
          <t>Information correlation 2</t>
        </is>
      </c>
      <c r="E165" t="inlineStr">
        <is>
          <t>&lt; 3</t>
        </is>
      </c>
      <c r="H165" s="4" t="n"/>
      <c r="I165" s="4">
        <f>IFERROR(IF(NOT(H165=""),ABS(ROUNDDOWN(F165-H165, 3 - (1+INT(LOG10(ABS(F165)))))),""),IF(AND(F165=0,NOT(F165="")),ABS(ROUNDDOWN(F165-H165,0)),""))</f>
        <v/>
      </c>
      <c r="J165" s="4">
        <f>IF(NOT(I165=""),IF(I165&lt;=G165,"match",IF(I165&lt;3*G165,"partial match","no match")),"")</f>
        <v/>
      </c>
      <c r="K165" t="inlineStr">
        <is>
          <t>cm_info_corr2_3D_avg</t>
        </is>
      </c>
    </row>
    <row r="166" ht="15" customHeight="1" s="10">
      <c r="A166" t="inlineStr">
        <is>
          <t>configuration E</t>
        </is>
      </c>
      <c r="B166" t="inlineStr">
        <is>
          <t>Co-occurrence matrix (3D, merged)</t>
        </is>
      </c>
      <c r="C166" t="inlineStr">
        <is>
          <t>Joint maximum</t>
        </is>
      </c>
      <c r="E166" t="inlineStr">
        <is>
          <t>&lt; 3</t>
        </is>
      </c>
      <c r="H166" s="4" t="n"/>
      <c r="I166" s="4">
        <f>IFERROR(IF(NOT(H166=""),ABS(ROUNDDOWN(F166-H166, 3 - (1+INT(LOG10(ABS(F166)))))),""),IF(AND(F166=0,NOT(F166="")),ABS(ROUNDDOWN(F166-H166,0)),""))</f>
        <v/>
      </c>
      <c r="J166" s="4">
        <f>IF(NOT(I166=""),IF(I166&lt;=G166,"match",IF(I166&lt;3*G166,"partial match","no match")),"")</f>
        <v/>
      </c>
      <c r="K166" t="inlineStr">
        <is>
          <t>cm_joint_max_3D_comb</t>
        </is>
      </c>
    </row>
    <row r="167" ht="15" customHeight="1" s="10">
      <c r="A167" t="inlineStr">
        <is>
          <t>configuration E</t>
        </is>
      </c>
      <c r="B167" t="inlineStr">
        <is>
          <t>Co-occurrence matrix (3D, merged)</t>
        </is>
      </c>
      <c r="C167" t="inlineStr">
        <is>
          <t>Joint average</t>
        </is>
      </c>
      <c r="E167" t="inlineStr">
        <is>
          <t>&lt; 3</t>
        </is>
      </c>
      <c r="H167" s="4" t="n"/>
      <c r="I167" s="4">
        <f>IFERROR(IF(NOT(H167=""),ABS(ROUNDDOWN(F167-H167, 3 - (1+INT(LOG10(ABS(F167)))))),""),IF(AND(F167=0,NOT(F167="")),ABS(ROUNDDOWN(F167-H167,0)),""))</f>
        <v/>
      </c>
      <c r="J167" s="4">
        <f>IF(NOT(I167=""),IF(I167&lt;=G167,"match",IF(I167&lt;3*G167,"partial match","no match")),"")</f>
        <v/>
      </c>
      <c r="K167" t="inlineStr">
        <is>
          <t>cm_joint_avg_3D_comb</t>
        </is>
      </c>
    </row>
    <row r="168" ht="15" customHeight="1" s="10">
      <c r="A168" t="inlineStr">
        <is>
          <t>configuration E</t>
        </is>
      </c>
      <c r="B168" t="inlineStr">
        <is>
          <t>Co-occurrence matrix (3D, merged)</t>
        </is>
      </c>
      <c r="C168" t="inlineStr">
        <is>
          <t>Joint variance</t>
        </is>
      </c>
      <c r="E168" t="inlineStr">
        <is>
          <t>&lt; 3</t>
        </is>
      </c>
      <c r="H168" s="4" t="n"/>
      <c r="I168" s="4">
        <f>IFERROR(IF(NOT(H168=""),ABS(ROUNDDOWN(F168-H168, 3 - (1+INT(LOG10(ABS(F168)))))),""),IF(AND(F168=0,NOT(F168="")),ABS(ROUNDDOWN(F168-H168,0)),""))</f>
        <v/>
      </c>
      <c r="J168" s="4">
        <f>IF(NOT(I168=""),IF(I168&lt;=G168,"match",IF(I168&lt;3*G168,"partial match","no match")),"")</f>
        <v/>
      </c>
      <c r="K168" t="inlineStr">
        <is>
          <t>cm_joint_var_3D_comb</t>
        </is>
      </c>
    </row>
    <row r="169" ht="15" customHeight="1" s="10">
      <c r="A169" t="inlineStr">
        <is>
          <t>configuration E</t>
        </is>
      </c>
      <c r="B169" t="inlineStr">
        <is>
          <t>Co-occurrence matrix (3D, merged)</t>
        </is>
      </c>
      <c r="C169" t="inlineStr">
        <is>
          <t>Joint entropy</t>
        </is>
      </c>
      <c r="E169" t="inlineStr">
        <is>
          <t>&lt; 3</t>
        </is>
      </c>
      <c r="H169" s="4" t="n"/>
      <c r="I169" s="4">
        <f>IFERROR(IF(NOT(H169=""),ABS(ROUNDDOWN(F169-H169, 3 - (1+INT(LOG10(ABS(F169)))))),""),IF(AND(F169=0,NOT(F169="")),ABS(ROUNDDOWN(F169-H169,0)),""))</f>
        <v/>
      </c>
      <c r="J169" s="4">
        <f>IF(NOT(I169=""),IF(I169&lt;=G169,"match",IF(I169&lt;3*G169,"partial match","no match")),"")</f>
        <v/>
      </c>
      <c r="K169" t="inlineStr">
        <is>
          <t>cm_joint_entr_3D_comb</t>
        </is>
      </c>
    </row>
    <row r="170" ht="15" customHeight="1" s="10">
      <c r="A170" t="inlineStr">
        <is>
          <t>configuration E</t>
        </is>
      </c>
      <c r="B170" t="inlineStr">
        <is>
          <t>Co-occurrence matrix (3D, merged)</t>
        </is>
      </c>
      <c r="C170" t="inlineStr">
        <is>
          <t>Difference average</t>
        </is>
      </c>
      <c r="E170" t="inlineStr">
        <is>
          <t>&lt; 3</t>
        </is>
      </c>
      <c r="H170" s="4" t="n"/>
      <c r="I170" s="4">
        <f>IFERROR(IF(NOT(H170=""),ABS(ROUNDDOWN(F170-H170, 3 - (1+INT(LOG10(ABS(F170)))))),""),IF(AND(F170=0,NOT(F170="")),ABS(ROUNDDOWN(F170-H170,0)),""))</f>
        <v/>
      </c>
      <c r="J170" s="4">
        <f>IF(NOT(I170=""),IF(I170&lt;=G170,"match",IF(I170&lt;3*G170,"partial match","no match")),"")</f>
        <v/>
      </c>
      <c r="K170" t="inlineStr">
        <is>
          <t>cm_diff_avg_3D_comb</t>
        </is>
      </c>
    </row>
    <row r="171" ht="15" customHeight="1" s="10">
      <c r="A171" t="inlineStr">
        <is>
          <t>configuration E</t>
        </is>
      </c>
      <c r="B171" t="inlineStr">
        <is>
          <t>Co-occurrence matrix (3D, merged)</t>
        </is>
      </c>
      <c r="C171" t="inlineStr">
        <is>
          <t>Difference variance</t>
        </is>
      </c>
      <c r="E171" t="inlineStr">
        <is>
          <t>&lt; 3</t>
        </is>
      </c>
      <c r="H171" s="4" t="n"/>
      <c r="I171" s="4">
        <f>IFERROR(IF(NOT(H171=""),ABS(ROUNDDOWN(F171-H171, 3 - (1+INT(LOG10(ABS(F171)))))),""),IF(AND(F171=0,NOT(F171="")),ABS(ROUNDDOWN(F171-H171,0)),""))</f>
        <v/>
      </c>
      <c r="J171" s="4">
        <f>IF(NOT(I171=""),IF(I171&lt;=G171,"match",IF(I171&lt;3*G171,"partial match","no match")),"")</f>
        <v/>
      </c>
      <c r="K171" t="inlineStr">
        <is>
          <t>cm_diff_var_3D_comb</t>
        </is>
      </c>
    </row>
    <row r="172" ht="15" customHeight="1" s="10">
      <c r="A172" t="inlineStr">
        <is>
          <t>configuration E</t>
        </is>
      </c>
      <c r="B172" t="inlineStr">
        <is>
          <t>Co-occurrence matrix (3D, merged)</t>
        </is>
      </c>
      <c r="C172" t="inlineStr">
        <is>
          <t>Difference entropy</t>
        </is>
      </c>
      <c r="E172" t="inlineStr">
        <is>
          <t>&lt; 3</t>
        </is>
      </c>
      <c r="H172" s="4" t="n"/>
      <c r="I172" s="4">
        <f>IFERROR(IF(NOT(H172=""),ABS(ROUNDDOWN(F172-H172, 3 - (1+INT(LOG10(ABS(F172)))))),""),IF(AND(F172=0,NOT(F172="")),ABS(ROUNDDOWN(F172-H172,0)),""))</f>
        <v/>
      </c>
      <c r="J172" s="4">
        <f>IF(NOT(I172=""),IF(I172&lt;=G172,"match",IF(I172&lt;3*G172,"partial match","no match")),"")</f>
        <v/>
      </c>
      <c r="K172" t="inlineStr">
        <is>
          <t>cm_diff_entr_3D_comb</t>
        </is>
      </c>
    </row>
    <row r="173" ht="15" customHeight="1" s="10">
      <c r="A173" t="inlineStr">
        <is>
          <t>configuration E</t>
        </is>
      </c>
      <c r="B173" t="inlineStr">
        <is>
          <t>Co-occurrence matrix (3D, merged)</t>
        </is>
      </c>
      <c r="C173" t="inlineStr">
        <is>
          <t>Sum average</t>
        </is>
      </c>
      <c r="E173" t="inlineStr">
        <is>
          <t>&lt; 3</t>
        </is>
      </c>
      <c r="H173" s="4" t="n"/>
      <c r="I173" s="4">
        <f>IFERROR(IF(NOT(H173=""),ABS(ROUNDDOWN(F173-H173, 3 - (1+INT(LOG10(ABS(F173)))))),""),IF(AND(F173=0,NOT(F173="")),ABS(ROUNDDOWN(F173-H173,0)),""))</f>
        <v/>
      </c>
      <c r="J173" s="4">
        <f>IF(NOT(I173=""),IF(I173&lt;=G173,"match",IF(I173&lt;3*G173,"partial match","no match")),"")</f>
        <v/>
      </c>
      <c r="K173" t="inlineStr">
        <is>
          <t>cm_sum_avg_3D_comb</t>
        </is>
      </c>
    </row>
    <row r="174" ht="15" customHeight="1" s="10">
      <c r="A174" t="inlineStr">
        <is>
          <t>configuration E</t>
        </is>
      </c>
      <c r="B174" t="inlineStr">
        <is>
          <t>Co-occurrence matrix (3D, merged)</t>
        </is>
      </c>
      <c r="C174" t="inlineStr">
        <is>
          <t>Sum variance</t>
        </is>
      </c>
      <c r="E174" t="inlineStr">
        <is>
          <t>&lt; 3</t>
        </is>
      </c>
      <c r="H174" s="4" t="n"/>
      <c r="I174" s="4">
        <f>IFERROR(IF(NOT(H174=""),ABS(ROUNDDOWN(F174-H174, 3 - (1+INT(LOG10(ABS(F174)))))),""),IF(AND(F174=0,NOT(F174="")),ABS(ROUNDDOWN(F174-H174,0)),""))</f>
        <v/>
      </c>
      <c r="J174" s="4">
        <f>IF(NOT(I174=""),IF(I174&lt;=G174,"match",IF(I174&lt;3*G174,"partial match","no match")),"")</f>
        <v/>
      </c>
      <c r="K174" t="inlineStr">
        <is>
          <t>cm_sum_var_3D_comb</t>
        </is>
      </c>
    </row>
    <row r="175" ht="15" customHeight="1" s="10">
      <c r="A175" t="inlineStr">
        <is>
          <t>configuration E</t>
        </is>
      </c>
      <c r="B175" t="inlineStr">
        <is>
          <t>Co-occurrence matrix (3D, merged)</t>
        </is>
      </c>
      <c r="C175" t="inlineStr">
        <is>
          <t>Sum entropy</t>
        </is>
      </c>
      <c r="E175" t="inlineStr">
        <is>
          <t>&lt; 3</t>
        </is>
      </c>
      <c r="H175" s="4" t="n"/>
      <c r="I175" s="4">
        <f>IFERROR(IF(NOT(H175=""),ABS(ROUNDDOWN(F175-H175, 3 - (1+INT(LOG10(ABS(F175)))))),""),IF(AND(F175=0,NOT(F175="")),ABS(ROUNDDOWN(F175-H175,0)),""))</f>
        <v/>
      </c>
      <c r="J175" s="4">
        <f>IF(NOT(I175=""),IF(I175&lt;=G175,"match",IF(I175&lt;3*G175,"partial match","no match")),"")</f>
        <v/>
      </c>
      <c r="K175" t="inlineStr">
        <is>
          <t>cm_sum_entr_3D_comb</t>
        </is>
      </c>
    </row>
    <row r="176" ht="15" customHeight="1" s="10">
      <c r="A176" t="inlineStr">
        <is>
          <t>configuration E</t>
        </is>
      </c>
      <c r="B176" t="inlineStr">
        <is>
          <t>Co-occurrence matrix (3D, merged)</t>
        </is>
      </c>
      <c r="C176" t="inlineStr">
        <is>
          <t>Angular second moment</t>
        </is>
      </c>
      <c r="E176" t="inlineStr">
        <is>
          <t>&lt; 3</t>
        </is>
      </c>
      <c r="H176" s="4" t="n"/>
      <c r="I176" s="4">
        <f>IFERROR(IF(NOT(H176=""),ABS(ROUNDDOWN(F176-H176, 3 - (1+INT(LOG10(ABS(F176)))))),""),IF(AND(F176=0,NOT(F176="")),ABS(ROUNDDOWN(F176-H176,0)),""))</f>
        <v/>
      </c>
      <c r="J176" s="4">
        <f>IF(NOT(I176=""),IF(I176&lt;=G176,"match",IF(I176&lt;3*G176,"partial match","no match")),"")</f>
        <v/>
      </c>
      <c r="K176" t="inlineStr">
        <is>
          <t>cm_energy_3D_comb</t>
        </is>
      </c>
    </row>
    <row r="177" ht="15" customHeight="1" s="10">
      <c r="A177" t="inlineStr">
        <is>
          <t>configuration E</t>
        </is>
      </c>
      <c r="B177" t="inlineStr">
        <is>
          <t>Co-occurrence matrix (3D, merged)</t>
        </is>
      </c>
      <c r="C177" t="inlineStr">
        <is>
          <t>Contrast</t>
        </is>
      </c>
      <c r="E177" t="inlineStr">
        <is>
          <t>&lt; 3</t>
        </is>
      </c>
      <c r="H177" s="4" t="n"/>
      <c r="I177" s="4">
        <f>IFERROR(IF(NOT(H177=""),ABS(ROUNDDOWN(F177-H177, 3 - (1+INT(LOG10(ABS(F177)))))),""),IF(AND(F177=0,NOT(F177="")),ABS(ROUNDDOWN(F177-H177,0)),""))</f>
        <v/>
      </c>
      <c r="J177" s="4">
        <f>IF(NOT(I177=""),IF(I177&lt;=G177,"match",IF(I177&lt;3*G177,"partial match","no match")),"")</f>
        <v/>
      </c>
      <c r="K177" t="inlineStr">
        <is>
          <t>cm_contrast_3D_comb</t>
        </is>
      </c>
    </row>
    <row r="178" ht="15" customHeight="1" s="10">
      <c r="A178" t="inlineStr">
        <is>
          <t>configuration E</t>
        </is>
      </c>
      <c r="B178" t="inlineStr">
        <is>
          <t>Co-occurrence matrix (3D, merged)</t>
        </is>
      </c>
      <c r="C178" t="inlineStr">
        <is>
          <t>Dissimilarity</t>
        </is>
      </c>
      <c r="E178" t="inlineStr">
        <is>
          <t>&lt; 3</t>
        </is>
      </c>
      <c r="H178" s="4" t="n"/>
      <c r="I178" s="4">
        <f>IFERROR(IF(NOT(H178=""),ABS(ROUNDDOWN(F178-H178, 3 - (1+INT(LOG10(ABS(F178)))))),""),IF(AND(F178=0,NOT(F178="")),ABS(ROUNDDOWN(F178-H178,0)),""))</f>
        <v/>
      </c>
      <c r="J178" s="4">
        <f>IF(NOT(I178=""),IF(I178&lt;=G178,"match",IF(I178&lt;3*G178,"partial match","no match")),"")</f>
        <v/>
      </c>
      <c r="K178" t="inlineStr">
        <is>
          <t>cm_dissimilarity_3D_comb</t>
        </is>
      </c>
    </row>
    <row r="179" ht="15" customHeight="1" s="10">
      <c r="A179" t="inlineStr">
        <is>
          <t>configuration E</t>
        </is>
      </c>
      <c r="B179" t="inlineStr">
        <is>
          <t>Co-occurrence matrix (3D, merged)</t>
        </is>
      </c>
      <c r="C179" t="inlineStr">
        <is>
          <t>Inverse difference</t>
        </is>
      </c>
      <c r="E179" t="inlineStr">
        <is>
          <t>&lt; 3</t>
        </is>
      </c>
      <c r="H179" s="4" t="n"/>
      <c r="I179" s="4">
        <f>IFERROR(IF(NOT(H179=""),ABS(ROUNDDOWN(F179-H179, 3 - (1+INT(LOG10(ABS(F179)))))),""),IF(AND(F179=0,NOT(F179="")),ABS(ROUNDDOWN(F179-H179,0)),""))</f>
        <v/>
      </c>
      <c r="J179" s="4">
        <f>IF(NOT(I179=""),IF(I179&lt;=G179,"match",IF(I179&lt;3*G179,"partial match","no match")),"")</f>
        <v/>
      </c>
      <c r="K179" t="inlineStr">
        <is>
          <t>cm_inv_diff_3D_comb</t>
        </is>
      </c>
    </row>
    <row r="180" ht="15" customHeight="1" s="10">
      <c r="A180" t="inlineStr">
        <is>
          <t>configuration E</t>
        </is>
      </c>
      <c r="B180" t="inlineStr">
        <is>
          <t>Co-occurrence matrix (3D, merged)</t>
        </is>
      </c>
      <c r="C180" t="inlineStr">
        <is>
          <t>Inverse difference normalised</t>
        </is>
      </c>
      <c r="E180" t="inlineStr">
        <is>
          <t>&lt; 3</t>
        </is>
      </c>
      <c r="H180" s="4" t="n"/>
      <c r="I180" s="4">
        <f>IFERROR(IF(NOT(H180=""),ABS(ROUNDDOWN(F180-H180, 3 - (1+INT(LOG10(ABS(F180)))))),""),IF(AND(F180=0,NOT(F180="")),ABS(ROUNDDOWN(F180-H180,0)),""))</f>
        <v/>
      </c>
      <c r="J180" s="4">
        <f>IF(NOT(I180=""),IF(I180&lt;=G180,"match",IF(I180&lt;3*G180,"partial match","no match")),"")</f>
        <v/>
      </c>
      <c r="K180" t="inlineStr">
        <is>
          <t>cm_inv_diff_norm_3D_comb</t>
        </is>
      </c>
    </row>
    <row r="181" ht="15" customHeight="1" s="10">
      <c r="A181" t="inlineStr">
        <is>
          <t>configuration E</t>
        </is>
      </c>
      <c r="B181" t="inlineStr">
        <is>
          <t>Co-occurrence matrix (3D, merged)</t>
        </is>
      </c>
      <c r="C181" t="inlineStr">
        <is>
          <t>Inverse difference moment</t>
        </is>
      </c>
      <c r="E181" t="inlineStr">
        <is>
          <t>&lt; 3</t>
        </is>
      </c>
      <c r="H181" s="4" t="n"/>
      <c r="I181" s="4">
        <f>IFERROR(IF(NOT(H181=""),ABS(ROUNDDOWN(F181-H181, 3 - (1+INT(LOG10(ABS(F181)))))),""),IF(AND(F181=0,NOT(F181="")),ABS(ROUNDDOWN(F181-H181,0)),""))</f>
        <v/>
      </c>
      <c r="J181" s="4">
        <f>IF(NOT(I181=""),IF(I181&lt;=G181,"match",IF(I181&lt;3*G181,"partial match","no match")),"")</f>
        <v/>
      </c>
      <c r="K181" t="inlineStr">
        <is>
          <t>cm_inv_diff_mom_3D_comb</t>
        </is>
      </c>
    </row>
    <row r="182" ht="15" customHeight="1" s="10">
      <c r="A182" t="inlineStr">
        <is>
          <t>configuration E</t>
        </is>
      </c>
      <c r="B182" t="inlineStr">
        <is>
          <t>Co-occurrence matrix (3D, merged)</t>
        </is>
      </c>
      <c r="C182" t="inlineStr">
        <is>
          <t>Inverse difference moment normalised</t>
        </is>
      </c>
      <c r="E182" t="inlineStr">
        <is>
          <t>&lt; 3</t>
        </is>
      </c>
      <c r="H182" s="5" t="n"/>
      <c r="I182" s="4">
        <f>IFERROR(IF(NOT(H182=""),ABS(ROUNDDOWN(F182-H182, 3 - (1+INT(LOG10(ABS(F182)))))),""),IF(AND(F182=0,NOT(F182="")),ABS(ROUNDDOWN(F182-H182,0)),""))</f>
        <v/>
      </c>
      <c r="J182" s="4">
        <f>IF(NOT(I182=""),IF(I182&lt;=G182,"match",IF(I182&lt;3*G182,"partial match","no match")),"")</f>
        <v/>
      </c>
      <c r="K182" t="inlineStr">
        <is>
          <t>cm_inv_diff_mom_norm_3D_comb</t>
        </is>
      </c>
    </row>
    <row r="183" ht="15" customHeight="1" s="10">
      <c r="A183" t="inlineStr">
        <is>
          <t>configuration E</t>
        </is>
      </c>
      <c r="B183" t="inlineStr">
        <is>
          <t>Co-occurrence matrix (3D, merged)</t>
        </is>
      </c>
      <c r="C183" t="inlineStr">
        <is>
          <t>Inverse variance</t>
        </is>
      </c>
      <c r="E183" t="inlineStr">
        <is>
          <t>&lt; 3</t>
        </is>
      </c>
      <c r="H183" s="4" t="n"/>
      <c r="I183" s="4">
        <f>IFERROR(IF(NOT(H183=""),ABS(ROUNDDOWN(F183-H183, 3 - (1+INT(LOG10(ABS(F183)))))),""),IF(AND(F183=0,NOT(F183="")),ABS(ROUNDDOWN(F183-H183,0)),""))</f>
        <v/>
      </c>
      <c r="J183" s="4">
        <f>IF(NOT(I183=""),IF(I183&lt;=G183,"match",IF(I183&lt;3*G183,"partial match","no match")),"")</f>
        <v/>
      </c>
      <c r="K183" t="inlineStr">
        <is>
          <t>cm_inv_var_3D_comb</t>
        </is>
      </c>
    </row>
    <row r="184" ht="15" customHeight="1" s="10">
      <c r="A184" t="inlineStr">
        <is>
          <t>configuration E</t>
        </is>
      </c>
      <c r="B184" t="inlineStr">
        <is>
          <t>Co-occurrence matrix (3D, merged)</t>
        </is>
      </c>
      <c r="C184" t="inlineStr">
        <is>
          <t>Correlation</t>
        </is>
      </c>
      <c r="E184" t="inlineStr">
        <is>
          <t>&lt; 3</t>
        </is>
      </c>
      <c r="H184" s="4" t="n"/>
      <c r="I184" s="4">
        <f>IFERROR(IF(NOT(H184=""),ABS(ROUNDDOWN(F184-H184, 3 - (1+INT(LOG10(ABS(F184)))))),""),IF(AND(F184=0,NOT(F184="")),ABS(ROUNDDOWN(F184-H184,0)),""))</f>
        <v/>
      </c>
      <c r="J184" s="4">
        <f>IF(NOT(I184=""),IF(I184&lt;=G184,"match",IF(I184&lt;3*G184,"partial match","no match")),"")</f>
        <v/>
      </c>
      <c r="K184" t="inlineStr">
        <is>
          <t>cm_corr_3D_comb</t>
        </is>
      </c>
    </row>
    <row r="185" ht="15" customHeight="1" s="10">
      <c r="A185" t="inlineStr">
        <is>
          <t>configuration E</t>
        </is>
      </c>
      <c r="B185" t="inlineStr">
        <is>
          <t>Co-occurrence matrix (3D, merged)</t>
        </is>
      </c>
      <c r="C185" t="inlineStr">
        <is>
          <t>Autocorrelation</t>
        </is>
      </c>
      <c r="E185" t="inlineStr">
        <is>
          <t>&lt; 3</t>
        </is>
      </c>
      <c r="H185" s="4" t="n"/>
      <c r="I185" s="4">
        <f>IFERROR(IF(NOT(H185=""),ABS(ROUNDDOWN(F185-H185, 3 - (1+INT(LOG10(ABS(F185)))))),""),IF(AND(F185=0,NOT(F185="")),ABS(ROUNDDOWN(F185-H185,0)),""))</f>
        <v/>
      </c>
      <c r="J185" s="4">
        <f>IF(NOT(I185=""),IF(I185&lt;=G185,"match",IF(I185&lt;3*G185,"partial match","no match")),"")</f>
        <v/>
      </c>
      <c r="K185" t="inlineStr">
        <is>
          <t>cm_auto_corr_3D_comb</t>
        </is>
      </c>
    </row>
    <row r="186" ht="15" customHeight="1" s="10">
      <c r="A186" t="inlineStr">
        <is>
          <t>configuration E</t>
        </is>
      </c>
      <c r="B186" t="inlineStr">
        <is>
          <t>Co-occurrence matrix (3D, merged)</t>
        </is>
      </c>
      <c r="C186" t="inlineStr">
        <is>
          <t>Cluster tendency</t>
        </is>
      </c>
      <c r="E186" t="inlineStr">
        <is>
          <t>&lt; 3</t>
        </is>
      </c>
      <c r="H186" s="4" t="n"/>
      <c r="I186" s="4">
        <f>IFERROR(IF(NOT(H186=""),ABS(ROUNDDOWN(F186-H186, 3 - (1+INT(LOG10(ABS(F186)))))),""),IF(AND(F186=0,NOT(F186="")),ABS(ROUNDDOWN(F186-H186,0)),""))</f>
        <v/>
      </c>
      <c r="J186" s="4">
        <f>IF(NOT(I186=""),IF(I186&lt;=G186,"match",IF(I186&lt;3*G186,"partial match","no match")),"")</f>
        <v/>
      </c>
      <c r="K186" t="inlineStr">
        <is>
          <t>cm_clust_tend_3D_comb</t>
        </is>
      </c>
    </row>
    <row r="187" ht="15" customHeight="1" s="10">
      <c r="A187" t="inlineStr">
        <is>
          <t>configuration E</t>
        </is>
      </c>
      <c r="B187" t="inlineStr">
        <is>
          <t>Co-occurrence matrix (3D, merged)</t>
        </is>
      </c>
      <c r="C187" t="inlineStr">
        <is>
          <t>Cluster shade</t>
        </is>
      </c>
      <c r="E187" t="inlineStr">
        <is>
          <t>&lt; 3</t>
        </is>
      </c>
      <c r="H187" s="4" t="n"/>
      <c r="I187" s="4">
        <f>IFERROR(IF(NOT(H187=""),ABS(ROUNDDOWN(F187-H187, 3 - (1+INT(LOG10(ABS(F187)))))),""),IF(AND(F187=0,NOT(F187="")),ABS(ROUNDDOWN(F187-H187,0)),""))</f>
        <v/>
      </c>
      <c r="J187" s="4">
        <f>IF(NOT(I187=""),IF(I187&lt;=G187,"match",IF(I187&lt;3*G187,"partial match","no match")),"")</f>
        <v/>
      </c>
      <c r="K187" t="inlineStr">
        <is>
          <t>cm_clust_shade_3D_comb</t>
        </is>
      </c>
    </row>
    <row r="188" ht="15" customHeight="1" s="10">
      <c r="A188" t="inlineStr">
        <is>
          <t>configuration E</t>
        </is>
      </c>
      <c r="B188" t="inlineStr">
        <is>
          <t>Co-occurrence matrix (3D, merged)</t>
        </is>
      </c>
      <c r="C188" t="inlineStr">
        <is>
          <t>Cluster prominence</t>
        </is>
      </c>
      <c r="E188" t="inlineStr">
        <is>
          <t>&lt; 3</t>
        </is>
      </c>
      <c r="H188" s="4" t="n"/>
      <c r="I188" s="4">
        <f>IFERROR(IF(NOT(H188=""),ABS(ROUNDDOWN(F188-H188, 3 - (1+INT(LOG10(ABS(F188)))))),""),IF(AND(F188=0,NOT(F188="")),ABS(ROUNDDOWN(F188-H188,0)),""))</f>
        <v/>
      </c>
      <c r="J188" s="4">
        <f>IF(NOT(I188=""),IF(I188&lt;=G188,"match",IF(I188&lt;3*G188,"partial match","no match")),"")</f>
        <v/>
      </c>
      <c r="K188" t="inlineStr">
        <is>
          <t>cm_clust_prom_3D_comb</t>
        </is>
      </c>
    </row>
    <row r="189" ht="15" customHeight="1" s="10">
      <c r="A189" t="inlineStr">
        <is>
          <t>configuration E</t>
        </is>
      </c>
      <c r="B189" t="inlineStr">
        <is>
          <t>Co-occurrence matrix (3D, merged)</t>
        </is>
      </c>
      <c r="C189" t="inlineStr">
        <is>
          <t>Information correlation 1</t>
        </is>
      </c>
      <c r="E189" t="inlineStr">
        <is>
          <t>&lt; 3</t>
        </is>
      </c>
      <c r="H189" s="4" t="n"/>
      <c r="I189" s="4">
        <f>IFERROR(IF(NOT(H189=""),ABS(ROUNDDOWN(F189-H189, 3 - (1+INT(LOG10(ABS(F189)))))),""),IF(AND(F189=0,NOT(F189="")),ABS(ROUNDDOWN(F189-H189,0)),""))</f>
        <v/>
      </c>
      <c r="J189" s="4">
        <f>IF(NOT(I189=""),IF(I189&lt;=G189,"match",IF(I189&lt;3*G189,"partial match","no match")),"")</f>
        <v/>
      </c>
      <c r="K189" t="inlineStr">
        <is>
          <t>cm_info_corr1_3D_comb</t>
        </is>
      </c>
    </row>
    <row r="190" ht="15" customHeight="1" s="10">
      <c r="A190" t="inlineStr">
        <is>
          <t>configuration E</t>
        </is>
      </c>
      <c r="B190" t="inlineStr">
        <is>
          <t>Co-occurrence matrix (3D, merged)</t>
        </is>
      </c>
      <c r="C190" t="inlineStr">
        <is>
          <t>Information correlation 2</t>
        </is>
      </c>
      <c r="E190" t="inlineStr">
        <is>
          <t>&lt; 3</t>
        </is>
      </c>
      <c r="H190" s="4" t="n"/>
      <c r="I190" s="4">
        <f>IFERROR(IF(NOT(H190=""),ABS(ROUNDDOWN(F190-H190, 3 - (1+INT(LOG10(ABS(F190)))))),""),IF(AND(F190=0,NOT(F190="")),ABS(ROUNDDOWN(F190-H190,0)),""))</f>
        <v/>
      </c>
      <c r="J190" s="4">
        <f>IF(NOT(I190=""),IF(I190&lt;=G190,"match",IF(I190&lt;3*G190,"partial match","no match")),"")</f>
        <v/>
      </c>
      <c r="K190" t="inlineStr">
        <is>
          <t>cm_info_corr2_3D_comb</t>
        </is>
      </c>
    </row>
    <row r="191" ht="15" customHeight="1" s="10">
      <c r="A191" t="inlineStr">
        <is>
          <t>configuration E</t>
        </is>
      </c>
      <c r="B191" t="inlineStr">
        <is>
          <t>Run length matrix (3D, averaged)</t>
        </is>
      </c>
      <c r="C191" t="inlineStr">
        <is>
          <t>Short runs emphasis</t>
        </is>
      </c>
      <c r="E191" t="inlineStr">
        <is>
          <t>&lt; 3</t>
        </is>
      </c>
      <c r="H191" s="4" t="n"/>
      <c r="I191" s="4">
        <f>IFERROR(IF(NOT(H191=""),ABS(ROUNDDOWN(F191-H191, 3 - (1+INT(LOG10(ABS(F191)))))),""),IF(AND(F191=0,NOT(F191="")),ABS(ROUNDDOWN(F191-H191,0)),""))</f>
        <v/>
      </c>
      <c r="J191" s="4">
        <f>IF(NOT(I191=""),IF(I191&lt;=G191,"match",IF(I191&lt;3*G191,"partial match","no match")),"")</f>
        <v/>
      </c>
      <c r="K191" t="inlineStr">
        <is>
          <t>rlm_sre_3D_avg</t>
        </is>
      </c>
    </row>
    <row r="192" ht="15" customHeight="1" s="10">
      <c r="A192" t="inlineStr">
        <is>
          <t>configuration E</t>
        </is>
      </c>
      <c r="B192" t="inlineStr">
        <is>
          <t>Run length matrix (3D, averaged)</t>
        </is>
      </c>
      <c r="C192" t="inlineStr">
        <is>
          <t>Long runs emphasis</t>
        </is>
      </c>
      <c r="E192" t="inlineStr">
        <is>
          <t>&lt; 3</t>
        </is>
      </c>
      <c r="H192" s="4" t="n"/>
      <c r="I192" s="4">
        <f>IFERROR(IF(NOT(H192=""),ABS(ROUNDDOWN(F192-H192, 3 - (1+INT(LOG10(ABS(F192)))))),""),IF(AND(F192=0,NOT(F192="")),ABS(ROUNDDOWN(F192-H192,0)),""))</f>
        <v/>
      </c>
      <c r="J192" s="4">
        <f>IF(NOT(I192=""),IF(I192&lt;=G192,"match",IF(I192&lt;3*G192,"partial match","no match")),"")</f>
        <v/>
      </c>
      <c r="K192" t="inlineStr">
        <is>
          <t>rlm_lre_3D_avg</t>
        </is>
      </c>
    </row>
    <row r="193" ht="15" customHeight="1" s="10">
      <c r="A193" t="inlineStr">
        <is>
          <t>configuration E</t>
        </is>
      </c>
      <c r="B193" t="inlineStr">
        <is>
          <t>Run length matrix (3D, averaged)</t>
        </is>
      </c>
      <c r="C193" t="inlineStr">
        <is>
          <t>Low grey level run emphasis</t>
        </is>
      </c>
      <c r="E193" t="inlineStr">
        <is>
          <t>&lt; 3</t>
        </is>
      </c>
      <c r="H193" s="4" t="n"/>
      <c r="I193" s="4">
        <f>IFERROR(IF(NOT(H193=""),ABS(ROUNDDOWN(F193-H193, 3 - (1+INT(LOG10(ABS(F193)))))),""),IF(AND(F193=0,NOT(F193="")),ABS(ROUNDDOWN(F193-H193,0)),""))</f>
        <v/>
      </c>
      <c r="J193" s="4">
        <f>IF(NOT(I193=""),IF(I193&lt;=G193,"match",IF(I193&lt;3*G193,"partial match","no match")),"")</f>
        <v/>
      </c>
      <c r="K193" t="inlineStr">
        <is>
          <t>rlm_lgre_3D_avg</t>
        </is>
      </c>
    </row>
    <row r="194" ht="15" customHeight="1" s="10">
      <c r="A194" t="inlineStr">
        <is>
          <t>configuration E</t>
        </is>
      </c>
      <c r="B194" t="inlineStr">
        <is>
          <t>Run length matrix (3D, averaged)</t>
        </is>
      </c>
      <c r="C194" t="inlineStr">
        <is>
          <t>High grey level run emphasis</t>
        </is>
      </c>
      <c r="E194" t="inlineStr">
        <is>
          <t>&lt; 3</t>
        </is>
      </c>
      <c r="H194" s="4" t="n"/>
      <c r="I194" s="4">
        <f>IFERROR(IF(NOT(H194=""),ABS(ROUNDDOWN(F194-H194, 3 - (1+INT(LOG10(ABS(F194)))))),""),IF(AND(F194=0,NOT(F194="")),ABS(ROUNDDOWN(F194-H194,0)),""))</f>
        <v/>
      </c>
      <c r="J194" s="4">
        <f>IF(NOT(I194=""),IF(I194&lt;=G194,"match",IF(I194&lt;3*G194,"partial match","no match")),"")</f>
        <v/>
      </c>
      <c r="K194" t="inlineStr">
        <is>
          <t>rlm_hgre_3D_avg</t>
        </is>
      </c>
    </row>
    <row r="195" ht="15" customHeight="1" s="10">
      <c r="A195" t="inlineStr">
        <is>
          <t>configuration E</t>
        </is>
      </c>
      <c r="B195" t="inlineStr">
        <is>
          <t>Run length matrix (3D, averaged)</t>
        </is>
      </c>
      <c r="C195" t="inlineStr">
        <is>
          <t>Short run low grey level emphasis</t>
        </is>
      </c>
      <c r="E195" t="inlineStr">
        <is>
          <t>&lt; 3</t>
        </is>
      </c>
      <c r="H195" s="4" t="n"/>
      <c r="I195" s="4">
        <f>IFERROR(IF(NOT(H195=""),ABS(ROUNDDOWN(F195-H195, 3 - (1+INT(LOG10(ABS(F195)))))),""),IF(AND(F195=0,NOT(F195="")),ABS(ROUNDDOWN(F195-H195,0)),""))</f>
        <v/>
      </c>
      <c r="J195" s="4">
        <f>IF(NOT(I195=""),IF(I195&lt;=G195,"match",IF(I195&lt;3*G195,"partial match","no match")),"")</f>
        <v/>
      </c>
      <c r="K195" t="inlineStr">
        <is>
          <t>rlm_srlge_3D_avg</t>
        </is>
      </c>
    </row>
    <row r="196" ht="15" customHeight="1" s="10">
      <c r="A196" t="inlineStr">
        <is>
          <t>configuration E</t>
        </is>
      </c>
      <c r="B196" t="inlineStr">
        <is>
          <t>Run length matrix (3D, averaged)</t>
        </is>
      </c>
      <c r="C196" t="inlineStr">
        <is>
          <t>Short run high grey level emphasis</t>
        </is>
      </c>
      <c r="E196" t="inlineStr">
        <is>
          <t>&lt; 3</t>
        </is>
      </c>
      <c r="H196" s="4" t="n"/>
      <c r="I196" s="4">
        <f>IFERROR(IF(NOT(H196=""),ABS(ROUNDDOWN(F196-H196, 3 - (1+INT(LOG10(ABS(F196)))))),""),IF(AND(F196=0,NOT(F196="")),ABS(ROUNDDOWN(F196-H196,0)),""))</f>
        <v/>
      </c>
      <c r="J196" s="4">
        <f>IF(NOT(I196=""),IF(I196&lt;=G196,"match",IF(I196&lt;3*G196,"partial match","no match")),"")</f>
        <v/>
      </c>
      <c r="K196" t="inlineStr">
        <is>
          <t>rlm_srhge_3D_avg</t>
        </is>
      </c>
    </row>
    <row r="197" ht="15" customHeight="1" s="10">
      <c r="A197" t="inlineStr">
        <is>
          <t>configuration E</t>
        </is>
      </c>
      <c r="B197" t="inlineStr">
        <is>
          <t>Run length matrix (3D, averaged)</t>
        </is>
      </c>
      <c r="C197" t="inlineStr">
        <is>
          <t>Long run low grey level emphasis</t>
        </is>
      </c>
      <c r="E197" t="inlineStr">
        <is>
          <t>&lt; 3</t>
        </is>
      </c>
      <c r="H197" s="4" t="n"/>
      <c r="I197" s="4">
        <f>IFERROR(IF(NOT(H197=""),ABS(ROUNDDOWN(F197-H197, 3 - (1+INT(LOG10(ABS(F197)))))),""),IF(AND(F197=0,NOT(F197="")),ABS(ROUNDDOWN(F197-H197,0)),""))</f>
        <v/>
      </c>
      <c r="J197" s="4">
        <f>IF(NOT(I197=""),IF(I197&lt;=G197,"match",IF(I197&lt;3*G197,"partial match","no match")),"")</f>
        <v/>
      </c>
      <c r="K197" t="inlineStr">
        <is>
          <t>rlm_lrlge_3D_avg</t>
        </is>
      </c>
    </row>
    <row r="198" ht="15" customHeight="1" s="10">
      <c r="A198" t="inlineStr">
        <is>
          <t>configuration E</t>
        </is>
      </c>
      <c r="B198" t="inlineStr">
        <is>
          <t>Run length matrix (3D, averaged)</t>
        </is>
      </c>
      <c r="C198" t="inlineStr">
        <is>
          <t>Long run high grey level emphasis</t>
        </is>
      </c>
      <c r="E198" t="inlineStr">
        <is>
          <t>&lt; 3</t>
        </is>
      </c>
      <c r="H198" s="4" t="n"/>
      <c r="I198" s="4">
        <f>IFERROR(IF(NOT(H198=""),ABS(ROUNDDOWN(F198-H198, 3 - (1+INT(LOG10(ABS(F198)))))),""),IF(AND(F198=0,NOT(F198="")),ABS(ROUNDDOWN(F198-H198,0)),""))</f>
        <v/>
      </c>
      <c r="J198" s="4">
        <f>IF(NOT(I198=""),IF(I198&lt;=G198,"match",IF(I198&lt;3*G198,"partial match","no match")),"")</f>
        <v/>
      </c>
      <c r="K198" t="inlineStr">
        <is>
          <t>rlm_lrhge_3D_avg</t>
        </is>
      </c>
    </row>
    <row r="199" ht="15" customHeight="1" s="10">
      <c r="A199" t="inlineStr">
        <is>
          <t>configuration E</t>
        </is>
      </c>
      <c r="B199" t="inlineStr">
        <is>
          <t>Run length matrix (3D, averaged)</t>
        </is>
      </c>
      <c r="C199" t="inlineStr">
        <is>
          <t>Grey level non-uniformity</t>
        </is>
      </c>
      <c r="E199" t="inlineStr">
        <is>
          <t>&lt; 3</t>
        </is>
      </c>
      <c r="H199" s="4" t="n"/>
      <c r="I199" s="4">
        <f>IFERROR(IF(NOT(H199=""),ABS(ROUNDDOWN(F199-H199, 3 - (1+INT(LOG10(ABS(F199)))))),""),IF(AND(F199=0,NOT(F199="")),ABS(ROUNDDOWN(F199-H199,0)),""))</f>
        <v/>
      </c>
      <c r="J199" s="4">
        <f>IF(NOT(I199=""),IF(I199&lt;=G199,"match",IF(I199&lt;3*G199,"partial match","no match")),"")</f>
        <v/>
      </c>
      <c r="K199" t="inlineStr">
        <is>
          <t>rlm_glnu_3D_avg</t>
        </is>
      </c>
    </row>
    <row r="200" ht="15" customHeight="1" s="10">
      <c r="A200" t="inlineStr">
        <is>
          <t>configuration E</t>
        </is>
      </c>
      <c r="B200" t="inlineStr">
        <is>
          <t>Run length matrix (3D, averaged)</t>
        </is>
      </c>
      <c r="C200" t="inlineStr">
        <is>
          <t>Grey level non-uniformity normalised</t>
        </is>
      </c>
      <c r="E200" t="inlineStr">
        <is>
          <t>&lt; 3</t>
        </is>
      </c>
      <c r="H200" s="4" t="n"/>
      <c r="I200" s="4">
        <f>IFERROR(IF(NOT(H200=""),ABS(ROUNDDOWN(F200-H200, 3 - (1+INT(LOG10(ABS(F200)))))),""),IF(AND(F200=0,NOT(F200="")),ABS(ROUNDDOWN(F200-H200,0)),""))</f>
        <v/>
      </c>
      <c r="J200" s="4">
        <f>IF(NOT(I200=""),IF(I200&lt;=G200,"match",IF(I200&lt;3*G200,"partial match","no match")),"")</f>
        <v/>
      </c>
      <c r="K200" t="inlineStr">
        <is>
          <t>rlm_glnu_norm_3D_avg</t>
        </is>
      </c>
    </row>
    <row r="201" ht="15" customHeight="1" s="10">
      <c r="A201" t="inlineStr">
        <is>
          <t>configuration E</t>
        </is>
      </c>
      <c r="B201" t="inlineStr">
        <is>
          <t>Run length matrix (3D, averaged)</t>
        </is>
      </c>
      <c r="C201" t="inlineStr">
        <is>
          <t>Run length non-uniformity</t>
        </is>
      </c>
      <c r="E201" t="inlineStr">
        <is>
          <t>&lt; 3</t>
        </is>
      </c>
      <c r="H201" s="4" t="n"/>
      <c r="I201" s="4">
        <f>IFERROR(IF(NOT(H201=""),ABS(ROUNDDOWN(F201-H201, 3 - (1+INT(LOG10(ABS(F201)))))),""),IF(AND(F201=0,NOT(F201="")),ABS(ROUNDDOWN(F201-H201,0)),""))</f>
        <v/>
      </c>
      <c r="J201" s="4">
        <f>IF(NOT(I201=""),IF(I201&lt;=G201,"match",IF(I201&lt;3*G201,"partial match","no match")),"")</f>
        <v/>
      </c>
      <c r="K201" t="inlineStr">
        <is>
          <t>rlm_rlnu_3D_avg</t>
        </is>
      </c>
    </row>
    <row r="202" ht="15" customHeight="1" s="10">
      <c r="A202" t="inlineStr">
        <is>
          <t>configuration E</t>
        </is>
      </c>
      <c r="B202" t="inlineStr">
        <is>
          <t>Run length matrix (3D, averaged)</t>
        </is>
      </c>
      <c r="C202" t="inlineStr">
        <is>
          <t>Run length non-uniformity normalised</t>
        </is>
      </c>
      <c r="E202" t="inlineStr">
        <is>
          <t>&lt; 3</t>
        </is>
      </c>
      <c r="H202" s="4" t="n"/>
      <c r="I202" s="4">
        <f>IFERROR(IF(NOT(H202=""),ABS(ROUNDDOWN(F202-H202, 3 - (1+INT(LOG10(ABS(F202)))))),""),IF(AND(F202=0,NOT(F202="")),ABS(ROUNDDOWN(F202-H202,0)),""))</f>
        <v/>
      </c>
      <c r="J202" s="4">
        <f>IF(NOT(I202=""),IF(I202&lt;=G202,"match",IF(I202&lt;3*G202,"partial match","no match")),"")</f>
        <v/>
      </c>
      <c r="K202" t="inlineStr">
        <is>
          <t>rlm_rlnu_norm_3D_avg</t>
        </is>
      </c>
    </row>
    <row r="203" ht="15" customHeight="1" s="10">
      <c r="A203" t="inlineStr">
        <is>
          <t>configuration E</t>
        </is>
      </c>
      <c r="B203" t="inlineStr">
        <is>
          <t>Run length matrix (3D, averaged)</t>
        </is>
      </c>
      <c r="C203" t="inlineStr">
        <is>
          <t>Run percentage</t>
        </is>
      </c>
      <c r="E203" t="inlineStr">
        <is>
          <t>&lt; 3</t>
        </is>
      </c>
      <c r="H203" s="4" t="n"/>
      <c r="I203" s="4">
        <f>IFERROR(IF(NOT(H203=""),ABS(ROUNDDOWN(F203-H203, 3 - (1+INT(LOG10(ABS(F203)))))),""),IF(AND(F203=0,NOT(F203="")),ABS(ROUNDDOWN(F203-H203,0)),""))</f>
        <v/>
      </c>
      <c r="J203" s="4">
        <f>IF(NOT(I203=""),IF(I203&lt;=G203,"match",IF(I203&lt;3*G203,"partial match","no match")),"")</f>
        <v/>
      </c>
      <c r="K203" t="inlineStr">
        <is>
          <t>rlm_r_perc_3D_avg</t>
        </is>
      </c>
    </row>
    <row r="204" ht="15" customHeight="1" s="10">
      <c r="A204" t="inlineStr">
        <is>
          <t>configuration E</t>
        </is>
      </c>
      <c r="B204" t="inlineStr">
        <is>
          <t>Run length matrix (3D, averaged)</t>
        </is>
      </c>
      <c r="C204" t="inlineStr">
        <is>
          <t>Grey level variance</t>
        </is>
      </c>
      <c r="E204" t="inlineStr">
        <is>
          <t>&lt; 3</t>
        </is>
      </c>
      <c r="H204" s="4" t="n"/>
      <c r="I204" s="4">
        <f>IFERROR(IF(NOT(H204=""),ABS(ROUNDDOWN(F204-H204, 3 - (1+INT(LOG10(ABS(F204)))))),""),IF(AND(F204=0,NOT(F204="")),ABS(ROUNDDOWN(F204-H204,0)),""))</f>
        <v/>
      </c>
      <c r="J204" s="4">
        <f>IF(NOT(I204=""),IF(I204&lt;=G204,"match",IF(I204&lt;3*G204,"partial match","no match")),"")</f>
        <v/>
      </c>
      <c r="K204" t="inlineStr">
        <is>
          <t>rlm_gl_var_3D_avg</t>
        </is>
      </c>
    </row>
    <row r="205" ht="15" customHeight="1" s="10">
      <c r="A205" t="inlineStr">
        <is>
          <t>configuration E</t>
        </is>
      </c>
      <c r="B205" t="inlineStr">
        <is>
          <t>Run length matrix (3D, averaged)</t>
        </is>
      </c>
      <c r="C205" t="inlineStr">
        <is>
          <t>Run length variance</t>
        </is>
      </c>
      <c r="E205" t="inlineStr">
        <is>
          <t>&lt; 3</t>
        </is>
      </c>
      <c r="H205" s="4" t="n"/>
      <c r="I205" s="4">
        <f>IFERROR(IF(NOT(H205=""),ABS(ROUNDDOWN(F205-H205, 3 - (1+INT(LOG10(ABS(F205)))))),""),IF(AND(F205=0,NOT(F205="")),ABS(ROUNDDOWN(F205-H205,0)),""))</f>
        <v/>
      </c>
      <c r="J205" s="4">
        <f>IF(NOT(I205=""),IF(I205&lt;=G205,"match",IF(I205&lt;3*G205,"partial match","no match")),"")</f>
        <v/>
      </c>
      <c r="K205" t="inlineStr">
        <is>
          <t>rlm_rl_var_3D_avg</t>
        </is>
      </c>
    </row>
    <row r="206" ht="15" customHeight="1" s="10">
      <c r="A206" t="inlineStr">
        <is>
          <t>configuration E</t>
        </is>
      </c>
      <c r="B206" t="inlineStr">
        <is>
          <t>Run length matrix (3D, averaged)</t>
        </is>
      </c>
      <c r="C206" t="inlineStr">
        <is>
          <t>Run entropy</t>
        </is>
      </c>
      <c r="E206" t="inlineStr">
        <is>
          <t>&lt; 3</t>
        </is>
      </c>
      <c r="H206" s="4" t="n"/>
      <c r="I206" s="4">
        <f>IFERROR(IF(NOT(H206=""),ABS(ROUNDDOWN(F206-H206, 3 - (1+INT(LOG10(ABS(F206)))))),""),IF(AND(F206=0,NOT(F206="")),ABS(ROUNDDOWN(F206-H206,0)),""))</f>
        <v/>
      </c>
      <c r="J206" s="4">
        <f>IF(NOT(I206=""),IF(I206&lt;=G206,"match",IF(I206&lt;3*G206,"partial match","no match")),"")</f>
        <v/>
      </c>
      <c r="K206" t="inlineStr">
        <is>
          <t>rlm_rl_entr_3D_avg</t>
        </is>
      </c>
    </row>
    <row r="207" ht="15" customHeight="1" s="10">
      <c r="A207" t="inlineStr">
        <is>
          <t>configuration E</t>
        </is>
      </c>
      <c r="B207" t="inlineStr">
        <is>
          <t>Run length matrix (3D, merged)</t>
        </is>
      </c>
      <c r="C207" t="inlineStr">
        <is>
          <t>Short runs emphasis</t>
        </is>
      </c>
      <c r="E207" t="inlineStr">
        <is>
          <t>&lt; 3</t>
        </is>
      </c>
      <c r="H207" s="4" t="n"/>
      <c r="I207" s="4">
        <f>IFERROR(IF(NOT(H207=""),ABS(ROUNDDOWN(F207-H207, 3 - (1+INT(LOG10(ABS(F207)))))),""),IF(AND(F207=0,NOT(F207="")),ABS(ROUNDDOWN(F207-H207,0)),""))</f>
        <v/>
      </c>
      <c r="J207" s="4">
        <f>IF(NOT(I207=""),IF(I207&lt;=G207,"match",IF(I207&lt;3*G207,"partial match","no match")),"")</f>
        <v/>
      </c>
      <c r="K207" t="inlineStr">
        <is>
          <t>rlm_sre_3D_comb</t>
        </is>
      </c>
    </row>
    <row r="208" ht="15" customHeight="1" s="10">
      <c r="A208" t="inlineStr">
        <is>
          <t>configuration E</t>
        </is>
      </c>
      <c r="B208" t="inlineStr">
        <is>
          <t>Run length matrix (3D, merged)</t>
        </is>
      </c>
      <c r="C208" t="inlineStr">
        <is>
          <t>Long runs emphasis</t>
        </is>
      </c>
      <c r="E208" t="inlineStr">
        <is>
          <t>&lt; 3</t>
        </is>
      </c>
      <c r="H208" s="4" t="n"/>
      <c r="I208" s="4">
        <f>IFERROR(IF(NOT(H208=""),ABS(ROUNDDOWN(F208-H208, 3 - (1+INT(LOG10(ABS(F208)))))),""),IF(AND(F208=0,NOT(F208="")),ABS(ROUNDDOWN(F208-H208,0)),""))</f>
        <v/>
      </c>
      <c r="J208" s="4">
        <f>IF(NOT(I208=""),IF(I208&lt;=G208,"match",IF(I208&lt;3*G208,"partial match","no match")),"")</f>
        <v/>
      </c>
      <c r="K208" t="inlineStr">
        <is>
          <t>rlm_lre_3D_comb</t>
        </is>
      </c>
    </row>
    <row r="209" ht="15" customHeight="1" s="10">
      <c r="A209" t="inlineStr">
        <is>
          <t>configuration E</t>
        </is>
      </c>
      <c r="B209" t="inlineStr">
        <is>
          <t>Run length matrix (3D, merged)</t>
        </is>
      </c>
      <c r="C209" t="inlineStr">
        <is>
          <t>Low grey level run emphasis</t>
        </is>
      </c>
      <c r="E209" t="inlineStr">
        <is>
          <t>&lt; 3</t>
        </is>
      </c>
      <c r="H209" s="4" t="n"/>
      <c r="I209" s="4">
        <f>IFERROR(IF(NOT(H209=""),ABS(ROUNDDOWN(F209-H209, 3 - (1+INT(LOG10(ABS(F209)))))),""),IF(AND(F209=0,NOT(F209="")),ABS(ROUNDDOWN(F209-H209,0)),""))</f>
        <v/>
      </c>
      <c r="J209" s="4">
        <f>IF(NOT(I209=""),IF(I209&lt;=G209,"match",IF(I209&lt;3*G209,"partial match","no match")),"")</f>
        <v/>
      </c>
      <c r="K209" t="inlineStr">
        <is>
          <t>rlm_lgre_3D_comb</t>
        </is>
      </c>
    </row>
    <row r="210" ht="15" customHeight="1" s="10">
      <c r="A210" t="inlineStr">
        <is>
          <t>configuration E</t>
        </is>
      </c>
      <c r="B210" t="inlineStr">
        <is>
          <t>Run length matrix (3D, merged)</t>
        </is>
      </c>
      <c r="C210" t="inlineStr">
        <is>
          <t>High grey level run emphasis</t>
        </is>
      </c>
      <c r="E210" t="inlineStr">
        <is>
          <t>&lt; 3</t>
        </is>
      </c>
      <c r="H210" s="4" t="n"/>
      <c r="I210" s="4">
        <f>IFERROR(IF(NOT(H210=""),ABS(ROUNDDOWN(F210-H210, 3 - (1+INT(LOG10(ABS(F210)))))),""),IF(AND(F210=0,NOT(F210="")),ABS(ROUNDDOWN(F210-H210,0)),""))</f>
        <v/>
      </c>
      <c r="J210" s="4">
        <f>IF(NOT(I210=""),IF(I210&lt;=G210,"match",IF(I210&lt;3*G210,"partial match","no match")),"")</f>
        <v/>
      </c>
      <c r="K210" t="inlineStr">
        <is>
          <t>rlm_hgre_3D_comb</t>
        </is>
      </c>
    </row>
    <row r="211" ht="15" customHeight="1" s="10">
      <c r="A211" t="inlineStr">
        <is>
          <t>configuration E</t>
        </is>
      </c>
      <c r="B211" t="inlineStr">
        <is>
          <t>Run length matrix (3D, merged)</t>
        </is>
      </c>
      <c r="C211" t="inlineStr">
        <is>
          <t>Short run low grey level emphasis</t>
        </is>
      </c>
      <c r="E211" t="inlineStr">
        <is>
          <t>&lt; 3</t>
        </is>
      </c>
      <c r="H211" s="4" t="n"/>
      <c r="I211" s="4">
        <f>IFERROR(IF(NOT(H211=""),ABS(ROUNDDOWN(F211-H211, 3 - (1+INT(LOG10(ABS(F211)))))),""),IF(AND(F211=0,NOT(F211="")),ABS(ROUNDDOWN(F211-H211,0)),""))</f>
        <v/>
      </c>
      <c r="J211" s="4">
        <f>IF(NOT(I211=""),IF(I211&lt;=G211,"match",IF(I211&lt;3*G211,"partial match","no match")),"")</f>
        <v/>
      </c>
      <c r="K211" t="inlineStr">
        <is>
          <t>rlm_srlge_3D_comb</t>
        </is>
      </c>
    </row>
    <row r="212" ht="15" customHeight="1" s="10">
      <c r="A212" t="inlineStr">
        <is>
          <t>configuration E</t>
        </is>
      </c>
      <c r="B212" t="inlineStr">
        <is>
          <t>Run length matrix (3D, merged)</t>
        </is>
      </c>
      <c r="C212" t="inlineStr">
        <is>
          <t>Short run high grey level emphasis</t>
        </is>
      </c>
      <c r="E212" t="inlineStr">
        <is>
          <t>&lt; 3</t>
        </is>
      </c>
      <c r="H212" s="4" t="n"/>
      <c r="I212" s="4">
        <f>IFERROR(IF(NOT(H212=""),ABS(ROUNDDOWN(F212-H212, 3 - (1+INT(LOG10(ABS(F212)))))),""),IF(AND(F212=0,NOT(F212="")),ABS(ROUNDDOWN(F212-H212,0)),""))</f>
        <v/>
      </c>
      <c r="J212" s="4">
        <f>IF(NOT(I212=""),IF(I212&lt;=G212,"match",IF(I212&lt;3*G212,"partial match","no match")),"")</f>
        <v/>
      </c>
      <c r="K212" t="inlineStr">
        <is>
          <t>rlm_srhge_3D_comb</t>
        </is>
      </c>
    </row>
    <row r="213" ht="15" customHeight="1" s="10">
      <c r="A213" t="inlineStr">
        <is>
          <t>configuration E</t>
        </is>
      </c>
      <c r="B213" t="inlineStr">
        <is>
          <t>Run length matrix (3D, merged)</t>
        </is>
      </c>
      <c r="C213" t="inlineStr">
        <is>
          <t>Long run low grey level emphasis</t>
        </is>
      </c>
      <c r="E213" t="inlineStr">
        <is>
          <t>&lt; 3</t>
        </is>
      </c>
      <c r="H213" s="4" t="n"/>
      <c r="I213" s="4">
        <f>IFERROR(IF(NOT(H213=""),ABS(ROUNDDOWN(F213-H213, 3 - (1+INT(LOG10(ABS(F213)))))),""),IF(AND(F213=0,NOT(F213="")),ABS(ROUNDDOWN(F213-H213,0)),""))</f>
        <v/>
      </c>
      <c r="J213" s="4">
        <f>IF(NOT(I213=""),IF(I213&lt;=G213,"match",IF(I213&lt;3*G213,"partial match","no match")),"")</f>
        <v/>
      </c>
      <c r="K213" t="inlineStr">
        <is>
          <t>rlm_lrlge_3D_comb</t>
        </is>
      </c>
    </row>
    <row r="214" ht="15" customHeight="1" s="10">
      <c r="A214" t="inlineStr">
        <is>
          <t>configuration E</t>
        </is>
      </c>
      <c r="B214" t="inlineStr">
        <is>
          <t>Run length matrix (3D, merged)</t>
        </is>
      </c>
      <c r="C214" t="inlineStr">
        <is>
          <t>Long run high grey level emphasis</t>
        </is>
      </c>
      <c r="E214" t="inlineStr">
        <is>
          <t>&lt; 3</t>
        </is>
      </c>
      <c r="H214" s="4" t="n"/>
      <c r="I214" s="4">
        <f>IFERROR(IF(NOT(H214=""),ABS(ROUNDDOWN(F214-H214, 3 - (1+INT(LOG10(ABS(F214)))))),""),IF(AND(F214=0,NOT(F214="")),ABS(ROUNDDOWN(F214-H214,0)),""))</f>
        <v/>
      </c>
      <c r="J214" s="4">
        <f>IF(NOT(I214=""),IF(I214&lt;=G214,"match",IF(I214&lt;3*G214,"partial match","no match")),"")</f>
        <v/>
      </c>
      <c r="K214" t="inlineStr">
        <is>
          <t>rlm_lrhge_3D_comb</t>
        </is>
      </c>
    </row>
    <row r="215" ht="15" customHeight="1" s="10">
      <c r="A215" t="inlineStr">
        <is>
          <t>configuration E</t>
        </is>
      </c>
      <c r="B215" t="inlineStr">
        <is>
          <t>Run length matrix (3D, merged)</t>
        </is>
      </c>
      <c r="C215" t="inlineStr">
        <is>
          <t>Grey level non-uniformity</t>
        </is>
      </c>
      <c r="E215" t="inlineStr">
        <is>
          <t>&lt; 3</t>
        </is>
      </c>
      <c r="H215" s="4" t="n"/>
      <c r="I215" s="4">
        <f>IFERROR(IF(NOT(H215=""),ABS(ROUNDDOWN(F215-H215, 3 - (1+INT(LOG10(ABS(F215)))))),""),IF(AND(F215=0,NOT(F215="")),ABS(ROUNDDOWN(F215-H215,0)),""))</f>
        <v/>
      </c>
      <c r="J215" s="4">
        <f>IF(NOT(I215=""),IF(I215&lt;=G215,"match",IF(I215&lt;3*G215,"partial match","no match")),"")</f>
        <v/>
      </c>
      <c r="K215" t="inlineStr">
        <is>
          <t>rlm_glnu_3D_comb</t>
        </is>
      </c>
    </row>
    <row r="216" ht="15" customHeight="1" s="10">
      <c r="A216" t="inlineStr">
        <is>
          <t>configuration E</t>
        </is>
      </c>
      <c r="B216" t="inlineStr">
        <is>
          <t>Run length matrix (3D, merged)</t>
        </is>
      </c>
      <c r="C216" t="inlineStr">
        <is>
          <t>Grey level non-uniformity normalised</t>
        </is>
      </c>
      <c r="E216" t="inlineStr">
        <is>
          <t>&lt; 3</t>
        </is>
      </c>
      <c r="H216" s="4" t="n"/>
      <c r="I216" s="4">
        <f>IFERROR(IF(NOT(H216=""),ABS(ROUNDDOWN(F216-H216, 3 - (1+INT(LOG10(ABS(F216)))))),""),IF(AND(F216=0,NOT(F216="")),ABS(ROUNDDOWN(F216-H216,0)),""))</f>
        <v/>
      </c>
      <c r="J216" s="4">
        <f>IF(NOT(I216=""),IF(I216&lt;=G216,"match",IF(I216&lt;3*G216,"partial match","no match")),"")</f>
        <v/>
      </c>
      <c r="K216" t="inlineStr">
        <is>
          <t>rlm_glnu_norm_3D_comb</t>
        </is>
      </c>
    </row>
    <row r="217" ht="15" customHeight="1" s="10">
      <c r="A217" t="inlineStr">
        <is>
          <t>configuration E</t>
        </is>
      </c>
      <c r="B217" t="inlineStr">
        <is>
          <t>Run length matrix (3D, merged)</t>
        </is>
      </c>
      <c r="C217" t="inlineStr">
        <is>
          <t>Run length non-uniformity</t>
        </is>
      </c>
      <c r="E217" t="inlineStr">
        <is>
          <t>&lt; 3</t>
        </is>
      </c>
      <c r="H217" s="4" t="n"/>
      <c r="I217" s="4">
        <f>IFERROR(IF(NOT(H217=""),ABS(ROUNDDOWN(F217-H217, 3 - (1+INT(LOG10(ABS(F217)))))),""),IF(AND(F217=0,NOT(F217="")),ABS(ROUNDDOWN(F217-H217,0)),""))</f>
        <v/>
      </c>
      <c r="J217" s="4">
        <f>IF(NOT(I217=""),IF(I217&lt;=G217,"match",IF(I217&lt;3*G217,"partial match","no match")),"")</f>
        <v/>
      </c>
      <c r="K217" t="inlineStr">
        <is>
          <t>rlm_rlnu_3D_comb</t>
        </is>
      </c>
    </row>
    <row r="218" ht="15" customHeight="1" s="10">
      <c r="A218" t="inlineStr">
        <is>
          <t>configuration E</t>
        </is>
      </c>
      <c r="B218" t="inlineStr">
        <is>
          <t>Run length matrix (3D, merged)</t>
        </is>
      </c>
      <c r="C218" t="inlineStr">
        <is>
          <t>Run length non-uniformity normalised</t>
        </is>
      </c>
      <c r="E218" t="inlineStr">
        <is>
          <t>&lt; 3</t>
        </is>
      </c>
      <c r="H218" s="4" t="n"/>
      <c r="I218" s="4">
        <f>IFERROR(IF(NOT(H218=""),ABS(ROUNDDOWN(F218-H218, 3 - (1+INT(LOG10(ABS(F218)))))),""),IF(AND(F218=0,NOT(F218="")),ABS(ROUNDDOWN(F218-H218,0)),""))</f>
        <v/>
      </c>
      <c r="J218" s="4">
        <f>IF(NOT(I218=""),IF(I218&lt;=G218,"match",IF(I218&lt;3*G218,"partial match","no match")),"")</f>
        <v/>
      </c>
      <c r="K218" t="inlineStr">
        <is>
          <t>rlm_rlnu_norm_3D_comb</t>
        </is>
      </c>
    </row>
    <row r="219" ht="15" customHeight="1" s="10">
      <c r="A219" t="inlineStr">
        <is>
          <t>configuration E</t>
        </is>
      </c>
      <c r="B219" t="inlineStr">
        <is>
          <t>Run length matrix (3D, merged)</t>
        </is>
      </c>
      <c r="C219" t="inlineStr">
        <is>
          <t>Run percentage</t>
        </is>
      </c>
      <c r="E219" t="inlineStr">
        <is>
          <t>&lt; 3</t>
        </is>
      </c>
      <c r="H219" s="4" t="n"/>
      <c r="I219" s="4">
        <f>IFERROR(IF(NOT(H219=""),ABS(ROUNDDOWN(F219-H219, 3 - (1+INT(LOG10(ABS(F219)))))),""),IF(AND(F219=0,NOT(F219="")),ABS(ROUNDDOWN(F219-H219,0)),""))</f>
        <v/>
      </c>
      <c r="J219" s="4">
        <f>IF(NOT(I219=""),IF(I219&lt;=G219,"match",IF(I219&lt;3*G219,"partial match","no match")),"")</f>
        <v/>
      </c>
      <c r="K219" t="inlineStr">
        <is>
          <t>rlm_r_perc_3D_comb</t>
        </is>
      </c>
    </row>
    <row r="220" ht="15" customHeight="1" s="10">
      <c r="A220" t="inlineStr">
        <is>
          <t>configuration E</t>
        </is>
      </c>
      <c r="B220" t="inlineStr">
        <is>
          <t>Run length matrix (3D, merged)</t>
        </is>
      </c>
      <c r="C220" t="inlineStr">
        <is>
          <t>Grey level variance</t>
        </is>
      </c>
      <c r="E220" t="inlineStr">
        <is>
          <t>&lt; 3</t>
        </is>
      </c>
      <c r="H220" s="4" t="n"/>
      <c r="I220" s="4">
        <f>IFERROR(IF(NOT(H220=""),ABS(ROUNDDOWN(F220-H220, 3 - (1+INT(LOG10(ABS(F220)))))),""),IF(AND(F220=0,NOT(F220="")),ABS(ROUNDDOWN(F220-H220,0)),""))</f>
        <v/>
      </c>
      <c r="J220" s="4">
        <f>IF(NOT(I220=""),IF(I220&lt;=G220,"match",IF(I220&lt;3*G220,"partial match","no match")),"")</f>
        <v/>
      </c>
      <c r="K220" t="inlineStr">
        <is>
          <t>rlm_gl_var_3D_comb</t>
        </is>
      </c>
    </row>
    <row r="221" ht="15" customHeight="1" s="10">
      <c r="A221" t="inlineStr">
        <is>
          <t>configuration E</t>
        </is>
      </c>
      <c r="B221" t="inlineStr">
        <is>
          <t>Run length matrix (3D, merged)</t>
        </is>
      </c>
      <c r="C221" t="inlineStr">
        <is>
          <t>Run length variance</t>
        </is>
      </c>
      <c r="E221" t="inlineStr">
        <is>
          <t>&lt; 3</t>
        </is>
      </c>
      <c r="H221" s="4" t="n"/>
      <c r="I221" s="4">
        <f>IFERROR(IF(NOT(H221=""),ABS(ROUNDDOWN(F221-H221, 3 - (1+INT(LOG10(ABS(F221)))))),""),IF(AND(F221=0,NOT(F221="")),ABS(ROUNDDOWN(F221-H221,0)),""))</f>
        <v/>
      </c>
      <c r="J221" s="4">
        <f>IF(NOT(I221=""),IF(I221&lt;=G221,"match",IF(I221&lt;3*G221,"partial match","no match")),"")</f>
        <v/>
      </c>
      <c r="K221" t="inlineStr">
        <is>
          <t>rlm_rl_var_3D_comb</t>
        </is>
      </c>
    </row>
    <row r="222" ht="15" customHeight="1" s="10">
      <c r="A222" t="inlineStr">
        <is>
          <t>configuration E</t>
        </is>
      </c>
      <c r="B222" t="inlineStr">
        <is>
          <t>Run length matrix (3D, merged)</t>
        </is>
      </c>
      <c r="C222" t="inlineStr">
        <is>
          <t>Run entropy</t>
        </is>
      </c>
      <c r="E222" t="inlineStr">
        <is>
          <t>&lt; 3</t>
        </is>
      </c>
      <c r="H222" s="4" t="n"/>
      <c r="I222" s="4">
        <f>IFERROR(IF(NOT(H222=""),ABS(ROUNDDOWN(F222-H222, 3 - (1+INT(LOG10(ABS(F222)))))),""),IF(AND(F222=0,NOT(F222="")),ABS(ROUNDDOWN(F222-H222,0)),""))</f>
        <v/>
      </c>
      <c r="J222" s="4">
        <f>IF(NOT(I222=""),IF(I222&lt;=G222,"match",IF(I222&lt;3*G222,"partial match","no match")),"")</f>
        <v/>
      </c>
      <c r="K222" t="inlineStr">
        <is>
          <t>rlm_rl_entr_3D_comb</t>
        </is>
      </c>
    </row>
    <row r="223" ht="15" customHeight="1" s="10">
      <c r="A223" t="inlineStr">
        <is>
          <t>configuration E</t>
        </is>
      </c>
      <c r="B223" t="inlineStr">
        <is>
          <t>Size zone matrix (3D)</t>
        </is>
      </c>
      <c r="C223" t="inlineStr">
        <is>
          <t>Small zone emphasis</t>
        </is>
      </c>
      <c r="E223" t="inlineStr">
        <is>
          <t>&lt; 3</t>
        </is>
      </c>
      <c r="H223" s="4" t="n"/>
      <c r="I223" s="4">
        <f>IFERROR(IF(NOT(H223=""),ABS(ROUNDDOWN(F223-H223, 3 - (1+INT(LOG10(ABS(F223)))))),""),IF(AND(F223=0,NOT(F223="")),ABS(ROUNDDOWN(F223-H223,0)),""))</f>
        <v/>
      </c>
      <c r="J223" s="4">
        <f>IF(NOT(I223=""),IF(I223&lt;=G223,"match",IF(I223&lt;3*G223,"partial match","no match")),"")</f>
        <v/>
      </c>
      <c r="K223" t="inlineStr">
        <is>
          <t>szm_sze_3D</t>
        </is>
      </c>
    </row>
    <row r="224" ht="15" customHeight="1" s="10">
      <c r="A224" t="inlineStr">
        <is>
          <t>configuration E</t>
        </is>
      </c>
      <c r="B224" t="inlineStr">
        <is>
          <t>Size zone matrix (3D)</t>
        </is>
      </c>
      <c r="C224" t="inlineStr">
        <is>
          <t>Large zone emphasis</t>
        </is>
      </c>
      <c r="E224" t="inlineStr">
        <is>
          <t>&lt; 3</t>
        </is>
      </c>
      <c r="H224" s="4" t="n"/>
      <c r="I224" s="4">
        <f>IFERROR(IF(NOT(H224=""),ABS(ROUNDDOWN(F224-H224, 3 - (1+INT(LOG10(ABS(F224)))))),""),IF(AND(F224=0,NOT(F224="")),ABS(ROUNDDOWN(F224-H224,0)),""))</f>
        <v/>
      </c>
      <c r="J224" s="4">
        <f>IF(NOT(I224=""),IF(I224&lt;=G224,"match",IF(I224&lt;3*G224,"partial match","no match")),"")</f>
        <v/>
      </c>
      <c r="K224" t="inlineStr">
        <is>
          <t>szm_lze_3D</t>
        </is>
      </c>
    </row>
    <row r="225" ht="15" customHeight="1" s="10">
      <c r="A225" t="inlineStr">
        <is>
          <t>configuration E</t>
        </is>
      </c>
      <c r="B225" t="inlineStr">
        <is>
          <t>Size zone matrix (3D)</t>
        </is>
      </c>
      <c r="C225" t="inlineStr">
        <is>
          <t>Low grey level emphasis</t>
        </is>
      </c>
      <c r="E225" t="inlineStr">
        <is>
          <t>&lt; 3</t>
        </is>
      </c>
      <c r="H225" s="4" t="n"/>
      <c r="I225" s="4">
        <f>IFERROR(IF(NOT(H225=""),ABS(ROUNDDOWN(F225-H225, 3 - (1+INT(LOG10(ABS(F225)))))),""),IF(AND(F225=0,NOT(F225="")),ABS(ROUNDDOWN(F225-H225,0)),""))</f>
        <v/>
      </c>
      <c r="J225" s="4">
        <f>IF(NOT(I225=""),IF(I225&lt;=G225,"match",IF(I225&lt;3*G225,"partial match","no match")),"")</f>
        <v/>
      </c>
      <c r="K225" t="inlineStr">
        <is>
          <t>szm_lgze_3D</t>
        </is>
      </c>
    </row>
    <row r="226" ht="15" customHeight="1" s="10">
      <c r="A226" t="inlineStr">
        <is>
          <t>configuration E</t>
        </is>
      </c>
      <c r="B226" t="inlineStr">
        <is>
          <t>Size zone matrix (3D)</t>
        </is>
      </c>
      <c r="C226" t="inlineStr">
        <is>
          <t>High grey level emphasis</t>
        </is>
      </c>
      <c r="E226" t="inlineStr">
        <is>
          <t>&lt; 3</t>
        </is>
      </c>
      <c r="H226" s="4" t="n"/>
      <c r="I226" s="4">
        <f>IFERROR(IF(NOT(H226=""),ABS(ROUNDDOWN(F226-H226, 3 - (1+INT(LOG10(ABS(F226)))))),""),IF(AND(F226=0,NOT(F226="")),ABS(ROUNDDOWN(F226-H226,0)),""))</f>
        <v/>
      </c>
      <c r="J226" s="4">
        <f>IF(NOT(I226=""),IF(I226&lt;=G226,"match",IF(I226&lt;3*G226,"partial match","no match")),"")</f>
        <v/>
      </c>
      <c r="K226" t="inlineStr">
        <is>
          <t>szm_hgze_3D</t>
        </is>
      </c>
    </row>
    <row r="227" ht="15" customHeight="1" s="10">
      <c r="A227" t="inlineStr">
        <is>
          <t>configuration E</t>
        </is>
      </c>
      <c r="B227" t="inlineStr">
        <is>
          <t>Size zone matrix (3D)</t>
        </is>
      </c>
      <c r="C227" t="inlineStr">
        <is>
          <t>Small zone low grey level emphasis</t>
        </is>
      </c>
      <c r="E227" t="inlineStr">
        <is>
          <t>&lt; 3</t>
        </is>
      </c>
      <c r="H227" s="4" t="n"/>
      <c r="I227" s="4">
        <f>IFERROR(IF(NOT(H227=""),ABS(ROUNDDOWN(F227-H227, 3 - (1+INT(LOG10(ABS(F227)))))),""),IF(AND(F227=0,NOT(F227="")),ABS(ROUNDDOWN(F227-H227,0)),""))</f>
        <v/>
      </c>
      <c r="J227" s="4">
        <f>IF(NOT(I227=""),IF(I227&lt;=G227,"match",IF(I227&lt;3*G227,"partial match","no match")),"")</f>
        <v/>
      </c>
      <c r="K227" t="inlineStr">
        <is>
          <t>szm_szlge_3D</t>
        </is>
      </c>
    </row>
    <row r="228" ht="15" customHeight="1" s="10">
      <c r="A228" t="inlineStr">
        <is>
          <t>configuration E</t>
        </is>
      </c>
      <c r="B228" t="inlineStr">
        <is>
          <t>Size zone matrix (3D)</t>
        </is>
      </c>
      <c r="C228" t="inlineStr">
        <is>
          <t>Small zone high grey level emphasis</t>
        </is>
      </c>
      <c r="E228" t="inlineStr">
        <is>
          <t>&lt; 3</t>
        </is>
      </c>
      <c r="H228" s="4" t="n"/>
      <c r="I228" s="4">
        <f>IFERROR(IF(NOT(H228=""),ABS(ROUNDDOWN(F228-H228, 3 - (1+INT(LOG10(ABS(F228)))))),""),IF(AND(F228=0,NOT(F228="")),ABS(ROUNDDOWN(F228-H228,0)),""))</f>
        <v/>
      </c>
      <c r="J228" s="4">
        <f>IF(NOT(I228=""),IF(I228&lt;=G228,"match",IF(I228&lt;3*G228,"partial match","no match")),"")</f>
        <v/>
      </c>
      <c r="K228" t="inlineStr">
        <is>
          <t>szm_szhge_3D</t>
        </is>
      </c>
    </row>
    <row r="229" ht="15" customHeight="1" s="10">
      <c r="A229" t="inlineStr">
        <is>
          <t>configuration E</t>
        </is>
      </c>
      <c r="B229" t="inlineStr">
        <is>
          <t>Size zone matrix (3D)</t>
        </is>
      </c>
      <c r="C229" t="inlineStr">
        <is>
          <t>Large zone low grey level emphasis</t>
        </is>
      </c>
      <c r="E229" t="inlineStr">
        <is>
          <t>&lt; 3</t>
        </is>
      </c>
      <c r="H229" s="4" t="n"/>
      <c r="I229" s="4">
        <f>IFERROR(IF(NOT(H229=""),ABS(ROUNDDOWN(F229-H229, 3 - (1+INT(LOG10(ABS(F229)))))),""),IF(AND(F229=0,NOT(F229="")),ABS(ROUNDDOWN(F229-H229,0)),""))</f>
        <v/>
      </c>
      <c r="J229" s="4">
        <f>IF(NOT(I229=""),IF(I229&lt;=G229,"match",IF(I229&lt;3*G229,"partial match","no match")),"")</f>
        <v/>
      </c>
      <c r="K229" t="inlineStr">
        <is>
          <t>szm_lzlge_3D</t>
        </is>
      </c>
    </row>
    <row r="230" ht="15" customHeight="1" s="10">
      <c r="A230" t="inlineStr">
        <is>
          <t>configuration E</t>
        </is>
      </c>
      <c r="B230" t="inlineStr">
        <is>
          <t>Size zone matrix (3D)</t>
        </is>
      </c>
      <c r="C230" t="inlineStr">
        <is>
          <t>Large zone high grey level emphasis</t>
        </is>
      </c>
      <c r="E230" t="inlineStr">
        <is>
          <t>&lt; 3</t>
        </is>
      </c>
      <c r="H230" s="4" t="n"/>
      <c r="I230" s="4">
        <f>IFERROR(IF(NOT(H230=""),ABS(ROUNDDOWN(F230-H230, 3 - (1+INT(LOG10(ABS(F230)))))),""),IF(AND(F230=0,NOT(F230="")),ABS(ROUNDDOWN(F230-H230,0)),""))</f>
        <v/>
      </c>
      <c r="J230" s="4">
        <f>IF(NOT(I230=""),IF(I230&lt;=G230,"match",IF(I230&lt;3*G230,"partial match","no match")),"")</f>
        <v/>
      </c>
      <c r="K230" t="inlineStr">
        <is>
          <t>szm_lzhge_3D</t>
        </is>
      </c>
    </row>
    <row r="231" ht="15" customHeight="1" s="10">
      <c r="A231" t="inlineStr">
        <is>
          <t>configuration E</t>
        </is>
      </c>
      <c r="B231" t="inlineStr">
        <is>
          <t>Size zone matrix (3D)</t>
        </is>
      </c>
      <c r="C231" t="inlineStr">
        <is>
          <t>Grey level non-uniformity</t>
        </is>
      </c>
      <c r="E231" t="inlineStr">
        <is>
          <t>&lt; 3</t>
        </is>
      </c>
      <c r="H231" s="4" t="n"/>
      <c r="I231" s="4">
        <f>IFERROR(IF(NOT(H231=""),ABS(ROUNDDOWN(F231-H231, 3 - (1+INT(LOG10(ABS(F231)))))),""),IF(AND(F231=0,NOT(F231="")),ABS(ROUNDDOWN(F231-H231,0)),""))</f>
        <v/>
      </c>
      <c r="J231" s="4">
        <f>IF(NOT(I231=""),IF(I231&lt;=G231,"match",IF(I231&lt;3*G231,"partial match","no match")),"")</f>
        <v/>
      </c>
      <c r="K231" t="inlineStr">
        <is>
          <t>szm_glnu_3D</t>
        </is>
      </c>
    </row>
    <row r="232" ht="15" customHeight="1" s="10">
      <c r="A232" t="inlineStr">
        <is>
          <t>configuration E</t>
        </is>
      </c>
      <c r="B232" t="inlineStr">
        <is>
          <t>Size zone matrix (3D)</t>
        </is>
      </c>
      <c r="C232" t="inlineStr">
        <is>
          <t>Grey level non uniformity normalised</t>
        </is>
      </c>
      <c r="E232" t="inlineStr">
        <is>
          <t>&lt; 3</t>
        </is>
      </c>
      <c r="H232" s="4" t="n"/>
      <c r="I232" s="4">
        <f>IFERROR(IF(NOT(H232=""),ABS(ROUNDDOWN(F232-H232, 3 - (1+INT(LOG10(ABS(F232)))))),""),IF(AND(F232=0,NOT(F232="")),ABS(ROUNDDOWN(F232-H232,0)),""))</f>
        <v/>
      </c>
      <c r="J232" s="4">
        <f>IF(NOT(I232=""),IF(I232&lt;=G232,"match",IF(I232&lt;3*G232,"partial match","no match")),"")</f>
        <v/>
      </c>
      <c r="K232" t="inlineStr">
        <is>
          <t>szm_glnu_norm_3D</t>
        </is>
      </c>
    </row>
    <row r="233" ht="15" customHeight="1" s="10">
      <c r="A233" t="inlineStr">
        <is>
          <t>configuration E</t>
        </is>
      </c>
      <c r="B233" t="inlineStr">
        <is>
          <t>Size zone matrix (3D)</t>
        </is>
      </c>
      <c r="C233" t="inlineStr">
        <is>
          <t>Zone size non-uniformity</t>
        </is>
      </c>
      <c r="E233" t="inlineStr">
        <is>
          <t>&lt; 3</t>
        </is>
      </c>
      <c r="H233" s="4" t="n"/>
      <c r="I233" s="4">
        <f>IFERROR(IF(NOT(H233=""),ABS(ROUNDDOWN(F233-H233, 3 - (1+INT(LOG10(ABS(F233)))))),""),IF(AND(F233=0,NOT(F233="")),ABS(ROUNDDOWN(F233-H233,0)),""))</f>
        <v/>
      </c>
      <c r="J233" s="4">
        <f>IF(NOT(I233=""),IF(I233&lt;=G233,"match",IF(I233&lt;3*G233,"partial match","no match")),"")</f>
        <v/>
      </c>
      <c r="K233" t="inlineStr">
        <is>
          <t>szm_zsnu_3D</t>
        </is>
      </c>
    </row>
    <row r="234" ht="15" customHeight="1" s="10">
      <c r="A234" t="inlineStr">
        <is>
          <t>configuration E</t>
        </is>
      </c>
      <c r="B234" t="inlineStr">
        <is>
          <t>Size zone matrix (3D)</t>
        </is>
      </c>
      <c r="C234" t="inlineStr">
        <is>
          <t>Zone size non-uniformity normalised</t>
        </is>
      </c>
      <c r="E234" t="inlineStr">
        <is>
          <t>&lt; 3</t>
        </is>
      </c>
      <c r="H234" s="4" t="n"/>
      <c r="I234" s="4">
        <f>IFERROR(IF(NOT(H234=""),ABS(ROUNDDOWN(F234-H234, 3 - (1+INT(LOG10(ABS(F234)))))),""),IF(AND(F234=0,NOT(F234="")),ABS(ROUNDDOWN(F234-H234,0)),""))</f>
        <v/>
      </c>
      <c r="J234" s="4">
        <f>IF(NOT(I234=""),IF(I234&lt;=G234,"match",IF(I234&lt;3*G234,"partial match","no match")),"")</f>
        <v/>
      </c>
      <c r="K234" t="inlineStr">
        <is>
          <t>szm_zsnu_norm_3D</t>
        </is>
      </c>
    </row>
    <row r="235" ht="15" customHeight="1" s="10">
      <c r="A235" t="inlineStr">
        <is>
          <t>configuration E</t>
        </is>
      </c>
      <c r="B235" t="inlineStr">
        <is>
          <t>Size zone matrix (3D)</t>
        </is>
      </c>
      <c r="C235" t="inlineStr">
        <is>
          <t>Zone percentage</t>
        </is>
      </c>
      <c r="E235" t="inlineStr">
        <is>
          <t>&lt; 3</t>
        </is>
      </c>
      <c r="H235" s="4" t="n"/>
      <c r="I235" s="4">
        <f>IFERROR(IF(NOT(H235=""),ABS(ROUNDDOWN(F235-H235, 3 - (1+INT(LOG10(ABS(F235)))))),""),IF(AND(F235=0,NOT(F235="")),ABS(ROUNDDOWN(F235-H235,0)),""))</f>
        <v/>
      </c>
      <c r="J235" s="4">
        <f>IF(NOT(I235=""),IF(I235&lt;=G235,"match",IF(I235&lt;3*G235,"partial match","no match")),"")</f>
        <v/>
      </c>
      <c r="K235" t="inlineStr">
        <is>
          <t>szm_z_perc_3D</t>
        </is>
      </c>
    </row>
    <row r="236" ht="15" customHeight="1" s="10">
      <c r="A236" t="inlineStr">
        <is>
          <t>configuration E</t>
        </is>
      </c>
      <c r="B236" t="inlineStr">
        <is>
          <t>Size zone matrix (3D)</t>
        </is>
      </c>
      <c r="C236" t="inlineStr">
        <is>
          <t>Grey level variance</t>
        </is>
      </c>
      <c r="E236" t="inlineStr">
        <is>
          <t>&lt; 3</t>
        </is>
      </c>
      <c r="H236" s="4" t="n"/>
      <c r="I236" s="4">
        <f>IFERROR(IF(NOT(H236=""),ABS(ROUNDDOWN(F236-H236, 3 - (1+INT(LOG10(ABS(F236)))))),""),IF(AND(F236=0,NOT(F236="")),ABS(ROUNDDOWN(F236-H236,0)),""))</f>
        <v/>
      </c>
      <c r="J236" s="4">
        <f>IF(NOT(I236=""),IF(I236&lt;=G236,"match",IF(I236&lt;3*G236,"partial match","no match")),"")</f>
        <v/>
      </c>
      <c r="K236" t="inlineStr">
        <is>
          <t>szm_gl_var_3D</t>
        </is>
      </c>
    </row>
    <row r="237" ht="15" customHeight="1" s="10">
      <c r="A237" t="inlineStr">
        <is>
          <t>configuration E</t>
        </is>
      </c>
      <c r="B237" t="inlineStr">
        <is>
          <t>Size zone matrix (3D)</t>
        </is>
      </c>
      <c r="C237" t="inlineStr">
        <is>
          <t>Zone size variance</t>
        </is>
      </c>
      <c r="E237" t="inlineStr">
        <is>
          <t>&lt; 3</t>
        </is>
      </c>
      <c r="H237" s="4" t="n"/>
      <c r="I237" s="4">
        <f>IFERROR(IF(NOT(H237=""),ABS(ROUNDDOWN(F237-H237, 3 - (1+INT(LOG10(ABS(F237)))))),""),IF(AND(F237=0,NOT(F237="")),ABS(ROUNDDOWN(F237-H237,0)),""))</f>
        <v/>
      </c>
      <c r="J237" s="4">
        <f>IF(NOT(I237=""),IF(I237&lt;=G237,"match",IF(I237&lt;3*G237,"partial match","no match")),"")</f>
        <v/>
      </c>
      <c r="K237" t="inlineStr">
        <is>
          <t>szm_zs_var_3D</t>
        </is>
      </c>
    </row>
    <row r="238" ht="15" customHeight="1" s="10">
      <c r="A238" t="inlineStr">
        <is>
          <t>configuration E</t>
        </is>
      </c>
      <c r="B238" t="inlineStr">
        <is>
          <t>Size zone matrix (3D)</t>
        </is>
      </c>
      <c r="C238" t="inlineStr">
        <is>
          <t>Zone size entropy</t>
        </is>
      </c>
      <c r="E238" t="inlineStr">
        <is>
          <t>&lt; 3</t>
        </is>
      </c>
      <c r="H238" s="4" t="n"/>
      <c r="I238" s="4">
        <f>IFERROR(IF(NOT(H238=""),ABS(ROUNDDOWN(F238-H238, 3 - (1+INT(LOG10(ABS(F238)))))),""),IF(AND(F238=0,NOT(F238="")),ABS(ROUNDDOWN(F238-H238,0)),""))</f>
        <v/>
      </c>
      <c r="J238" s="4">
        <f>IF(NOT(I238=""),IF(I238&lt;=G238,"match",IF(I238&lt;3*G238,"partial match","no match")),"")</f>
        <v/>
      </c>
      <c r="K238" t="inlineStr">
        <is>
          <t>szm_zs_entr_3D</t>
        </is>
      </c>
    </row>
    <row r="239" ht="15" customHeight="1" s="10">
      <c r="A239" t="inlineStr">
        <is>
          <t>configuration E</t>
        </is>
      </c>
      <c r="B239" t="inlineStr">
        <is>
          <t>Distance zone matrix (3D)</t>
        </is>
      </c>
      <c r="C239" t="inlineStr">
        <is>
          <t>Small distance emphasis</t>
        </is>
      </c>
      <c r="E239" t="inlineStr">
        <is>
          <t>&lt; 3</t>
        </is>
      </c>
      <c r="H239" s="4" t="n"/>
      <c r="I239" s="4">
        <f>IFERROR(IF(NOT(H239=""),ABS(ROUNDDOWN(F239-H239, 3 - (1+INT(LOG10(ABS(F239)))))),""),IF(AND(F239=0,NOT(F239="")),ABS(ROUNDDOWN(F239-H239,0)),""))</f>
        <v/>
      </c>
      <c r="J239" s="4">
        <f>IF(NOT(I239=""),IF(I239&lt;=G239,"match",IF(I239&lt;3*G239,"partial match","no match")),"")</f>
        <v/>
      </c>
      <c r="K239" t="inlineStr">
        <is>
          <t>dzm_sde_3D</t>
        </is>
      </c>
    </row>
    <row r="240" ht="15" customHeight="1" s="10">
      <c r="A240" t="inlineStr">
        <is>
          <t>configuration E</t>
        </is>
      </c>
      <c r="B240" t="inlineStr">
        <is>
          <t>Distance zone matrix (3D)</t>
        </is>
      </c>
      <c r="C240" t="inlineStr">
        <is>
          <t>Large distance emphasis</t>
        </is>
      </c>
      <c r="E240" t="inlineStr">
        <is>
          <t>&lt; 3</t>
        </is>
      </c>
      <c r="H240" s="4" t="n"/>
      <c r="I240" s="4">
        <f>IFERROR(IF(NOT(H240=""),ABS(ROUNDDOWN(F240-H240, 3 - (1+INT(LOG10(ABS(F240)))))),""),IF(AND(F240=0,NOT(F240="")),ABS(ROUNDDOWN(F240-H240,0)),""))</f>
        <v/>
      </c>
      <c r="J240" s="4">
        <f>IF(NOT(I240=""),IF(I240&lt;=G240,"match",IF(I240&lt;3*G240,"partial match","no match")),"")</f>
        <v/>
      </c>
      <c r="K240" t="inlineStr">
        <is>
          <t>dzm_lde_3D</t>
        </is>
      </c>
    </row>
    <row r="241" ht="15" customHeight="1" s="10">
      <c r="A241" t="inlineStr">
        <is>
          <t>configuration E</t>
        </is>
      </c>
      <c r="B241" t="inlineStr">
        <is>
          <t>Distance zone matrix (3D)</t>
        </is>
      </c>
      <c r="C241" t="inlineStr">
        <is>
          <t>Low grey level emphasis</t>
        </is>
      </c>
      <c r="E241" t="inlineStr">
        <is>
          <t>&lt; 3</t>
        </is>
      </c>
      <c r="H241" s="4" t="n"/>
      <c r="I241" s="4">
        <f>IFERROR(IF(NOT(H241=""),ABS(ROUNDDOWN(F241-H241, 3 - (1+INT(LOG10(ABS(F241)))))),""),IF(AND(F241=0,NOT(F241="")),ABS(ROUNDDOWN(F241-H241,0)),""))</f>
        <v/>
      </c>
      <c r="J241" s="4">
        <f>IF(NOT(I241=""),IF(I241&lt;=G241,"match",IF(I241&lt;3*G241,"partial match","no match")),"")</f>
        <v/>
      </c>
      <c r="K241" t="inlineStr">
        <is>
          <t>dzm_lgze_3D</t>
        </is>
      </c>
    </row>
    <row r="242" ht="15" customHeight="1" s="10">
      <c r="A242" t="inlineStr">
        <is>
          <t>configuration E</t>
        </is>
      </c>
      <c r="B242" t="inlineStr">
        <is>
          <t>Distance zone matrix (3D)</t>
        </is>
      </c>
      <c r="C242" t="inlineStr">
        <is>
          <t>High grey level emphasis</t>
        </is>
      </c>
      <c r="E242" t="inlineStr">
        <is>
          <t>&lt; 3</t>
        </is>
      </c>
      <c r="H242" s="4" t="n"/>
      <c r="I242" s="4">
        <f>IFERROR(IF(NOT(H242=""),ABS(ROUNDDOWN(F242-H242, 3 - (1+INT(LOG10(ABS(F242)))))),""),IF(AND(F242=0,NOT(F242="")),ABS(ROUNDDOWN(F242-H242,0)),""))</f>
        <v/>
      </c>
      <c r="J242" s="4">
        <f>IF(NOT(I242=""),IF(I242&lt;=G242,"match",IF(I242&lt;3*G242,"partial match","no match")),"")</f>
        <v/>
      </c>
      <c r="K242" t="inlineStr">
        <is>
          <t>dzm_hgze_3D</t>
        </is>
      </c>
    </row>
    <row r="243" ht="15" customHeight="1" s="10">
      <c r="A243" t="inlineStr">
        <is>
          <t>configuration E</t>
        </is>
      </c>
      <c r="B243" t="inlineStr">
        <is>
          <t>Distance zone matrix (3D)</t>
        </is>
      </c>
      <c r="C243" t="inlineStr">
        <is>
          <t>Small distance low grey level emphasis</t>
        </is>
      </c>
      <c r="E243" t="inlineStr">
        <is>
          <t>&lt; 3</t>
        </is>
      </c>
      <c r="H243" s="4" t="n"/>
      <c r="I243" s="4">
        <f>IFERROR(IF(NOT(H243=""),ABS(ROUNDDOWN(F243-H243, 3 - (1+INT(LOG10(ABS(F243)))))),""),IF(AND(F243=0,NOT(F243="")),ABS(ROUNDDOWN(F243-H243,0)),""))</f>
        <v/>
      </c>
      <c r="J243" s="4">
        <f>IF(NOT(I243=""),IF(I243&lt;=G243,"match",IF(I243&lt;3*G243,"partial match","no match")),"")</f>
        <v/>
      </c>
      <c r="K243" t="inlineStr">
        <is>
          <t>dzm_sdlge_3D</t>
        </is>
      </c>
    </row>
    <row r="244" ht="15" customHeight="1" s="10">
      <c r="A244" t="inlineStr">
        <is>
          <t>configuration E</t>
        </is>
      </c>
      <c r="B244" t="inlineStr">
        <is>
          <t>Distance zone matrix (3D)</t>
        </is>
      </c>
      <c r="C244" t="inlineStr">
        <is>
          <t>Small distance high grey level emphasis</t>
        </is>
      </c>
      <c r="E244" t="inlineStr">
        <is>
          <t>&lt; 3</t>
        </is>
      </c>
      <c r="H244" s="4" t="n"/>
      <c r="I244" s="4">
        <f>IFERROR(IF(NOT(H244=""),ABS(ROUNDDOWN(F244-H244, 3 - (1+INT(LOG10(ABS(F244)))))),""),IF(AND(F244=0,NOT(F244="")),ABS(ROUNDDOWN(F244-H244,0)),""))</f>
        <v/>
      </c>
      <c r="J244" s="4">
        <f>IF(NOT(I244=""),IF(I244&lt;=G244,"match",IF(I244&lt;3*G244,"partial match","no match")),"")</f>
        <v/>
      </c>
      <c r="K244" t="inlineStr">
        <is>
          <t>dzm_sdhge_3D</t>
        </is>
      </c>
    </row>
    <row r="245" ht="15" customHeight="1" s="10">
      <c r="A245" t="inlineStr">
        <is>
          <t>configuration E</t>
        </is>
      </c>
      <c r="B245" t="inlineStr">
        <is>
          <t>Distance zone matrix (3D)</t>
        </is>
      </c>
      <c r="C245" t="inlineStr">
        <is>
          <t>Large distance low grey level emphasis</t>
        </is>
      </c>
      <c r="E245" t="inlineStr">
        <is>
          <t>&lt; 3</t>
        </is>
      </c>
      <c r="H245" s="4" t="n"/>
      <c r="I245" s="4">
        <f>IFERROR(IF(NOT(H245=""),ABS(ROUNDDOWN(F245-H245, 3 - (1+INT(LOG10(ABS(F245)))))),""),IF(AND(F245=0,NOT(F245="")),ABS(ROUNDDOWN(F245-H245,0)),""))</f>
        <v/>
      </c>
      <c r="J245" s="4">
        <f>IF(NOT(I245=""),IF(I245&lt;=G245,"match",IF(I245&lt;3*G245,"partial match","no match")),"")</f>
        <v/>
      </c>
      <c r="K245" t="inlineStr">
        <is>
          <t>dzm_ldlge_3D</t>
        </is>
      </c>
    </row>
    <row r="246" ht="15" customHeight="1" s="10">
      <c r="A246" t="inlineStr">
        <is>
          <t>configuration E</t>
        </is>
      </c>
      <c r="B246" t="inlineStr">
        <is>
          <t>Distance zone matrix (3D)</t>
        </is>
      </c>
      <c r="C246" t="inlineStr">
        <is>
          <t>Large distance high grey level emphasis</t>
        </is>
      </c>
      <c r="E246" t="inlineStr">
        <is>
          <t>&lt; 3</t>
        </is>
      </c>
      <c r="H246" s="4" t="n"/>
      <c r="I246" s="4">
        <f>IFERROR(IF(NOT(H246=""),ABS(ROUNDDOWN(F246-H246, 3 - (1+INT(LOG10(ABS(F246)))))),""),IF(AND(F246=0,NOT(F246="")),ABS(ROUNDDOWN(F246-H246,0)),""))</f>
        <v/>
      </c>
      <c r="J246" s="4">
        <f>IF(NOT(I246=""),IF(I246&lt;=G246,"match",IF(I246&lt;3*G246,"partial match","no match")),"")</f>
        <v/>
      </c>
      <c r="K246" t="inlineStr">
        <is>
          <t>dzm_ldhge_3D</t>
        </is>
      </c>
    </row>
    <row r="247" ht="15" customHeight="1" s="10">
      <c r="A247" t="inlineStr">
        <is>
          <t>configuration E</t>
        </is>
      </c>
      <c r="B247" t="inlineStr">
        <is>
          <t>Distance zone matrix (3D)</t>
        </is>
      </c>
      <c r="C247" t="inlineStr">
        <is>
          <t>Grey level non-uniformity</t>
        </is>
      </c>
      <c r="E247" t="inlineStr">
        <is>
          <t>&lt; 3</t>
        </is>
      </c>
      <c r="H247" s="4" t="n"/>
      <c r="I247" s="4">
        <f>IFERROR(IF(NOT(H247=""),ABS(ROUNDDOWN(F247-H247, 3 - (1+INT(LOG10(ABS(F247)))))),""),IF(AND(F247=0,NOT(F247="")),ABS(ROUNDDOWN(F247-H247,0)),""))</f>
        <v/>
      </c>
      <c r="J247" s="4">
        <f>IF(NOT(I247=""),IF(I247&lt;=G247,"match",IF(I247&lt;3*G247,"partial match","no match")),"")</f>
        <v/>
      </c>
      <c r="K247" t="inlineStr">
        <is>
          <t>dzm_glnu_3D</t>
        </is>
      </c>
    </row>
    <row r="248" ht="15" customHeight="1" s="10">
      <c r="A248" t="inlineStr">
        <is>
          <t>configuration E</t>
        </is>
      </c>
      <c r="B248" t="inlineStr">
        <is>
          <t>Distance zone matrix (3D)</t>
        </is>
      </c>
      <c r="C248" t="inlineStr">
        <is>
          <t>Grey level non-uniformity normalised</t>
        </is>
      </c>
      <c r="E248" t="inlineStr">
        <is>
          <t>&lt; 3</t>
        </is>
      </c>
      <c r="H248" s="4" t="n"/>
      <c r="I248" s="4">
        <f>IFERROR(IF(NOT(H248=""),ABS(ROUNDDOWN(F248-H248, 3 - (1+INT(LOG10(ABS(F248)))))),""),IF(AND(F248=0,NOT(F248="")),ABS(ROUNDDOWN(F248-H248,0)),""))</f>
        <v/>
      </c>
      <c r="J248" s="4">
        <f>IF(NOT(I248=""),IF(I248&lt;=G248,"match",IF(I248&lt;3*G248,"partial match","no match")),"")</f>
        <v/>
      </c>
      <c r="K248" t="inlineStr">
        <is>
          <t>dzm_glnu_norm_3D</t>
        </is>
      </c>
    </row>
    <row r="249" ht="15" customHeight="1" s="10">
      <c r="A249" t="inlineStr">
        <is>
          <t>configuration E</t>
        </is>
      </c>
      <c r="B249" t="inlineStr">
        <is>
          <t>Distance zone matrix (3D)</t>
        </is>
      </c>
      <c r="C249" t="inlineStr">
        <is>
          <t>Zone distance non-uniformity</t>
        </is>
      </c>
      <c r="E249" t="inlineStr">
        <is>
          <t>&lt; 3</t>
        </is>
      </c>
      <c r="H249" s="4" t="n"/>
      <c r="I249" s="4">
        <f>IFERROR(IF(NOT(H249=""),ABS(ROUNDDOWN(F249-H249, 3 - (1+INT(LOG10(ABS(F249)))))),""),IF(AND(F249=0,NOT(F249="")),ABS(ROUNDDOWN(F249-H249,0)),""))</f>
        <v/>
      </c>
      <c r="J249" s="4">
        <f>IF(NOT(I249=""),IF(I249&lt;=G249,"match",IF(I249&lt;3*G249,"partial match","no match")),"")</f>
        <v/>
      </c>
      <c r="K249" t="inlineStr">
        <is>
          <t>dzm_zdnu_3D</t>
        </is>
      </c>
    </row>
    <row r="250" ht="15" customHeight="1" s="10">
      <c r="A250" t="inlineStr">
        <is>
          <t>configuration E</t>
        </is>
      </c>
      <c r="B250" t="inlineStr">
        <is>
          <t>Distance zone matrix (3D)</t>
        </is>
      </c>
      <c r="C250" t="inlineStr">
        <is>
          <t>Zone distance non-uniformity normalised</t>
        </is>
      </c>
      <c r="E250" t="inlineStr">
        <is>
          <t>&lt; 3</t>
        </is>
      </c>
      <c r="H250" s="4" t="n"/>
      <c r="I250" s="4">
        <f>IFERROR(IF(NOT(H250=""),ABS(ROUNDDOWN(F250-H250, 3 - (1+INT(LOG10(ABS(F250)))))),""),IF(AND(F250=0,NOT(F250="")),ABS(ROUNDDOWN(F250-H250,0)),""))</f>
        <v/>
      </c>
      <c r="J250" s="4">
        <f>IF(NOT(I250=""),IF(I250&lt;=G250,"match",IF(I250&lt;3*G250,"partial match","no match")),"")</f>
        <v/>
      </c>
      <c r="K250" t="inlineStr">
        <is>
          <t>dzm_zdnu_norm_3D</t>
        </is>
      </c>
    </row>
    <row r="251" ht="15" customHeight="1" s="10">
      <c r="A251" t="inlineStr">
        <is>
          <t>configuration E</t>
        </is>
      </c>
      <c r="B251" t="inlineStr">
        <is>
          <t>Distance zone matrix (3D)</t>
        </is>
      </c>
      <c r="C251" t="inlineStr">
        <is>
          <t>Zone percentage</t>
        </is>
      </c>
      <c r="E251" t="inlineStr">
        <is>
          <t>&lt; 3</t>
        </is>
      </c>
      <c r="H251" s="4" t="n"/>
      <c r="I251" s="4">
        <f>IFERROR(IF(NOT(H251=""),ABS(ROUNDDOWN(F251-H251, 3 - (1+INT(LOG10(ABS(F251)))))),""),IF(AND(F251=0,NOT(F251="")),ABS(ROUNDDOWN(F251-H251,0)),""))</f>
        <v/>
      </c>
      <c r="J251" s="4">
        <f>IF(NOT(I251=""),IF(I251&lt;=G251,"match",IF(I251&lt;3*G251,"partial match","no match")),"")</f>
        <v/>
      </c>
      <c r="K251" t="inlineStr">
        <is>
          <t>dzm_z_perc_3D</t>
        </is>
      </c>
    </row>
    <row r="252" ht="15" customHeight="1" s="10">
      <c r="A252" t="inlineStr">
        <is>
          <t>configuration E</t>
        </is>
      </c>
      <c r="B252" t="inlineStr">
        <is>
          <t>Distance zone matrix (3D)</t>
        </is>
      </c>
      <c r="C252" t="inlineStr">
        <is>
          <t>Grey level variance</t>
        </is>
      </c>
      <c r="E252" t="inlineStr">
        <is>
          <t>&lt; 3</t>
        </is>
      </c>
      <c r="H252" s="4" t="n"/>
      <c r="I252" s="4">
        <f>IFERROR(IF(NOT(H252=""),ABS(ROUNDDOWN(F252-H252, 3 - (1+INT(LOG10(ABS(F252)))))),""),IF(AND(F252=0,NOT(F252="")),ABS(ROUNDDOWN(F252-H252,0)),""))</f>
        <v/>
      </c>
      <c r="J252" s="4">
        <f>IF(NOT(I252=""),IF(I252&lt;=G252,"match",IF(I252&lt;3*G252,"partial match","no match")),"")</f>
        <v/>
      </c>
      <c r="K252" t="inlineStr">
        <is>
          <t>dzm_gl_var_3D</t>
        </is>
      </c>
    </row>
    <row r="253" ht="15" customHeight="1" s="10">
      <c r="A253" t="inlineStr">
        <is>
          <t>configuration E</t>
        </is>
      </c>
      <c r="B253" t="inlineStr">
        <is>
          <t>Distance zone matrix (3D)</t>
        </is>
      </c>
      <c r="C253" t="inlineStr">
        <is>
          <t>Zone distance variance</t>
        </is>
      </c>
      <c r="E253" t="inlineStr">
        <is>
          <t>&lt; 3</t>
        </is>
      </c>
      <c r="H253" s="4" t="n"/>
      <c r="I253" s="4">
        <f>IFERROR(IF(NOT(H253=""),ABS(ROUNDDOWN(F253-H253, 3 - (1+INT(LOG10(ABS(F253)))))),""),IF(AND(F253=0,NOT(F253="")),ABS(ROUNDDOWN(F253-H253,0)),""))</f>
        <v/>
      </c>
      <c r="J253" s="4">
        <f>IF(NOT(I253=""),IF(I253&lt;=G253,"match",IF(I253&lt;3*G253,"partial match","no match")),"")</f>
        <v/>
      </c>
      <c r="K253" t="inlineStr">
        <is>
          <t>dzm_zd_var_3D</t>
        </is>
      </c>
    </row>
    <row r="254" ht="15" customHeight="1" s="10">
      <c r="A254" t="inlineStr">
        <is>
          <t>configuration E</t>
        </is>
      </c>
      <c r="B254" t="inlineStr">
        <is>
          <t>Distance zone matrix (3D)</t>
        </is>
      </c>
      <c r="C254" t="inlineStr">
        <is>
          <t>Zone distance entropy</t>
        </is>
      </c>
      <c r="E254" t="inlineStr">
        <is>
          <t>&lt; 3</t>
        </is>
      </c>
      <c r="H254" s="4" t="n"/>
      <c r="I254" s="4">
        <f>IFERROR(IF(NOT(H254=""),ABS(ROUNDDOWN(F254-H254, 3 - (1+INT(LOG10(ABS(F254)))))),""),IF(AND(F254=0,NOT(F254="")),ABS(ROUNDDOWN(F254-H254,0)),""))</f>
        <v/>
      </c>
      <c r="J254" s="4">
        <f>IF(NOT(I254=""),IF(I254&lt;=G254,"match",IF(I254&lt;3*G254,"partial match","no match")),"")</f>
        <v/>
      </c>
      <c r="K254" t="inlineStr">
        <is>
          <t>dzm_zd_entr_3D</t>
        </is>
      </c>
    </row>
    <row r="255" ht="15" customHeight="1" s="10">
      <c r="A255" t="inlineStr">
        <is>
          <t>configuration E</t>
        </is>
      </c>
      <c r="B255" t="inlineStr">
        <is>
          <t>Neighbourhood grey tone difference matrix (3D)</t>
        </is>
      </c>
      <c r="C255" t="inlineStr">
        <is>
          <t>Coarseness</t>
        </is>
      </c>
      <c r="E255" t="inlineStr">
        <is>
          <t>&lt; 3</t>
        </is>
      </c>
      <c r="H255" s="5" t="n"/>
      <c r="I255" s="4">
        <f>IFERROR(IF(NOT(H255=""),ABS(ROUNDDOWN(F255-H255, 3 - (1+INT(LOG10(ABS(F255)))))),""),IF(AND(F255=0,NOT(F255="")),ABS(ROUNDDOWN(F255-H255,0)),""))</f>
        <v/>
      </c>
      <c r="J255" s="4">
        <f>IF(NOT(I255=""),IF(I255&lt;=G255,"match",IF(I255&lt;3*G255,"partial match","no match")),"")</f>
        <v/>
      </c>
      <c r="K255" t="inlineStr">
        <is>
          <t>ngt_coarseness_3D</t>
        </is>
      </c>
    </row>
    <row r="256" ht="15" customHeight="1" s="10">
      <c r="A256" t="inlineStr">
        <is>
          <t>configuration E</t>
        </is>
      </c>
      <c r="B256" t="inlineStr">
        <is>
          <t>Neighbourhood grey tone difference matrix (3D)</t>
        </is>
      </c>
      <c r="C256" t="inlineStr">
        <is>
          <t>Contrast</t>
        </is>
      </c>
      <c r="E256" t="inlineStr">
        <is>
          <t>&lt; 3</t>
        </is>
      </c>
      <c r="H256" s="4" t="n"/>
      <c r="I256" s="4">
        <f>IFERROR(IF(NOT(H256=""),ABS(ROUNDDOWN(F256-H256, 3 - (1+INT(LOG10(ABS(F256)))))),""),IF(AND(F256=0,NOT(F256="")),ABS(ROUNDDOWN(F256-H256,0)),""))</f>
        <v/>
      </c>
      <c r="J256" s="4">
        <f>IF(NOT(I256=""),IF(I256&lt;=G256,"match",IF(I256&lt;3*G256,"partial match","no match")),"")</f>
        <v/>
      </c>
      <c r="K256" t="inlineStr">
        <is>
          <t>ngt_contrast_3D</t>
        </is>
      </c>
    </row>
    <row r="257" ht="15" customHeight="1" s="10">
      <c r="A257" t="inlineStr">
        <is>
          <t>configuration E</t>
        </is>
      </c>
      <c r="B257" t="inlineStr">
        <is>
          <t>Neighbourhood grey tone difference matrix (3D)</t>
        </is>
      </c>
      <c r="C257" t="inlineStr">
        <is>
          <t>Busyness</t>
        </is>
      </c>
      <c r="E257" t="inlineStr">
        <is>
          <t>&lt; 3</t>
        </is>
      </c>
      <c r="H257" s="4" t="n"/>
      <c r="I257" s="4">
        <f>IFERROR(IF(NOT(H257=""),ABS(ROUNDDOWN(F257-H257, 3 - (1+INT(LOG10(ABS(F257)))))),""),IF(AND(F257=0,NOT(F257="")),ABS(ROUNDDOWN(F257-H257,0)),""))</f>
        <v/>
      </c>
      <c r="J257" s="4">
        <f>IF(NOT(I257=""),IF(I257&lt;=G257,"match",IF(I257&lt;3*G257,"partial match","no match")),"")</f>
        <v/>
      </c>
      <c r="K257" t="inlineStr">
        <is>
          <t>ngt_busyness_3D</t>
        </is>
      </c>
    </row>
    <row r="258" ht="15" customHeight="1" s="10">
      <c r="A258" t="inlineStr">
        <is>
          <t>configuration E</t>
        </is>
      </c>
      <c r="B258" t="inlineStr">
        <is>
          <t>Neighbourhood grey tone difference matrix (3D)</t>
        </is>
      </c>
      <c r="C258" t="inlineStr">
        <is>
          <t>Complexity</t>
        </is>
      </c>
      <c r="E258" t="inlineStr">
        <is>
          <t>&lt; 3</t>
        </is>
      </c>
      <c r="H258" s="4" t="n"/>
      <c r="I258" s="4">
        <f>IFERROR(IF(NOT(H258=""),ABS(ROUNDDOWN(F258-H258, 3 - (1+INT(LOG10(ABS(F258)))))),""),IF(AND(F258=0,NOT(F258="")),ABS(ROUNDDOWN(F258-H258,0)),""))</f>
        <v/>
      </c>
      <c r="J258" s="4">
        <f>IF(NOT(I258=""),IF(I258&lt;=G258,"match",IF(I258&lt;3*G258,"partial match","no match")),"")</f>
        <v/>
      </c>
      <c r="K258" t="inlineStr">
        <is>
          <t>ngt_complexity_3D</t>
        </is>
      </c>
    </row>
    <row r="259" ht="15" customHeight="1" s="10">
      <c r="A259" t="inlineStr">
        <is>
          <t>configuration E</t>
        </is>
      </c>
      <c r="B259" t="inlineStr">
        <is>
          <t>Neighbourhood grey tone difference matrix (3D)</t>
        </is>
      </c>
      <c r="C259" t="inlineStr">
        <is>
          <t>Strength</t>
        </is>
      </c>
      <c r="E259" t="inlineStr">
        <is>
          <t>&lt; 3</t>
        </is>
      </c>
      <c r="H259" s="4" t="n"/>
      <c r="I259" s="4">
        <f>IFERROR(IF(NOT(H259=""),ABS(ROUNDDOWN(F259-H259, 3 - (1+INT(LOG10(ABS(F259)))))),""),IF(AND(F259=0,NOT(F259="")),ABS(ROUNDDOWN(F259-H259,0)),""))</f>
        <v/>
      </c>
      <c r="J259" s="4">
        <f>IF(NOT(I259=""),IF(I259&lt;=G259,"match",IF(I259&lt;3*G259,"partial match","no match")),"")</f>
        <v/>
      </c>
      <c r="K259" t="inlineStr">
        <is>
          <t>ngt_strength_3D</t>
        </is>
      </c>
    </row>
    <row r="260" ht="15" customHeight="1" s="10">
      <c r="A260" t="inlineStr">
        <is>
          <t>configuration E</t>
        </is>
      </c>
      <c r="B260" t="inlineStr">
        <is>
          <t>Neighbouring grey level dependence matrix (3D)</t>
        </is>
      </c>
      <c r="C260" t="inlineStr">
        <is>
          <t>Low dependence emphasis</t>
        </is>
      </c>
      <c r="E260" t="inlineStr">
        <is>
          <t>&lt; 3</t>
        </is>
      </c>
      <c r="H260" s="4" t="n"/>
      <c r="I260" s="4">
        <f>IFERROR(IF(NOT(H260=""),ABS(ROUNDDOWN(F260-H260, 3 - (1+INT(LOG10(ABS(F260)))))),""),IF(AND(F260=0,NOT(F260="")),ABS(ROUNDDOWN(F260-H260,0)),""))</f>
        <v/>
      </c>
      <c r="J260" s="4">
        <f>IF(NOT(I260=""),IF(I260&lt;=G260,"match",IF(I260&lt;3*G260,"partial match","no match")),"")</f>
        <v/>
      </c>
      <c r="K260" t="inlineStr">
        <is>
          <t>ngl_lde_3D</t>
        </is>
      </c>
    </row>
    <row r="261" ht="15" customHeight="1" s="10">
      <c r="A261" t="inlineStr">
        <is>
          <t>configuration E</t>
        </is>
      </c>
      <c r="B261" t="inlineStr">
        <is>
          <t>Neighbouring grey level dependence matrix (3D)</t>
        </is>
      </c>
      <c r="C261" t="inlineStr">
        <is>
          <t>High dependence emphasis</t>
        </is>
      </c>
      <c r="E261" t="inlineStr">
        <is>
          <t>&lt; 3</t>
        </is>
      </c>
      <c r="H261" s="4" t="n"/>
      <c r="I261" s="4">
        <f>IFERROR(IF(NOT(H261=""),ABS(ROUNDDOWN(F261-H261, 3 - (1+INT(LOG10(ABS(F261)))))),""),IF(AND(F261=0,NOT(F261="")),ABS(ROUNDDOWN(F261-H261,0)),""))</f>
        <v/>
      </c>
      <c r="J261" s="4">
        <f>IF(NOT(I261=""),IF(I261&lt;=G261,"match",IF(I261&lt;3*G261,"partial match","no match")),"")</f>
        <v/>
      </c>
      <c r="K261" t="inlineStr">
        <is>
          <t>ngl_hde_3D</t>
        </is>
      </c>
    </row>
    <row r="262" ht="15" customHeight="1" s="10">
      <c r="A262" t="inlineStr">
        <is>
          <t>configuration E</t>
        </is>
      </c>
      <c r="B262" t="inlineStr">
        <is>
          <t>Neighbouring grey level dependence matrix (3D)</t>
        </is>
      </c>
      <c r="C262" t="inlineStr">
        <is>
          <t>Low grey level count emphasis</t>
        </is>
      </c>
      <c r="E262" t="inlineStr">
        <is>
          <t>&lt; 3</t>
        </is>
      </c>
      <c r="H262" s="4" t="n"/>
      <c r="I262" s="4">
        <f>IFERROR(IF(NOT(H262=""),ABS(ROUNDDOWN(F262-H262, 3 - (1+INT(LOG10(ABS(F262)))))),""),IF(AND(F262=0,NOT(F262="")),ABS(ROUNDDOWN(F262-H262,0)),""))</f>
        <v/>
      </c>
      <c r="J262" s="4">
        <f>IF(NOT(I262=""),IF(I262&lt;=G262,"match",IF(I262&lt;3*G262,"partial match","no match")),"")</f>
        <v/>
      </c>
      <c r="K262" t="inlineStr">
        <is>
          <t>ngl_lgce_3D</t>
        </is>
      </c>
    </row>
    <row r="263" ht="15" customHeight="1" s="10">
      <c r="A263" t="inlineStr">
        <is>
          <t>configuration E</t>
        </is>
      </c>
      <c r="B263" t="inlineStr">
        <is>
          <t>Neighbouring grey level dependence matrix (3D)</t>
        </is>
      </c>
      <c r="C263" t="inlineStr">
        <is>
          <t>High grey level count emphasis</t>
        </is>
      </c>
      <c r="E263" t="inlineStr">
        <is>
          <t>&lt; 3</t>
        </is>
      </c>
      <c r="H263" s="4" t="n"/>
      <c r="I263" s="4">
        <f>IFERROR(IF(NOT(H263=""),ABS(ROUNDDOWN(F263-H263, 3 - (1+INT(LOG10(ABS(F263)))))),""),IF(AND(F263=0,NOT(F263="")),ABS(ROUNDDOWN(F263-H263,0)),""))</f>
        <v/>
      </c>
      <c r="J263" s="4">
        <f>IF(NOT(I263=""),IF(I263&lt;=G263,"match",IF(I263&lt;3*G263,"partial match","no match")),"")</f>
        <v/>
      </c>
      <c r="K263" t="inlineStr">
        <is>
          <t>ngl_hgce_3D</t>
        </is>
      </c>
    </row>
    <row r="264" ht="15" customHeight="1" s="10">
      <c r="A264" t="inlineStr">
        <is>
          <t>configuration E</t>
        </is>
      </c>
      <c r="B264" t="inlineStr">
        <is>
          <t>Neighbouring grey level dependence matrix (3D)</t>
        </is>
      </c>
      <c r="C264" t="inlineStr">
        <is>
          <t>Low dependence low grey level emphasis</t>
        </is>
      </c>
      <c r="E264" t="inlineStr">
        <is>
          <t>&lt; 3</t>
        </is>
      </c>
      <c r="H264" s="4" t="n"/>
      <c r="I264" s="4">
        <f>IFERROR(IF(NOT(H264=""),ABS(ROUNDDOWN(F264-H264, 3 - (1+INT(LOG10(ABS(F264)))))),""),IF(AND(F264=0,NOT(F264="")),ABS(ROUNDDOWN(F264-H264,0)),""))</f>
        <v/>
      </c>
      <c r="J264" s="4">
        <f>IF(NOT(I264=""),IF(I264&lt;=G264,"match",IF(I264&lt;3*G264,"partial match","no match")),"")</f>
        <v/>
      </c>
      <c r="K264" t="inlineStr">
        <is>
          <t>ngl_ldlge_3D</t>
        </is>
      </c>
    </row>
    <row r="265" ht="15" customHeight="1" s="10">
      <c r="A265" t="inlineStr">
        <is>
          <t>configuration E</t>
        </is>
      </c>
      <c r="B265" t="inlineStr">
        <is>
          <t>Neighbouring grey level dependence matrix (3D)</t>
        </is>
      </c>
      <c r="C265" t="inlineStr">
        <is>
          <t>Low dependence high grey level emphasis</t>
        </is>
      </c>
      <c r="E265" t="inlineStr">
        <is>
          <t>&lt; 3</t>
        </is>
      </c>
      <c r="H265" s="4" t="n"/>
      <c r="I265" s="4">
        <f>IFERROR(IF(NOT(H265=""),ABS(ROUNDDOWN(F265-H265, 3 - (1+INT(LOG10(ABS(F265)))))),""),IF(AND(F265=0,NOT(F265="")),ABS(ROUNDDOWN(F265-H265,0)),""))</f>
        <v/>
      </c>
      <c r="J265" s="4">
        <f>IF(NOT(I265=""),IF(I265&lt;=G265,"match",IF(I265&lt;3*G265,"partial match","no match")),"")</f>
        <v/>
      </c>
      <c r="K265" t="inlineStr">
        <is>
          <t>ngl_ldhge_3D</t>
        </is>
      </c>
    </row>
    <row r="266" ht="15" customHeight="1" s="10">
      <c r="A266" t="inlineStr">
        <is>
          <t>configuration E</t>
        </is>
      </c>
      <c r="B266" t="inlineStr">
        <is>
          <t>Neighbouring grey level dependence matrix (3D)</t>
        </is>
      </c>
      <c r="C266" t="inlineStr">
        <is>
          <t>High dependence low grey level emphasis</t>
        </is>
      </c>
      <c r="E266" t="inlineStr">
        <is>
          <t>&lt; 3</t>
        </is>
      </c>
      <c r="H266" s="4" t="n"/>
      <c r="I266" s="4">
        <f>IFERROR(IF(NOT(H266=""),ABS(ROUNDDOWN(F266-H266, 3 - (1+INT(LOG10(ABS(F266)))))),""),IF(AND(F266=0,NOT(F266="")),ABS(ROUNDDOWN(F266-H266,0)),""))</f>
        <v/>
      </c>
      <c r="J266" s="4">
        <f>IF(NOT(I266=""),IF(I266&lt;=G266,"match",IF(I266&lt;3*G266,"partial match","no match")),"")</f>
        <v/>
      </c>
      <c r="K266" t="inlineStr">
        <is>
          <t>ngl_hdlge_3D</t>
        </is>
      </c>
    </row>
    <row r="267" ht="15" customHeight="1" s="10">
      <c r="A267" t="inlineStr">
        <is>
          <t>configuration E</t>
        </is>
      </c>
      <c r="B267" t="inlineStr">
        <is>
          <t>Neighbouring grey level dependence matrix (3D)</t>
        </is>
      </c>
      <c r="C267" t="inlineStr">
        <is>
          <t>High dependence high grey level emphasis</t>
        </is>
      </c>
      <c r="E267" t="inlineStr">
        <is>
          <t>&lt; 3</t>
        </is>
      </c>
      <c r="H267" s="4" t="n"/>
      <c r="I267" s="4">
        <f>IFERROR(IF(NOT(H267=""),ABS(ROUNDDOWN(F267-H267, 3 - (1+INT(LOG10(ABS(F267)))))),""),IF(AND(F267=0,NOT(F267="")),ABS(ROUNDDOWN(F267-H267,0)),""))</f>
        <v/>
      </c>
      <c r="J267" s="4">
        <f>IF(NOT(I267=""),IF(I267&lt;=G267,"match",IF(I267&lt;3*G267,"partial match","no match")),"")</f>
        <v/>
      </c>
      <c r="K267" t="inlineStr">
        <is>
          <t>ngl_hdhge_3D</t>
        </is>
      </c>
    </row>
    <row r="268" ht="15" customHeight="1" s="10">
      <c r="A268" t="inlineStr">
        <is>
          <t>configuration E</t>
        </is>
      </c>
      <c r="B268" t="inlineStr">
        <is>
          <t>Neighbouring grey level dependence matrix (3D)</t>
        </is>
      </c>
      <c r="C268" t="inlineStr">
        <is>
          <t>Grey level non-uniformity</t>
        </is>
      </c>
      <c r="E268" t="inlineStr">
        <is>
          <t>&lt; 3</t>
        </is>
      </c>
      <c r="H268" s="4" t="n"/>
      <c r="I268" s="4">
        <f>IFERROR(IF(NOT(H268=""),ABS(ROUNDDOWN(F268-H268, 3 - (1+INT(LOG10(ABS(F268)))))),""),IF(AND(F268=0,NOT(F268="")),ABS(ROUNDDOWN(F268-H268,0)),""))</f>
        <v/>
      </c>
      <c r="J268" s="4">
        <f>IF(NOT(I268=""),IF(I268&lt;=G268,"match",IF(I268&lt;3*G268,"partial match","no match")),"")</f>
        <v/>
      </c>
      <c r="K268" t="inlineStr">
        <is>
          <t>ngl_glnu_3D</t>
        </is>
      </c>
    </row>
    <row r="269" ht="15" customHeight="1" s="10">
      <c r="A269" t="inlineStr">
        <is>
          <t>configuration E</t>
        </is>
      </c>
      <c r="B269" t="inlineStr">
        <is>
          <t>Neighbouring grey level dependence matrix (3D)</t>
        </is>
      </c>
      <c r="C269" t="inlineStr">
        <is>
          <t>Grey level non-uniformity normalised</t>
        </is>
      </c>
      <c r="E269" t="inlineStr">
        <is>
          <t>&lt; 3</t>
        </is>
      </c>
      <c r="H269" s="4" t="n"/>
      <c r="I269" s="4">
        <f>IFERROR(IF(NOT(H269=""),ABS(ROUNDDOWN(F269-H269, 3 - (1+INT(LOG10(ABS(F269)))))),""),IF(AND(F269=0,NOT(F269="")),ABS(ROUNDDOWN(F269-H269,0)),""))</f>
        <v/>
      </c>
      <c r="J269" s="4">
        <f>IF(NOT(I269=""),IF(I269&lt;=G269,"match",IF(I269&lt;3*G269,"partial match","no match")),"")</f>
        <v/>
      </c>
      <c r="K269" t="inlineStr">
        <is>
          <t>ngl_glnu_norm_3D</t>
        </is>
      </c>
    </row>
    <row r="270" ht="15" customHeight="1" s="10">
      <c r="A270" t="inlineStr">
        <is>
          <t>configuration E</t>
        </is>
      </c>
      <c r="B270" t="inlineStr">
        <is>
          <t>Neighbouring grey level dependence matrix (3D)</t>
        </is>
      </c>
      <c r="C270" t="inlineStr">
        <is>
          <t>Dependence count non-uniformity</t>
        </is>
      </c>
      <c r="E270" t="inlineStr">
        <is>
          <t>&lt; 3</t>
        </is>
      </c>
      <c r="H270" s="4" t="n"/>
      <c r="I270" s="4">
        <f>IFERROR(IF(NOT(H270=""),ABS(ROUNDDOWN(F270-H270, 3 - (1+INT(LOG10(ABS(F270)))))),""),IF(AND(F270=0,NOT(F270="")),ABS(ROUNDDOWN(F270-H270,0)),""))</f>
        <v/>
      </c>
      <c r="J270" s="4">
        <f>IF(NOT(I270=""),IF(I270&lt;=G270,"match",IF(I270&lt;3*G270,"partial match","no match")),"")</f>
        <v/>
      </c>
      <c r="K270" t="inlineStr">
        <is>
          <t>ngl_dcnu_3D</t>
        </is>
      </c>
    </row>
    <row r="271" ht="15" customHeight="1" s="10">
      <c r="A271" t="inlineStr">
        <is>
          <t>configuration E</t>
        </is>
      </c>
      <c r="B271" t="inlineStr">
        <is>
          <t>Neighbouring grey level dependence matrix (3D)</t>
        </is>
      </c>
      <c r="C271" t="inlineStr">
        <is>
          <t>Dependence count non-uniformity normalised</t>
        </is>
      </c>
      <c r="E271" t="inlineStr">
        <is>
          <t>&lt; 3</t>
        </is>
      </c>
      <c r="H271" s="4" t="n"/>
      <c r="I271" s="4">
        <f>IFERROR(IF(NOT(H271=""),ABS(ROUNDDOWN(F271-H271, 3 - (1+INT(LOG10(ABS(F271)))))),""),IF(AND(F271=0,NOT(F271="")),ABS(ROUNDDOWN(F271-H271,0)),""))</f>
        <v/>
      </c>
      <c r="J271" s="4">
        <f>IF(NOT(I271=""),IF(I271&lt;=G271,"match",IF(I271&lt;3*G271,"partial match","no match")),"")</f>
        <v/>
      </c>
      <c r="K271" t="inlineStr">
        <is>
          <t>ngl_dcnu_norm_3D</t>
        </is>
      </c>
    </row>
    <row r="272" ht="15" customHeight="1" s="10">
      <c r="A272" t="inlineStr">
        <is>
          <t>configuration E</t>
        </is>
      </c>
      <c r="B272" t="inlineStr">
        <is>
          <t>Neighbouring grey level dependence matrix (3D)</t>
        </is>
      </c>
      <c r="C272" t="inlineStr">
        <is>
          <t>Dependence count percentage</t>
        </is>
      </c>
      <c r="E272" t="inlineStr">
        <is>
          <t>&lt; 3</t>
        </is>
      </c>
      <c r="H272" s="4" t="n"/>
      <c r="I272" s="4">
        <f>IFERROR(IF(NOT(H272=""),ABS(ROUNDDOWN(F272-H272, 3 - (1+INT(LOG10(ABS(F272)))))),""),IF(AND(F272=0,NOT(F272="")),ABS(ROUNDDOWN(F272-H272,0)),""))</f>
        <v/>
      </c>
      <c r="J272" s="4">
        <f>IF(NOT(I272=""),IF(I272&lt;=G272,"match",IF(I272&lt;3*G272,"partial match","no match")),"")</f>
        <v/>
      </c>
      <c r="K272" t="inlineStr">
        <is>
          <t>ngl_dc_perc_3D</t>
        </is>
      </c>
    </row>
    <row r="273" ht="15" customHeight="1" s="10">
      <c r="A273" t="inlineStr">
        <is>
          <t>configuration E</t>
        </is>
      </c>
      <c r="B273" t="inlineStr">
        <is>
          <t>Neighbouring grey level dependence matrix (3D)</t>
        </is>
      </c>
      <c r="C273" t="inlineStr">
        <is>
          <t>Grey level variance</t>
        </is>
      </c>
      <c r="E273" t="inlineStr">
        <is>
          <t>&lt; 3</t>
        </is>
      </c>
      <c r="H273" s="4" t="n"/>
      <c r="I273" s="4">
        <f>IFERROR(IF(NOT(H273=""),ABS(ROUNDDOWN(F273-H273, 3 - (1+INT(LOG10(ABS(F273)))))),""),IF(AND(F273=0,NOT(F273="")),ABS(ROUNDDOWN(F273-H273,0)),""))</f>
        <v/>
      </c>
      <c r="J273" s="4">
        <f>IF(NOT(I273=""),IF(I273&lt;=G273,"match",IF(I273&lt;3*G273,"partial match","no match")),"")</f>
        <v/>
      </c>
      <c r="K273" t="inlineStr">
        <is>
          <t>ngl_gl_var_3D</t>
        </is>
      </c>
    </row>
    <row r="274" ht="15" customHeight="1" s="10">
      <c r="A274" t="inlineStr">
        <is>
          <t>configuration E</t>
        </is>
      </c>
      <c r="B274" t="inlineStr">
        <is>
          <t>Neighbouring grey level dependence matrix (3D)</t>
        </is>
      </c>
      <c r="C274" t="inlineStr">
        <is>
          <t>Dependence count variance</t>
        </is>
      </c>
      <c r="E274" t="inlineStr">
        <is>
          <t>&lt; 3</t>
        </is>
      </c>
      <c r="H274" s="4" t="n"/>
      <c r="I274" s="4">
        <f>IFERROR(IF(NOT(H274=""),ABS(ROUNDDOWN(F274-H274, 3 - (1+INT(LOG10(ABS(F274)))))),""),IF(AND(F274=0,NOT(F274="")),ABS(ROUNDDOWN(F274-H274,0)),""))</f>
        <v/>
      </c>
      <c r="J274" s="4">
        <f>IF(NOT(I274=""),IF(I274&lt;=G274,"match",IF(I274&lt;3*G274,"partial match","no match")),"")</f>
        <v/>
      </c>
      <c r="K274" t="inlineStr">
        <is>
          <t>ngl_dc_var_3D</t>
        </is>
      </c>
    </row>
    <row r="275" ht="15" customHeight="1" s="10">
      <c r="A275" t="inlineStr">
        <is>
          <t>configuration E</t>
        </is>
      </c>
      <c r="B275" t="inlineStr">
        <is>
          <t>Neighbouring grey level dependence matrix (3D)</t>
        </is>
      </c>
      <c r="C275" t="inlineStr">
        <is>
          <t>Dependence count entropy</t>
        </is>
      </c>
      <c r="E275" t="inlineStr">
        <is>
          <t>&lt; 3</t>
        </is>
      </c>
      <c r="H275" s="4" t="n"/>
      <c r="I275" s="4">
        <f>IFERROR(IF(NOT(H275=""),ABS(ROUNDDOWN(F275-H275, 3 - (1+INT(LOG10(ABS(F275)))))),""),IF(AND(F275=0,NOT(F275="")),ABS(ROUNDDOWN(F275-H275,0)),""))</f>
        <v/>
      </c>
      <c r="J275" s="4">
        <f>IF(NOT(I275=""),IF(I275&lt;=G275,"match",IF(I275&lt;3*G275,"partial match","no match")),"")</f>
        <v/>
      </c>
      <c r="K275" t="inlineStr">
        <is>
          <t>ngl_dc_entr_3D</t>
        </is>
      </c>
    </row>
    <row r="276" ht="15" customHeight="1" s="10">
      <c r="A276" t="inlineStr">
        <is>
          <t>configuration E</t>
        </is>
      </c>
      <c r="B276" t="inlineStr">
        <is>
          <t>Neighbouring grey level dependence matrix (3D)</t>
        </is>
      </c>
      <c r="C276" t="inlineStr">
        <is>
          <t>Dependence count energy</t>
        </is>
      </c>
      <c r="E276" t="inlineStr">
        <is>
          <t>&lt; 3</t>
        </is>
      </c>
      <c r="H276" s="5" t="n"/>
      <c r="I276" s="4">
        <f>IFERROR(IF(NOT(H276=""),ABS(ROUNDDOWN(F276-H276, 3 - (1+INT(LOG10(ABS(F276)))))),""),IF(AND(F276=0,NOT(F276="")),ABS(ROUNDDOWN(F276-H276,0)),""))</f>
        <v/>
      </c>
      <c r="J276" s="4">
        <f>IF(NOT(I276=""),IF(I276&lt;=G276,"match",IF(I276&lt;3*G276,"partial match","no match")),"")</f>
        <v/>
      </c>
      <c r="K276" t="inlineStr">
        <is>
          <t>ngl_dc_energy_3D</t>
        </is>
      </c>
    </row>
  </sheetData>
  <conditionalFormatting sqref="J2:J276">
    <cfRule type="containsBlanks" priority="5" dxfId="3">
      <formula>LEN(TRIM(J2))=0</formula>
    </cfRule>
    <cfRule type="cellIs" priority="6" operator="equal" dxfId="2">
      <formula>"match"</formula>
    </cfRule>
    <cfRule type="cellIs" priority="7" operator="equal" dxfId="1">
      <formula>"partial match"</formula>
    </cfRule>
    <cfRule type="cellIs" priority="8" operator="equal" dxfId="0">
      <formula>"no match"</formula>
    </cfRule>
  </conditionalFormatting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2022-03-14T23:25:59Z</dcterms:created>
  <dcterms:modified xmlns:dcterms="http://purl.org/dc/terms/" xmlns:xsi="http://www.w3.org/2001/XMLSchema-instance" xsi:type="dcterms:W3CDTF">2022-04-19T01:04:47Z</dcterms:modified>
  <cp:lastModifiedBy>tatsunidas</cp:lastModifiedBy>
</cp:coreProperties>
</file>